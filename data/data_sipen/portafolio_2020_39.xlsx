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716"/>
  <workbookPr codeName="ThisWorkbook" defaultThemeVersion="124226"/>
  <xr:revisionPtr revIDLastSave="0" documentId="11_91D96F04F2E67BD2C75A71DD05E3F2A4362282F7" xr6:coauthVersionLast="46" xr6:coauthVersionMax="46" xr10:uidLastSave="{00000000-0000-0000-0000-000000000000}"/>
  <bookViews>
    <workbookView xWindow="-105" yWindow="-105" windowWidth="19425" windowHeight="10425" firstSheet="11" activeTab="11" xr2:uid="{00000000-000D-0000-FFFF-FFFF00000000}"/>
  </bookViews>
  <sheets>
    <sheet name="Enero 2020" sheetId="23" r:id="rId1"/>
    <sheet name="Febrero 2020" sheetId="24" r:id="rId2"/>
    <sheet name="Marzo 2020" sheetId="25" r:id="rId3"/>
    <sheet name="Abril 2020" sheetId="26" r:id="rId4"/>
    <sheet name="Mayo 2020" sheetId="28" r:id="rId5"/>
    <sheet name="Junio 2020" sheetId="29" r:id="rId6"/>
    <sheet name="Julio 2020" sheetId="30" r:id="rId7"/>
    <sheet name="Agosto 2020" sheetId="31" r:id="rId8"/>
    <sheet name="Septiembre 2020" sheetId="32" r:id="rId9"/>
    <sheet name="Octubre 2020" sheetId="33" r:id="rId10"/>
    <sheet name="Noviembre 2020" sheetId="34" r:id="rId11"/>
    <sheet name="Diciembre 2020" sheetId="36" r:id="rId12"/>
    <sheet name="Hoja1" sheetId="35" r:id="rId1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9" i="36" l="1"/>
  <c r="AT9" i="36"/>
  <c r="AP9" i="36"/>
  <c r="AL9" i="36"/>
  <c r="N9" i="36"/>
  <c r="BB100" i="36" l="1"/>
  <c r="AX100" i="36"/>
  <c r="AH100" i="36"/>
  <c r="AD100" i="36"/>
  <c r="V100" i="36"/>
  <c r="R100" i="36"/>
  <c r="N100" i="36"/>
  <c r="J100" i="36"/>
  <c r="F9" i="36"/>
  <c r="AA11" i="36"/>
  <c r="AB11" i="36" s="1"/>
  <c r="S11" i="36"/>
  <c r="T11" i="36" s="1"/>
  <c r="O11" i="36"/>
  <c r="P11" i="36" s="1"/>
  <c r="G11" i="36"/>
  <c r="H11" i="36" s="1"/>
  <c r="AE9" i="36"/>
  <c r="AF9" i="36" s="1"/>
  <c r="AA9" i="36"/>
  <c r="AB9" i="36" s="1"/>
  <c r="W9" i="36"/>
  <c r="W8" i="36" s="1"/>
  <c r="X8" i="36" s="1"/>
  <c r="S9" i="36"/>
  <c r="T9" i="36" s="1"/>
  <c r="O9" i="36"/>
  <c r="P9" i="36" s="1"/>
  <c r="G9" i="36"/>
  <c r="H9" i="36" s="1"/>
  <c r="BB98" i="34"/>
  <c r="AX98" i="34"/>
  <c r="AE122" i="34"/>
  <c r="AY122" i="34" s="1"/>
  <c r="AE104" i="34"/>
  <c r="AY104" i="34" s="1"/>
  <c r="R72" i="33"/>
  <c r="P72" i="34"/>
  <c r="R72" i="34" s="1"/>
  <c r="AE73" i="34"/>
  <c r="AY73" i="34" s="1"/>
  <c r="AE17" i="34"/>
  <c r="AY17" i="34" s="1"/>
  <c r="AE16" i="34"/>
  <c r="AY16" i="34" s="1"/>
  <c r="AE15" i="34"/>
  <c r="AE12" i="34"/>
  <c r="AY12" i="34" s="1"/>
  <c r="W14" i="34"/>
  <c r="W9" i="34"/>
  <c r="W8" i="34"/>
  <c r="X9" i="36" l="1"/>
  <c r="AD11" i="36"/>
  <c r="AD9" i="36"/>
  <c r="R11" i="36"/>
  <c r="G8" i="36"/>
  <c r="H8" i="36" s="1"/>
  <c r="AE11" i="36"/>
  <c r="AF11" i="36" s="1"/>
  <c r="O8" i="36"/>
  <c r="P8" i="36" s="1"/>
  <c r="S8" i="36"/>
  <c r="T8" i="36" s="1"/>
  <c r="AA8" i="36"/>
  <c r="AB8" i="36" s="1"/>
  <c r="R9" i="36"/>
  <c r="V9" i="36"/>
  <c r="AY9" i="36"/>
  <c r="AZ9" i="36" s="1"/>
  <c r="V11" i="36"/>
  <c r="AY11" i="36"/>
  <c r="AZ11" i="36" s="1"/>
  <c r="X10" i="34"/>
  <c r="X17" i="34"/>
  <c r="X15" i="34"/>
  <c r="AY15" i="34"/>
  <c r="AE14" i="34"/>
  <c r="AE13" i="34" s="1"/>
  <c r="W13" i="34"/>
  <c r="V96" i="34"/>
  <c r="V94" i="34"/>
  <c r="AE10" i="34"/>
  <c r="AY10" i="34" s="1"/>
  <c r="V98" i="34"/>
  <c r="R98" i="34"/>
  <c r="N98" i="34"/>
  <c r="AE8" i="36" l="1"/>
  <c r="AF8" i="36" s="1"/>
  <c r="AY8" i="36"/>
  <c r="AZ8" i="36" s="1"/>
  <c r="W133" i="34"/>
  <c r="AY14" i="34"/>
  <c r="J98" i="34"/>
  <c r="AH98" i="34"/>
  <c r="AY11" i="34"/>
  <c r="AE11" i="34"/>
  <c r="AF12" i="34" s="1"/>
  <c r="AA11" i="34"/>
  <c r="S11" i="34"/>
  <c r="O11" i="34"/>
  <c r="G11" i="34"/>
  <c r="AY9" i="34"/>
  <c r="AE9" i="34"/>
  <c r="AA9" i="34"/>
  <c r="AB9" i="34" s="1"/>
  <c r="AD9" i="34" s="1"/>
  <c r="S9" i="34"/>
  <c r="O9" i="34"/>
  <c r="G9" i="34"/>
  <c r="J9" i="36" l="1"/>
  <c r="J11" i="36"/>
  <c r="Z9" i="36"/>
  <c r="AH11" i="36"/>
  <c r="P12" i="34"/>
  <c r="P9" i="34"/>
  <c r="R9" i="34" s="1"/>
  <c r="T9" i="34"/>
  <c r="V9" i="34" s="1"/>
  <c r="T10" i="34"/>
  <c r="T11" i="34"/>
  <c r="V11" i="34" s="1"/>
  <c r="T12" i="34"/>
  <c r="AY13" i="34"/>
  <c r="AZ17" i="34"/>
  <c r="AZ15" i="34"/>
  <c r="W135" i="34"/>
  <c r="AB11" i="34"/>
  <c r="AD11" i="34" s="1"/>
  <c r="AA8" i="34"/>
  <c r="O8" i="34"/>
  <c r="AY8" i="34"/>
  <c r="AE8" i="34"/>
  <c r="P10" i="34"/>
  <c r="P8" i="34"/>
  <c r="G8" i="34"/>
  <c r="G133" i="34" s="1"/>
  <c r="S8" i="34"/>
  <c r="T8" i="34" s="1"/>
  <c r="P11" i="34"/>
  <c r="R11" i="34" s="1"/>
  <c r="AE139" i="33"/>
  <c r="AH9" i="36" l="1"/>
  <c r="G135" i="34"/>
  <c r="H133" i="34"/>
  <c r="AY133" i="34"/>
  <c r="X8" i="34"/>
  <c r="X134" i="34"/>
  <c r="X9" i="34"/>
  <c r="Z9" i="34" s="1"/>
  <c r="X14" i="34"/>
  <c r="X13" i="34"/>
  <c r="X133" i="34"/>
  <c r="X135" i="34" s="1"/>
  <c r="AZ16" i="34"/>
  <c r="AF10" i="34"/>
  <c r="AE133" i="34"/>
  <c r="AB8" i="34"/>
  <c r="AB12" i="34"/>
  <c r="AB10" i="34"/>
  <c r="H10" i="34"/>
  <c r="H8" i="34"/>
  <c r="H12" i="34"/>
  <c r="AZ133" i="33"/>
  <c r="AZ135" i="33" s="1"/>
  <c r="BB11" i="36" l="1"/>
  <c r="BB9" i="36"/>
  <c r="AY135" i="34"/>
  <c r="AZ133" i="34"/>
  <c r="H134" i="34"/>
  <c r="H135" i="34" s="1"/>
  <c r="H9" i="34"/>
  <c r="J9" i="34" s="1"/>
  <c r="H11" i="34"/>
  <c r="J11" i="34" s="1"/>
  <c r="AE135" i="34"/>
  <c r="AF13" i="34" s="1"/>
  <c r="AF133" i="34"/>
  <c r="AF133" i="33"/>
  <c r="AF135" i="33" s="1"/>
  <c r="BB98" i="33"/>
  <c r="AX98" i="33"/>
  <c r="AH98" i="33"/>
  <c r="AD98" i="33"/>
  <c r="V98" i="33"/>
  <c r="R98" i="33"/>
  <c r="N98" i="33"/>
  <c r="J98" i="33"/>
  <c r="AB12" i="33"/>
  <c r="AB10" i="33"/>
  <c r="AE9" i="33"/>
  <c r="AF9" i="33" s="1"/>
  <c r="AB8" i="33"/>
  <c r="AA9" i="33"/>
  <c r="AB9" i="33" s="1"/>
  <c r="AD9" i="33" s="1"/>
  <c r="S9" i="33"/>
  <c r="T9" i="33" s="1"/>
  <c r="O9" i="33"/>
  <c r="P9" i="33" s="1"/>
  <c r="H134" i="33"/>
  <c r="H133" i="33"/>
  <c r="AZ134" i="34" l="1"/>
  <c r="AZ135" i="34" s="1"/>
  <c r="AZ11" i="34"/>
  <c r="BB11" i="34" s="1"/>
  <c r="AZ14" i="34"/>
  <c r="BB14" i="34" s="1"/>
  <c r="AZ9" i="34"/>
  <c r="BB9" i="34" s="1"/>
  <c r="AZ8" i="34"/>
  <c r="AZ13" i="34"/>
  <c r="AF134" i="34"/>
  <c r="AF135" i="34" s="1"/>
  <c r="AF9" i="34"/>
  <c r="AH9" i="34" s="1"/>
  <c r="AF11" i="34"/>
  <c r="AH11" i="34" s="1"/>
  <c r="AF8" i="34"/>
  <c r="H135" i="33"/>
  <c r="P12" i="33"/>
  <c r="G9" i="33"/>
  <c r="AY11" i="33"/>
  <c r="AE11" i="33"/>
  <c r="AA11" i="33"/>
  <c r="S11" i="33"/>
  <c r="O11" i="33"/>
  <c r="G11" i="33"/>
  <c r="H11" i="33" s="1"/>
  <c r="J11" i="33" s="1"/>
  <c r="AZ73" i="33"/>
  <c r="AF73" i="33"/>
  <c r="P73" i="33"/>
  <c r="G9" i="32"/>
  <c r="AT9" i="32"/>
  <c r="AQ10" i="32"/>
  <c r="AQ9" i="32" s="1"/>
  <c r="AQ8" i="32" s="1"/>
  <c r="AM9" i="32"/>
  <c r="AM8" i="32" s="1"/>
  <c r="H130" i="32"/>
  <c r="H129" i="32"/>
  <c r="H131" i="32" s="1"/>
  <c r="AE12" i="32"/>
  <c r="AE11" i="32" s="1"/>
  <c r="AE10" i="32"/>
  <c r="AY10" i="32" s="1"/>
  <c r="AY9" i="32" s="1"/>
  <c r="AB9" i="32"/>
  <c r="AD9" i="32" s="1"/>
  <c r="S9" i="32"/>
  <c r="O9" i="32"/>
  <c r="AA11" i="32"/>
  <c r="AB11" i="32" s="1"/>
  <c r="AD11" i="32" s="1"/>
  <c r="S11" i="32"/>
  <c r="T11" i="32" s="1"/>
  <c r="V11" i="32" s="1"/>
  <c r="O11" i="32"/>
  <c r="P11" i="32" s="1"/>
  <c r="R11" i="32" s="1"/>
  <c r="G11" i="32"/>
  <c r="H11" i="32" s="1"/>
  <c r="J91" i="32"/>
  <c r="J96" i="32"/>
  <c r="BB96" i="32"/>
  <c r="BB91" i="32"/>
  <c r="AX96" i="32"/>
  <c r="AX91" i="32"/>
  <c r="AH96" i="32"/>
  <c r="AH91" i="32"/>
  <c r="AD96" i="32"/>
  <c r="AD91" i="32"/>
  <c r="V96" i="32"/>
  <c r="V91" i="32"/>
  <c r="R96" i="32"/>
  <c r="R91" i="32"/>
  <c r="O8" i="32" l="1"/>
  <c r="P9" i="32"/>
  <c r="R9" i="32" s="1"/>
  <c r="P11" i="33"/>
  <c r="R11" i="33" s="1"/>
  <c r="AZ11" i="33"/>
  <c r="BB11" i="33" s="1"/>
  <c r="O8" i="33"/>
  <c r="T11" i="33"/>
  <c r="V11" i="33" s="1"/>
  <c r="AB11" i="33"/>
  <c r="AD11" i="33" s="1"/>
  <c r="S8" i="33"/>
  <c r="T8" i="33" s="1"/>
  <c r="AF12" i="33"/>
  <c r="AF11" i="33"/>
  <c r="AH11" i="33" s="1"/>
  <c r="AE8" i="33"/>
  <c r="H9" i="33"/>
  <c r="J9" i="33" s="1"/>
  <c r="G8" i="33"/>
  <c r="S8" i="32"/>
  <c r="T8" i="32" s="1"/>
  <c r="P8" i="32"/>
  <c r="AB8" i="32"/>
  <c r="J11" i="32"/>
  <c r="T9" i="32"/>
  <c r="V9" i="32" s="1"/>
  <c r="AA8" i="32"/>
  <c r="AY12" i="32"/>
  <c r="AY11" i="32" s="1"/>
  <c r="AY8" i="32" s="1"/>
  <c r="AY129" i="32" s="1"/>
  <c r="G8" i="32"/>
  <c r="AE9" i="32"/>
  <c r="AM129" i="32"/>
  <c r="AQ129" i="32" s="1"/>
  <c r="AQ131" i="32" s="1"/>
  <c r="AR8" i="32" s="1"/>
  <c r="AE8" i="32"/>
  <c r="AE129" i="32" s="1"/>
  <c r="AE131" i="32" s="1"/>
  <c r="AF129" i="32" s="1"/>
  <c r="AF131" i="32" s="1"/>
  <c r="H9" i="32"/>
  <c r="AE132" i="31"/>
  <c r="AE114" i="31"/>
  <c r="AE97" i="31" s="1"/>
  <c r="K114" i="31"/>
  <c r="K97" i="31" s="1"/>
  <c r="K130" i="31" s="1"/>
  <c r="K132" i="31" s="1"/>
  <c r="L114" i="31" s="1"/>
  <c r="AY114" i="31"/>
  <c r="AY97" i="31" s="1"/>
  <c r="H8" i="33" l="1"/>
  <c r="H10" i="33"/>
  <c r="H12" i="33"/>
  <c r="P8" i="33"/>
  <c r="P10" i="33"/>
  <c r="AF8" i="33"/>
  <c r="AF10" i="33"/>
  <c r="AY131" i="32"/>
  <c r="AZ11" i="32" s="1"/>
  <c r="BB11" i="32" s="1"/>
  <c r="AF9" i="32"/>
  <c r="AH9" i="32" s="1"/>
  <c r="AF11" i="32"/>
  <c r="AH11" i="32" s="1"/>
  <c r="H8" i="32"/>
  <c r="J9" i="32"/>
  <c r="AM131" i="32"/>
  <c r="AF114" i="31"/>
  <c r="L97" i="31"/>
  <c r="AQ10" i="31"/>
  <c r="AQ9" i="31" s="1"/>
  <c r="AQ8" i="31" s="1"/>
  <c r="AQ130" i="31" s="1"/>
  <c r="AQ132" i="31" s="1"/>
  <c r="AR9" i="31" s="1"/>
  <c r="AN131" i="31"/>
  <c r="AM9" i="31"/>
  <c r="AN9" i="31" s="1"/>
  <c r="AF131" i="31"/>
  <c r="AE12" i="31"/>
  <c r="AE10" i="31"/>
  <c r="AE9" i="31" s="1"/>
  <c r="AF9" i="31" s="1"/>
  <c r="S9" i="31"/>
  <c r="S11" i="31"/>
  <c r="T12" i="31" s="1"/>
  <c r="T131" i="31"/>
  <c r="H131" i="31"/>
  <c r="AA11" i="31"/>
  <c r="AB11" i="31" s="1"/>
  <c r="AD11" i="31" s="1"/>
  <c r="AA9" i="31"/>
  <c r="AB9" i="31" s="1"/>
  <c r="O11" i="31"/>
  <c r="P11" i="31" s="1"/>
  <c r="R11" i="31" s="1"/>
  <c r="O9" i="31"/>
  <c r="P9" i="31" s="1"/>
  <c r="R9" i="31" s="1"/>
  <c r="G9" i="31"/>
  <c r="H9" i="31" s="1"/>
  <c r="G11" i="31"/>
  <c r="H11" i="31" s="1"/>
  <c r="J11" i="31" s="1"/>
  <c r="AX97" i="31"/>
  <c r="AH97" i="31"/>
  <c r="AD97" i="31"/>
  <c r="V97" i="31"/>
  <c r="R97" i="31"/>
  <c r="N97" i="31"/>
  <c r="J97" i="31"/>
  <c r="BB92" i="31"/>
  <c r="AX92" i="31"/>
  <c r="AH92" i="31"/>
  <c r="AD92" i="31"/>
  <c r="V92" i="31"/>
  <c r="R92" i="31"/>
  <c r="N92" i="31"/>
  <c r="J92" i="31"/>
  <c r="BB97" i="30"/>
  <c r="BB92" i="30"/>
  <c r="AX97" i="30"/>
  <c r="AX92" i="30"/>
  <c r="AH92" i="30"/>
  <c r="AH97" i="30"/>
  <c r="AD92" i="30"/>
  <c r="AD97" i="30"/>
  <c r="V92" i="30"/>
  <c r="V97" i="30"/>
  <c r="R92" i="30"/>
  <c r="R97" i="30"/>
  <c r="N92" i="30"/>
  <c r="N97" i="30"/>
  <c r="J92" i="30"/>
  <c r="J97" i="30"/>
  <c r="AE11" i="31" l="1"/>
  <c r="AF11" i="31" s="1"/>
  <c r="AH11" i="31" s="1"/>
  <c r="AY12" i="31"/>
  <c r="AY11" i="31" s="1"/>
  <c r="H12" i="31"/>
  <c r="G8" i="31"/>
  <c r="H8" i="31" s="1"/>
  <c r="H130" i="31" s="1"/>
  <c r="H132" i="31" s="1"/>
  <c r="AZ130" i="32"/>
  <c r="AZ9" i="32"/>
  <c r="BB9" i="32" s="1"/>
  <c r="AZ8" i="32"/>
  <c r="AZ129" i="32"/>
  <c r="AZ131" i="32" s="1"/>
  <c r="AN9" i="32"/>
  <c r="AP9" i="32" s="1"/>
  <c r="AN8" i="32"/>
  <c r="AE8" i="31"/>
  <c r="AF8" i="31" s="1"/>
  <c r="AF130" i="31" s="1"/>
  <c r="AF132" i="31" s="1"/>
  <c r="S8" i="31"/>
  <c r="T8" i="31" s="1"/>
  <c r="T130" i="31" s="1"/>
  <c r="T132" i="31" s="1"/>
  <c r="AM8" i="31"/>
  <c r="T9" i="31"/>
  <c r="AY10" i="31"/>
  <c r="AY9" i="31" s="1"/>
  <c r="AY8" i="31" s="1"/>
  <c r="AR8" i="31"/>
  <c r="AR130" i="31" s="1"/>
  <c r="AR132" i="31" s="1"/>
  <c r="AH9" i="31"/>
  <c r="T11" i="31"/>
  <c r="V11" i="31" s="1"/>
  <c r="J9" i="31"/>
  <c r="AE12" i="30"/>
  <c r="AA11" i="30"/>
  <c r="S11" i="30"/>
  <c r="T11" i="30" s="1"/>
  <c r="O11" i="30"/>
  <c r="G11" i="30"/>
  <c r="H11" i="30" s="1"/>
  <c r="AE10" i="30"/>
  <c r="AY10" i="30" s="1"/>
  <c r="AY9" i="30" s="1"/>
  <c r="AZ9" i="30" s="1"/>
  <c r="AA9" i="30"/>
  <c r="S9" i="30"/>
  <c r="O9" i="30"/>
  <c r="P9" i="30" s="1"/>
  <c r="G9" i="30"/>
  <c r="H9" i="30" s="1"/>
  <c r="AY130" i="31" l="1"/>
  <c r="AM130" i="31"/>
  <c r="AN8" i="31"/>
  <c r="AN130" i="31" s="1"/>
  <c r="AN132" i="31" s="1"/>
  <c r="AB12" i="30"/>
  <c r="AB11" i="30"/>
  <c r="AB10" i="30"/>
  <c r="AA8" i="30"/>
  <c r="AB8" i="30" s="1"/>
  <c r="AB9" i="30"/>
  <c r="AD9" i="30" s="1"/>
  <c r="T10" i="30"/>
  <c r="T9" i="30"/>
  <c r="P12" i="30"/>
  <c r="P11" i="30"/>
  <c r="R11" i="30" s="1"/>
  <c r="J9" i="30"/>
  <c r="R9" i="30"/>
  <c r="J11" i="30"/>
  <c r="AD11" i="30"/>
  <c r="O8" i="30"/>
  <c r="P8" i="30" s="1"/>
  <c r="H12" i="30"/>
  <c r="G8" i="30"/>
  <c r="H8" i="30" s="1"/>
  <c r="H128" i="30" s="1"/>
  <c r="H130" i="30" s="1"/>
  <c r="H10" i="30"/>
  <c r="P10" i="30"/>
  <c r="S8" i="30"/>
  <c r="T8" i="30" s="1"/>
  <c r="T128" i="30" s="1"/>
  <c r="T130" i="30" s="1"/>
  <c r="AE11" i="30"/>
  <c r="AF11" i="30" s="1"/>
  <c r="T12" i="30"/>
  <c r="AY12" i="30"/>
  <c r="AY11" i="30" s="1"/>
  <c r="AZ11" i="30" s="1"/>
  <c r="AE9" i="30"/>
  <c r="AF9" i="30" s="1"/>
  <c r="AY132" i="31" l="1"/>
  <c r="AZ130" i="31" s="1"/>
  <c r="AY8" i="30"/>
  <c r="AZ8" i="30" s="1"/>
  <c r="AZ128" i="30" s="1"/>
  <c r="AZ130" i="30" s="1"/>
  <c r="BB11" i="30"/>
  <c r="AE8" i="30"/>
  <c r="AF8" i="30" s="1"/>
  <c r="AF128" i="30" s="1"/>
  <c r="AF130" i="30" s="1"/>
  <c r="AF10" i="30"/>
  <c r="BB9" i="30"/>
  <c r="AF12" i="30"/>
  <c r="AY103" i="29"/>
  <c r="BB97" i="29"/>
  <c r="BB92" i="29"/>
  <c r="AX92" i="29"/>
  <c r="AX97" i="29"/>
  <c r="AH92" i="29"/>
  <c r="AH97" i="29"/>
  <c r="AB8" i="29"/>
  <c r="AB126" i="29" s="1"/>
  <c r="AA126" i="29"/>
  <c r="AA9" i="29"/>
  <c r="AB10" i="29" s="1"/>
  <c r="AE12" i="29"/>
  <c r="AY12" i="29" s="1"/>
  <c r="AY11" i="29" s="1"/>
  <c r="AE10" i="29"/>
  <c r="AY10" i="29" s="1"/>
  <c r="AY9" i="29" s="1"/>
  <c r="AA11" i="29"/>
  <c r="AB12" i="29" s="1"/>
  <c r="AD92" i="29"/>
  <c r="AD97" i="29"/>
  <c r="S9" i="29"/>
  <c r="T10" i="29" s="1"/>
  <c r="S11" i="29"/>
  <c r="T12" i="29" s="1"/>
  <c r="V97" i="29"/>
  <c r="V92" i="29"/>
  <c r="R92" i="29"/>
  <c r="N92" i="29"/>
  <c r="AZ11" i="31" l="1"/>
  <c r="BB11" i="31" s="1"/>
  <c r="AZ131" i="31"/>
  <c r="AZ132" i="31" s="1"/>
  <c r="AZ97" i="31"/>
  <c r="BB97" i="31" s="1"/>
  <c r="AZ9" i="31"/>
  <c r="BB9" i="31" s="1"/>
  <c r="AZ8" i="31"/>
  <c r="AE9" i="29"/>
  <c r="AB9" i="29"/>
  <c r="AD9" i="29" s="1"/>
  <c r="AY8" i="29"/>
  <c r="AY126" i="29" s="1"/>
  <c r="AY128" i="29" s="1"/>
  <c r="AZ11" i="29" s="1"/>
  <c r="BB11" i="29" s="1"/>
  <c r="AB11" i="29"/>
  <c r="AD11" i="29" s="1"/>
  <c r="AE11" i="29"/>
  <c r="AF12" i="29" s="1"/>
  <c r="V9" i="30"/>
  <c r="V11" i="30"/>
  <c r="AF10" i="29"/>
  <c r="S8" i="29"/>
  <c r="S126" i="29" s="1"/>
  <c r="S128" i="29" s="1"/>
  <c r="T11" i="29" s="1"/>
  <c r="V11" i="29" s="1"/>
  <c r="P127" i="29"/>
  <c r="R97" i="29"/>
  <c r="N97" i="29"/>
  <c r="O9" i="29"/>
  <c r="P10" i="29" s="1"/>
  <c r="O11" i="29"/>
  <c r="P11" i="29" s="1"/>
  <c r="R11" i="29" s="1"/>
  <c r="G9" i="29"/>
  <c r="H9" i="29" s="1"/>
  <c r="J9" i="29" s="1"/>
  <c r="G11" i="29"/>
  <c r="H12" i="29" s="1"/>
  <c r="J92" i="29"/>
  <c r="P12" i="29" l="1"/>
  <c r="H10" i="29"/>
  <c r="AZ9" i="29"/>
  <c r="BB9" i="29" s="1"/>
  <c r="G8" i="29"/>
  <c r="H11" i="29"/>
  <c r="J11" i="29" s="1"/>
  <c r="AZ8" i="29"/>
  <c r="AZ126" i="29" s="1"/>
  <c r="AZ128" i="29" s="1"/>
  <c r="O8" i="29"/>
  <c r="P9" i="29"/>
  <c r="R9" i="29" s="1"/>
  <c r="T8" i="29"/>
  <c r="T126" i="29" s="1"/>
  <c r="T128" i="29" s="1"/>
  <c r="AE8" i="29"/>
  <c r="AH9" i="30"/>
  <c r="AH11" i="30"/>
  <c r="T9" i="29"/>
  <c r="V9" i="29" s="1"/>
  <c r="BB101" i="28"/>
  <c r="AX101" i="28"/>
  <c r="AH101" i="28"/>
  <c r="AD101" i="28"/>
  <c r="V101" i="28"/>
  <c r="R101" i="28"/>
  <c r="N101" i="28"/>
  <c r="J101" i="28"/>
  <c r="BB96" i="28"/>
  <c r="AX96" i="28"/>
  <c r="AH96" i="28"/>
  <c r="AD96" i="28"/>
  <c r="V96" i="28"/>
  <c r="R96" i="28"/>
  <c r="N96" i="28"/>
  <c r="J96" i="28"/>
  <c r="H13" i="28"/>
  <c r="AE126" i="29" l="1"/>
  <c r="AE128" i="29" s="1"/>
  <c r="AF8" i="29" s="1"/>
  <c r="AF126" i="29" s="1"/>
  <c r="AF128" i="29" s="1"/>
  <c r="P8" i="29"/>
  <c r="P126" i="29" s="1"/>
  <c r="O126" i="29"/>
  <c r="G126" i="29"/>
  <c r="H8" i="29"/>
  <c r="H126" i="29" s="1"/>
  <c r="H128" i="29" s="1"/>
  <c r="BB99" i="26"/>
  <c r="BB94" i="26"/>
  <c r="AX99" i="26"/>
  <c r="AX94" i="26"/>
  <c r="AH99" i="26"/>
  <c r="AH94" i="26"/>
  <c r="AD99" i="26"/>
  <c r="AD94" i="26"/>
  <c r="V99" i="26"/>
  <c r="V94" i="26"/>
  <c r="R99" i="26"/>
  <c r="R94" i="26"/>
  <c r="N94" i="26"/>
  <c r="N99" i="26"/>
  <c r="J94" i="26"/>
  <c r="J99" i="26"/>
  <c r="AF11" i="29" l="1"/>
  <c r="AH11" i="29" s="1"/>
  <c r="AF9" i="29"/>
  <c r="AH9" i="29" s="1"/>
  <c r="BB98" i="25"/>
  <c r="BB93" i="25"/>
  <c r="AH98" i="25"/>
  <c r="AH93" i="25"/>
  <c r="AD98" i="25"/>
  <c r="AD93" i="25"/>
  <c r="V98" i="25"/>
  <c r="V93" i="25"/>
  <c r="R98" i="25"/>
  <c r="R93" i="25"/>
  <c r="N98" i="25"/>
  <c r="N93" i="25"/>
  <c r="J98" i="25"/>
  <c r="J93" i="25"/>
  <c r="BB98" i="24"/>
  <c r="BB93" i="24"/>
  <c r="AX98" i="24"/>
  <c r="AX93" i="24"/>
  <c r="AH98" i="24"/>
  <c r="AH93" i="24"/>
  <c r="AD98" i="24"/>
  <c r="AD93" i="24"/>
  <c r="V98" i="24"/>
  <c r="V93" i="24"/>
  <c r="R93" i="24"/>
  <c r="R98" i="24"/>
  <c r="N98" i="24"/>
  <c r="N93" i="24"/>
  <c r="J98" i="24"/>
  <c r="J93" i="24"/>
  <c r="J91" i="23"/>
  <c r="N91" i="23"/>
  <c r="R91" i="23"/>
  <c r="V91" i="23"/>
  <c r="AD91" i="23"/>
  <c r="AH91" i="23"/>
  <c r="AX91" i="23"/>
  <c r="BB91" i="23"/>
  <c r="BB96" i="23"/>
  <c r="AX96" i="23"/>
  <c r="AH96" i="23"/>
  <c r="AD96" i="23"/>
  <c r="V96" i="23"/>
  <c r="R96" i="23"/>
  <c r="N96" i="23"/>
  <c r="J96" i="23"/>
  <c r="AY9" i="33" l="1"/>
  <c r="AY8" i="33" l="1"/>
  <c r="AZ8" i="33" s="1"/>
  <c r="AZ9" i="33"/>
</calcChain>
</file>

<file path=xl/sharedStrings.xml><?xml version="1.0" encoding="utf-8"?>
<sst xmlns="http://schemas.openxmlformats.org/spreadsheetml/2006/main" count="53071" uniqueCount="134">
  <si>
    <t>Composición de Cartera de los Fondos de Pensiones</t>
  </si>
  <si>
    <t>por Emisor Y Tipo de Instrumento</t>
  </si>
  <si>
    <t>Al 31 de Enero 2020</t>
  </si>
  <si>
    <t xml:space="preserve">En millones de pesos y porcentajes </t>
  </si>
  <si>
    <t>SUB-SECTOR ECONÓMICO / EMISOR</t>
  </si>
  <si>
    <t>CLASIFICACIÓN DE RIESGO</t>
  </si>
  <si>
    <t>ATLÁNTICO</t>
  </si>
  <si>
    <t xml:space="preserve">CRECER </t>
  </si>
  <si>
    <t>JMMB BDI</t>
  </si>
  <si>
    <t>POPULAR</t>
  </si>
  <si>
    <t>RESERVAS</t>
  </si>
  <si>
    <t>ROMANA</t>
  </si>
  <si>
    <t>SIEMBRA</t>
  </si>
  <si>
    <t>TOTAL FONDOS CCI</t>
  </si>
  <si>
    <t>FONDO BANCO DE RESERVAS-REPARTO INDIVIDUALIZADO</t>
  </si>
  <si>
    <t>FONDO BANCO CENTRAL-REPARTO INDIVIDUALIZADO</t>
  </si>
  <si>
    <t>TOTAL REPARTO INDIVIDUALIZADO</t>
  </si>
  <si>
    <t xml:space="preserve">FONDO DE SOLIDARIDAD SOCIAL </t>
  </si>
  <si>
    <t>TOTAL GENERAL</t>
  </si>
  <si>
    <t>CLASIFICACION DE RIESGO</t>
  </si>
  <si>
    <t>VALOR MERCADO</t>
  </si>
  <si>
    <t>PARTICIPACIÓN</t>
  </si>
  <si>
    <t>LIMITE PERMITIDO</t>
  </si>
  <si>
    <t>MARGEN DISPONIBLE</t>
  </si>
  <si>
    <t>Sector Gobierno Central</t>
  </si>
  <si>
    <t/>
  </si>
  <si>
    <t>-</t>
  </si>
  <si>
    <t xml:space="preserve">  Ministerio de Hacienda</t>
  </si>
  <si>
    <t xml:space="preserve">    Bonos de Hacienda</t>
  </si>
  <si>
    <t>AAA</t>
  </si>
  <si>
    <t>Sector Descentralizado y Autónomo</t>
  </si>
  <si>
    <t xml:space="preserve">  Banco Central de la República Dominicana</t>
  </si>
  <si>
    <t xml:space="preserve">    Certificados Inv. Especial BC</t>
  </si>
  <si>
    <t xml:space="preserve">    Notas BC</t>
  </si>
  <si>
    <t>Bancos Comerciales y de Servicios Múltiples</t>
  </si>
  <si>
    <t xml:space="preserve">  Banco de Reservas de la República Dominicana</t>
  </si>
  <si>
    <t xml:space="preserve">    Bonos EIF</t>
  </si>
  <si>
    <t xml:space="preserve">AA </t>
  </si>
  <si>
    <t xml:space="preserve">    Certificados de Depósito</t>
  </si>
  <si>
    <t>C-1</t>
  </si>
  <si>
    <t xml:space="preserve">  Banco Dominicano del Progreso</t>
  </si>
  <si>
    <t xml:space="preserve">  Banco Múltiple ADEMI</t>
  </si>
  <si>
    <t xml:space="preserve">  Banco Múltiple BDI</t>
  </si>
  <si>
    <t>C-2</t>
  </si>
  <si>
    <t xml:space="preserve">  Banco Múltiple BHD León</t>
  </si>
  <si>
    <t xml:space="preserve">  Banco Múltiple Caribe Internacional</t>
  </si>
  <si>
    <t>BBB</t>
  </si>
  <si>
    <t xml:space="preserve">  Banco Múltiple Lafise</t>
  </si>
  <si>
    <t xml:space="preserve">  Banco Múltiple Promerica de la República Dominicana</t>
  </si>
  <si>
    <t xml:space="preserve">  Banco Múltiple Santa Cruz</t>
  </si>
  <si>
    <t xml:space="preserve">  Banco Múltiple Vimenca</t>
  </si>
  <si>
    <t xml:space="preserve">  Banco Popular Dominicano</t>
  </si>
  <si>
    <t xml:space="preserve">  Banesco Banco Múltiple</t>
  </si>
  <si>
    <t xml:space="preserve">  Citibank, N. A.</t>
  </si>
  <si>
    <t>Asociaciones de Ahorros y Préstamos</t>
  </si>
  <si>
    <t xml:space="preserve">  Asociación Cibao de Ahorros y Préstamos</t>
  </si>
  <si>
    <t xml:space="preserve">A  </t>
  </si>
  <si>
    <t xml:space="preserve">  Asociación La Nacional de Ahorros y Préstamos</t>
  </si>
  <si>
    <t xml:space="preserve">  Asociación La Vega Real de Ahorros y Préstamos</t>
  </si>
  <si>
    <t xml:space="preserve">  Asociación Popular de Ahorros y Préstamos</t>
  </si>
  <si>
    <t>Bancos de Ahorro y Crédito</t>
  </si>
  <si>
    <t xml:space="preserve">  Banco de Ahorro y Crédito Confisa</t>
  </si>
  <si>
    <t xml:space="preserve">  Banco de Ahorro y Crédito del Caribe S.A.</t>
  </si>
  <si>
    <t xml:space="preserve">  Banco de Ahorro y Crédito Fondesa</t>
  </si>
  <si>
    <t xml:space="preserve">  Motor Crédito Banco de Ahorro y Crédito</t>
  </si>
  <si>
    <t>Empresas Privadas</t>
  </si>
  <si>
    <t xml:space="preserve">  Alpha Sociedad de Valores</t>
  </si>
  <si>
    <t xml:space="preserve">    Bonos Empresas</t>
  </si>
  <si>
    <t xml:space="preserve">  Consorcio Energético Punta Cana-Macao</t>
  </si>
  <si>
    <t xml:space="preserve">  Consorcio Minero Dominicano S.A.</t>
  </si>
  <si>
    <t xml:space="preserve">  Dominican Power Partners</t>
  </si>
  <si>
    <t xml:space="preserve">  Empresa Generadora de Electricidad Haina, S.A.</t>
  </si>
  <si>
    <t xml:space="preserve">  Gulfstream Petroleum Dominicana</t>
  </si>
  <si>
    <t xml:space="preserve">  Parallax Valores Puesto de Bolsa</t>
  </si>
  <si>
    <t xml:space="preserve">  UC United Capital Puesto de Bolsa S A</t>
  </si>
  <si>
    <t>Organismos Multilaterales</t>
  </si>
  <si>
    <t xml:space="preserve">  Corporación Financiera Internacional</t>
  </si>
  <si>
    <t xml:space="preserve">    Bonos Organismos Multilaterales</t>
  </si>
  <si>
    <t xml:space="preserve">  Corporación Interamericana de Inversiones</t>
  </si>
  <si>
    <t>Fideicomiso de Oferta Pública</t>
  </si>
  <si>
    <t xml:space="preserve">  RD Vial</t>
  </si>
  <si>
    <t xml:space="preserve">    Valores representativos de deuda emitidos por Fideicomisos de oferta pública</t>
  </si>
  <si>
    <t xml:space="preserve">  Valores Accionarios Rica 03-FU</t>
  </si>
  <si>
    <t xml:space="preserve">    Valores representativos de capital emitidos por Fideicomisos de oferta pública</t>
  </si>
  <si>
    <t>Fondos de Inversión</t>
  </si>
  <si>
    <t xml:space="preserve">  Advanced Asset Management S.A., Sociedad Administradora de Fondos de Inversion </t>
  </si>
  <si>
    <t xml:space="preserve">    Cuotas de fondos cerrados de inversión</t>
  </si>
  <si>
    <t xml:space="preserve">  Fondo Cerrado de Desarrollo de Sociedades GAM Energía</t>
  </si>
  <si>
    <t xml:space="preserve">  Fondo Cerrado de Desarrollo de Sociedades GAM II</t>
  </si>
  <si>
    <t xml:space="preserve">  Fondo Cerrado de Desarrollo de Sociedades Pioneer</t>
  </si>
  <si>
    <t xml:space="preserve">  Fondo Cerrado de Inversión Inmobiliaria Pioneer</t>
  </si>
  <si>
    <t xml:space="preserve">  Fondo de Inversión Cerrado Inmobiliario Excel I</t>
  </si>
  <si>
    <t xml:space="preserve">  Fondo de Inversión Cerrado Inmobiliario Universal I</t>
  </si>
  <si>
    <t xml:space="preserve">  Fondo de Inversión Cerrado Libre para el Desarrollo de Infraestructuras Dominicanas I Universal</t>
  </si>
  <si>
    <t xml:space="preserve">  Fondo de Inversión Cerrado Pioneer Inmobiliario II</t>
  </si>
  <si>
    <t xml:space="preserve">  Fondo de Inversión Cerrado Renta Fija Capitalizable Popular</t>
  </si>
  <si>
    <t xml:space="preserve">  Fondo de Inversión Cerrado Renta Fija Pago Recurrente Popular</t>
  </si>
  <si>
    <t xml:space="preserve">  Fondo de Inversión Cerrado Renta Inmobiliaria Dólares Popular</t>
  </si>
  <si>
    <t xml:space="preserve">  Fondo Nacional Pioneer United Renta Fija</t>
  </si>
  <si>
    <t>AA</t>
  </si>
  <si>
    <t>SUB TOTAL</t>
  </si>
  <si>
    <t xml:space="preserve"> Saldo Cuenta Corriente</t>
  </si>
  <si>
    <t>TOTAL</t>
  </si>
  <si>
    <t>(*) No incluye Fondos Complementarios.</t>
  </si>
  <si>
    <t>Al 29 de Febrero 2020</t>
  </si>
  <si>
    <t xml:space="preserve">  Acero Estrella</t>
  </si>
  <si>
    <t xml:space="preserve">  Fondo Cerrado de Desarrollo de Sociedades Popular</t>
  </si>
  <si>
    <t>Al 31 de Marzo 2020</t>
  </si>
  <si>
    <t>Fideicomiso de Oferta Publica</t>
  </si>
  <si>
    <t>Al 30 de Abril 2020</t>
  </si>
  <si>
    <t xml:space="preserve">  ScotiaBank</t>
  </si>
  <si>
    <t xml:space="preserve">  Advanced Asset Management S.A., Sociedad Administradora de Fondos de Inversión </t>
  </si>
  <si>
    <t>Al 31 de Mayo 2020</t>
  </si>
  <si>
    <r>
      <t xml:space="preserve">    Bonos para financiar desarrollo de proyectos de infraestructura </t>
    </r>
    <r>
      <rPr>
        <vertAlign val="superscript"/>
        <sz val="11"/>
        <rFont val="Calibri"/>
        <family val="2"/>
      </rPr>
      <t>1</t>
    </r>
  </si>
  <si>
    <t>AA-</t>
  </si>
  <si>
    <t>1. Límite establecido en la Res. Núm. 179 de la Comisión Clasificadora de Riesgos y Límites de Inversión (CCRyLI).</t>
  </si>
  <si>
    <t>Al 30 de Junio 2020</t>
  </si>
  <si>
    <t>Al 31 de Julio 2020</t>
  </si>
  <si>
    <t xml:space="preserve">  Fondo de Inversión Cerrado de Desarrollo de Sociedades Pioneer II</t>
  </si>
  <si>
    <t>Al 31 de Agosto 2020</t>
  </si>
  <si>
    <t xml:space="preserve">  Fondo de Inversión Cerrado Inmobiliario Excel II</t>
  </si>
  <si>
    <t>Al 30 de Septiembre 2020</t>
  </si>
  <si>
    <t xml:space="preserve">    Bonos para financiar desarrollo de proyectos de infraestructura 1</t>
  </si>
  <si>
    <t>Al 31 de Octubre 2020</t>
  </si>
  <si>
    <t xml:space="preserve">    Letras BC</t>
  </si>
  <si>
    <t xml:space="preserve">  JMMB Fondo de Inversión Cerrado Inmobiliario</t>
  </si>
  <si>
    <t>Al 30 de Noviembre 2020</t>
  </si>
  <si>
    <t>Al 31 de Diciembre 2020</t>
  </si>
  <si>
    <r>
      <t xml:space="preserve">    Bonos de Hacienda</t>
    </r>
    <r>
      <rPr>
        <vertAlign val="superscript"/>
        <sz val="11"/>
        <rFont val="Calibri"/>
        <family val="2"/>
      </rPr>
      <t>2</t>
    </r>
  </si>
  <si>
    <t>A</t>
  </si>
  <si>
    <t>Patrimonio Separado de Titularización de Cartera Hipotecaria</t>
  </si>
  <si>
    <t xml:space="preserve">  TIDOM</t>
  </si>
  <si>
    <t xml:space="preserve">    Valores Titularizados de Renta Fija-Créditos Hipotecarios</t>
  </si>
  <si>
    <t>2. Resolución Núm. 195 de la Comisión Clasificadora de Riesgos y Límites de Inversión (CCRyLI).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</si>
</sst>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0.00%"/>
    <numFmt numFmtId="166" formatCode="#,##0.000000"/>
    <numFmt numFmtId="167" formatCode="0.000000000000000%"/>
    <numFmt numFmtId="168" formatCode="#,##0.00000"/>
  </numFmts>
  <fonts count="1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3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/>
  </cellStyleXfs>
  <cellXfs count="67">
    <xf numFmtId="0" fontId="0" fillId="0" borderId="0" xfId="0"/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/>
    <xf numFmtId="0" fontId="2" fillId="0" borderId="0" xfId="0" applyFont="1"/>
    <xf numFmtId="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Fill="1" applyAlignment="1"/>
    <xf numFmtId="0" fontId="1" fillId="3" borderId="1" xfId="0" applyFont="1" applyFill="1" applyBorder="1"/>
    <xf numFmtId="0" fontId="2" fillId="0" borderId="0" xfId="0" applyFont="1" applyAlignment="1">
      <alignment horizontal="center"/>
    </xf>
    <xf numFmtId="4" fontId="4" fillId="2" borderId="2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0" fontId="1" fillId="0" borderId="0" xfId="2" applyNumberFormat="1" applyFont="1" applyAlignment="1"/>
    <xf numFmtId="0" fontId="6" fillId="0" borderId="0" xfId="1" applyFont="1"/>
    <xf numFmtId="4" fontId="1" fillId="0" borderId="0" xfId="0" applyNumberFormat="1" applyFont="1"/>
    <xf numFmtId="10" fontId="1" fillId="0" borderId="0" xfId="2" applyNumberFormat="1" applyFont="1"/>
    <xf numFmtId="4" fontId="2" fillId="0" borderId="0" xfId="0" applyNumberFormat="1" applyFont="1" applyAlignment="1">
      <alignment horizontal="center"/>
    </xf>
    <xf numFmtId="4" fontId="0" fillId="0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3" borderId="1" xfId="0" applyFont="1" applyFill="1" applyBorder="1"/>
    <xf numFmtId="0" fontId="8" fillId="0" borderId="1" xfId="0" applyFont="1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10" fillId="0" borderId="0" xfId="0" applyFont="1"/>
    <xf numFmtId="10" fontId="0" fillId="0" borderId="1" xfId="2" applyNumberFormat="1" applyFont="1" applyBorder="1" applyAlignment="1">
      <alignment horizontal="center"/>
    </xf>
    <xf numFmtId="164" fontId="2" fillId="0" borderId="0" xfId="3" applyFont="1"/>
    <xf numFmtId="166" fontId="2" fillId="0" borderId="0" xfId="0" applyNumberFormat="1" applyFont="1"/>
    <xf numFmtId="0" fontId="0" fillId="0" borderId="1" xfId="0" applyFill="1" applyBorder="1" applyAlignment="1">
      <alignment horizontal="center"/>
    </xf>
    <xf numFmtId="10" fontId="1" fillId="0" borderId="1" xfId="2" applyNumberFormat="1" applyFont="1" applyFill="1" applyBorder="1" applyAlignment="1">
      <alignment horizontal="center"/>
    </xf>
    <xf numFmtId="0" fontId="2" fillId="0" borderId="0" xfId="0" applyFont="1" applyFill="1"/>
    <xf numFmtId="4" fontId="2" fillId="0" borderId="0" xfId="0" applyNumberFormat="1" applyFont="1"/>
    <xf numFmtId="4" fontId="0" fillId="0" borderId="1" xfId="0" applyNumberFormat="1" applyBorder="1"/>
    <xf numFmtId="10" fontId="1" fillId="0" borderId="1" xfId="2" applyNumberFormat="1" applyFont="1" applyBorder="1" applyAlignment="1">
      <alignment horizontal="center"/>
    </xf>
    <xf numFmtId="0" fontId="0" fillId="0" borderId="0" xfId="0" applyFill="1"/>
    <xf numFmtId="167" fontId="1" fillId="0" borderId="0" xfId="0" applyNumberFormat="1" applyFont="1" applyAlignment="1"/>
    <xf numFmtId="4" fontId="1" fillId="5" borderId="1" xfId="0" applyNumberFormat="1" applyFont="1" applyFill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4" fontId="1" fillId="0" borderId="0" xfId="0" applyNumberFormat="1" applyFont="1" applyAlignment="1"/>
    <xf numFmtId="164" fontId="1" fillId="0" borderId="0" xfId="3" applyFont="1" applyFill="1"/>
    <xf numFmtId="165" fontId="2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164" fontId="1" fillId="0" borderId="1" xfId="3" applyFont="1" applyBorder="1" applyAlignment="1">
      <alignment horizontal="center"/>
    </xf>
    <xf numFmtId="10" fontId="1" fillId="3" borderId="1" xfId="2" applyNumberFormat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8" fontId="2" fillId="0" borderId="0" xfId="0" applyNumberFormat="1" applyFont="1"/>
    <xf numFmtId="0" fontId="5" fillId="2" borderId="2" xfId="0" applyFont="1" applyFill="1" applyBorder="1" applyAlignment="1">
      <alignment horizontal="center" vertical="center" wrapText="1"/>
    </xf>
  </cellXfs>
  <cellStyles count="5">
    <cellStyle name="Millares" xfId="3" builtinId="3"/>
    <cellStyle name="Normal" xfId="0" builtinId="0"/>
    <cellStyle name="Normal 13 2" xfId="4" xr:uid="{00000000-0005-0000-0000-000002000000}"/>
    <cellStyle name="Normal 2" xfId="1" xr:uid="{00000000-0005-0000-0000-000003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8"/>
  <sheetViews>
    <sheetView zoomScaleNormal="100" workbookViewId="0">
      <pane xSplit="2" ySplit="7" topLeftCell="AA13" activePane="bottomRight" state="frozen"/>
      <selection pane="bottomRight" activeCell="A127" sqref="A127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.28515625" style="9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0.28515625" style="9" customWidth="1"/>
    <col min="19" max="19" width="16.140625" style="9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42578125" style="9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1735321112</v>
      </c>
      <c r="D8" s="56">
        <v>0.35649178289367001</v>
      </c>
      <c r="E8" s="56" t="s">
        <v>26</v>
      </c>
      <c r="F8" s="56" t="s">
        <v>26</v>
      </c>
      <c r="G8" s="55">
        <v>50302108444.209999</v>
      </c>
      <c r="H8" s="56">
        <v>0.37914111138187001</v>
      </c>
      <c r="I8" s="56" t="s">
        <v>26</v>
      </c>
      <c r="J8" s="56" t="s">
        <v>26</v>
      </c>
      <c r="K8" s="55">
        <v>653614958.32000005</v>
      </c>
      <c r="L8" s="56">
        <v>0.27716316071170999</v>
      </c>
      <c r="M8" s="56" t="s">
        <v>26</v>
      </c>
      <c r="N8" s="56" t="s">
        <v>26</v>
      </c>
      <c r="O8" s="55">
        <v>61554736084.139999</v>
      </c>
      <c r="P8" s="56">
        <v>0.31175845931591001</v>
      </c>
      <c r="Q8" s="56" t="s">
        <v>26</v>
      </c>
      <c r="R8" s="56" t="s">
        <v>26</v>
      </c>
      <c r="S8" s="55">
        <v>36772756005.739998</v>
      </c>
      <c r="T8" s="56">
        <v>0.37113884439952</v>
      </c>
      <c r="U8" s="56" t="s">
        <v>26</v>
      </c>
      <c r="V8" s="56" t="s">
        <v>26</v>
      </c>
      <c r="W8" s="55">
        <v>1586527620.25</v>
      </c>
      <c r="X8" s="56">
        <v>0.28184263555703998</v>
      </c>
      <c r="Y8" s="56" t="s">
        <v>26</v>
      </c>
      <c r="Z8" s="56" t="s">
        <v>26</v>
      </c>
      <c r="AA8" s="55">
        <v>47052716311.18</v>
      </c>
      <c r="AB8" s="56">
        <v>0.38568318519248002</v>
      </c>
      <c r="AC8" s="56" t="s">
        <v>26</v>
      </c>
      <c r="AD8" s="56" t="s">
        <v>26</v>
      </c>
      <c r="AE8" s="55">
        <v>199657780535.84</v>
      </c>
      <c r="AF8" s="56">
        <v>0.35397060272293002</v>
      </c>
      <c r="AG8" s="56" t="s">
        <v>26</v>
      </c>
      <c r="AH8" s="56" t="s">
        <v>26</v>
      </c>
      <c r="AI8" s="55">
        <v>6105431785.54</v>
      </c>
      <c r="AJ8" s="56">
        <v>0.39126867316398001</v>
      </c>
      <c r="AK8" s="56" t="s">
        <v>26</v>
      </c>
      <c r="AL8" s="56" t="s">
        <v>26</v>
      </c>
      <c r="AM8" s="55">
        <v>5033990119.3999996</v>
      </c>
      <c r="AN8" s="56">
        <v>0.22095392176940001</v>
      </c>
      <c r="AO8" s="56" t="s">
        <v>26</v>
      </c>
      <c r="AP8" s="56" t="s">
        <v>26</v>
      </c>
      <c r="AQ8" s="55">
        <v>11139421904.940001</v>
      </c>
      <c r="AR8" s="56">
        <v>0.29018600105786002</v>
      </c>
      <c r="AS8" s="56" t="s">
        <v>26</v>
      </c>
      <c r="AT8" s="56" t="s">
        <v>26</v>
      </c>
      <c r="AU8" s="55">
        <v>15532601580.74</v>
      </c>
      <c r="AV8" s="56">
        <v>0.39182501495916</v>
      </c>
      <c r="AW8" s="56" t="s">
        <v>26</v>
      </c>
      <c r="AX8" s="56" t="s">
        <v>26</v>
      </c>
      <c r="AY8" s="55">
        <v>226329804021.51999</v>
      </c>
      <c r="AZ8" s="56">
        <v>0.35249431104100998</v>
      </c>
      <c r="BA8" s="56" t="s">
        <v>26</v>
      </c>
      <c r="BB8" s="56" t="s">
        <v>26</v>
      </c>
    </row>
    <row r="9" spans="1:54" s="7" customFormat="1">
      <c r="A9" s="5" t="s">
        <v>27</v>
      </c>
      <c r="B9" s="24" t="s">
        <v>25</v>
      </c>
      <c r="C9" s="10">
        <v>1735321112</v>
      </c>
      <c r="D9" s="11">
        <v>0.35649178289367001</v>
      </c>
      <c r="E9" s="11">
        <v>0.5</v>
      </c>
      <c r="F9" s="11">
        <v>0.14349999999999999</v>
      </c>
      <c r="G9" s="10">
        <v>50302108444.209999</v>
      </c>
      <c r="H9" s="11">
        <v>0.37914111138187001</v>
      </c>
      <c r="I9" s="11">
        <v>0.5</v>
      </c>
      <c r="J9" s="11">
        <v>0.12089999999999999</v>
      </c>
      <c r="K9" s="10">
        <v>653614958.32000005</v>
      </c>
      <c r="L9" s="11">
        <v>0.27716316071170999</v>
      </c>
      <c r="M9" s="11">
        <v>0.5</v>
      </c>
      <c r="N9" s="11">
        <v>0.2228</v>
      </c>
      <c r="O9" s="10">
        <v>61554736084.139999</v>
      </c>
      <c r="P9" s="11">
        <v>0.31175845931591001</v>
      </c>
      <c r="Q9" s="11">
        <v>0.5</v>
      </c>
      <c r="R9" s="11">
        <v>0.18820000000000001</v>
      </c>
      <c r="S9" s="10">
        <v>36772756005.739998</v>
      </c>
      <c r="T9" s="11">
        <v>0.37113884439952</v>
      </c>
      <c r="U9" s="11">
        <v>0.5</v>
      </c>
      <c r="V9" s="11">
        <v>0.12889999999999999</v>
      </c>
      <c r="W9" s="10">
        <v>1586527620.25</v>
      </c>
      <c r="X9" s="11">
        <v>0.28184263555703998</v>
      </c>
      <c r="Y9" s="11">
        <v>0.5</v>
      </c>
      <c r="Z9" s="11">
        <v>0.21820000000000001</v>
      </c>
      <c r="AA9" s="10">
        <v>47052716311.18</v>
      </c>
      <c r="AB9" s="11">
        <v>0.38568318519248002</v>
      </c>
      <c r="AC9" s="11">
        <v>0.5</v>
      </c>
      <c r="AD9" s="11">
        <v>0.1143</v>
      </c>
      <c r="AE9" s="10">
        <v>199657780535.84</v>
      </c>
      <c r="AF9" s="11">
        <v>0.35397060272293002</v>
      </c>
      <c r="AG9" s="11">
        <v>0.5</v>
      </c>
      <c r="AH9" s="11">
        <v>0.14599999999999999</v>
      </c>
      <c r="AI9" s="10">
        <v>6105431785.54</v>
      </c>
      <c r="AJ9" s="11">
        <v>0.39126867316398001</v>
      </c>
      <c r="AK9" s="11">
        <v>0.5</v>
      </c>
      <c r="AL9" s="11">
        <v>0.1087</v>
      </c>
      <c r="AM9" s="10">
        <v>5033990119.3999996</v>
      </c>
      <c r="AN9" s="11">
        <v>0.22095392176940001</v>
      </c>
      <c r="AO9" s="11">
        <v>0.5</v>
      </c>
      <c r="AP9" s="11">
        <v>0.27900000000000003</v>
      </c>
      <c r="AQ9" s="10">
        <v>11139421904.940001</v>
      </c>
      <c r="AR9" s="11">
        <v>0.29018600105786002</v>
      </c>
      <c r="AS9" s="11">
        <v>0.5</v>
      </c>
      <c r="AT9" s="11">
        <v>0.20979999999999999</v>
      </c>
      <c r="AU9" s="10">
        <v>15532601580.74</v>
      </c>
      <c r="AV9" s="11">
        <v>0.39182501495916</v>
      </c>
      <c r="AW9" s="11">
        <v>0.5</v>
      </c>
      <c r="AX9" s="11">
        <v>0.1082</v>
      </c>
      <c r="AY9" s="10">
        <v>226329804021.51999</v>
      </c>
      <c r="AZ9" s="11">
        <v>0.35249431104100998</v>
      </c>
      <c r="BA9" s="11">
        <v>0.5</v>
      </c>
      <c r="BB9" s="11">
        <v>0.14749999999999999</v>
      </c>
    </row>
    <row r="10" spans="1:54">
      <c r="A10" s="3" t="s">
        <v>28</v>
      </c>
      <c r="B10" s="24" t="s">
        <v>29</v>
      </c>
      <c r="C10" s="2">
        <v>1735321112</v>
      </c>
      <c r="D10" s="1">
        <v>1</v>
      </c>
      <c r="E10" s="1" t="s">
        <v>26</v>
      </c>
      <c r="F10" s="1" t="s">
        <v>26</v>
      </c>
      <c r="G10" s="2">
        <v>50302108444.209999</v>
      </c>
      <c r="H10" s="1">
        <v>1</v>
      </c>
      <c r="I10" s="1" t="s">
        <v>26</v>
      </c>
      <c r="J10" s="1" t="s">
        <v>26</v>
      </c>
      <c r="K10" s="2">
        <v>653614958.32000005</v>
      </c>
      <c r="L10" s="1">
        <v>1</v>
      </c>
      <c r="M10" s="1" t="s">
        <v>26</v>
      </c>
      <c r="N10" s="1" t="s">
        <v>26</v>
      </c>
      <c r="O10" s="2">
        <v>61554736084.139999</v>
      </c>
      <c r="P10" s="1">
        <v>1</v>
      </c>
      <c r="Q10" s="1" t="s">
        <v>26</v>
      </c>
      <c r="R10" s="1" t="s">
        <v>26</v>
      </c>
      <c r="S10" s="2">
        <v>36772756005.739998</v>
      </c>
      <c r="T10" s="1">
        <v>1</v>
      </c>
      <c r="U10" s="1" t="s">
        <v>26</v>
      </c>
      <c r="V10" s="1" t="s">
        <v>26</v>
      </c>
      <c r="W10" s="2">
        <v>1586527620.25</v>
      </c>
      <c r="X10" s="1">
        <v>1</v>
      </c>
      <c r="Y10" s="1" t="s">
        <v>26</v>
      </c>
      <c r="Z10" s="1" t="s">
        <v>26</v>
      </c>
      <c r="AA10" s="2">
        <v>47052716311.18</v>
      </c>
      <c r="AB10" s="1">
        <v>1</v>
      </c>
      <c r="AC10" s="1" t="s">
        <v>26</v>
      </c>
      <c r="AD10" s="1" t="s">
        <v>26</v>
      </c>
      <c r="AE10" s="2">
        <v>199657780535.84</v>
      </c>
      <c r="AF10" s="1">
        <v>1</v>
      </c>
      <c r="AG10" s="1" t="s">
        <v>26</v>
      </c>
      <c r="AH10" s="1" t="s">
        <v>26</v>
      </c>
      <c r="AI10" s="2">
        <v>6105431785.54</v>
      </c>
      <c r="AJ10" s="1">
        <v>1</v>
      </c>
      <c r="AK10" s="1" t="s">
        <v>26</v>
      </c>
      <c r="AL10" s="1" t="s">
        <v>26</v>
      </c>
      <c r="AM10" s="2">
        <v>5033990119.3999996</v>
      </c>
      <c r="AN10" s="1">
        <v>1</v>
      </c>
      <c r="AO10" s="1" t="s">
        <v>26</v>
      </c>
      <c r="AP10" s="1" t="s">
        <v>26</v>
      </c>
      <c r="AQ10" s="2">
        <v>11139421904.940001</v>
      </c>
      <c r="AR10" s="1">
        <v>1</v>
      </c>
      <c r="AS10" s="1" t="s">
        <v>26</v>
      </c>
      <c r="AT10" s="1" t="s">
        <v>26</v>
      </c>
      <c r="AU10" s="2">
        <v>15532601580.74</v>
      </c>
      <c r="AV10" s="1">
        <v>1</v>
      </c>
      <c r="AW10" s="1" t="s">
        <v>26</v>
      </c>
      <c r="AX10" s="1" t="s">
        <v>26</v>
      </c>
      <c r="AY10" s="2">
        <v>226329804021.51999</v>
      </c>
      <c r="AZ10" s="1">
        <v>1</v>
      </c>
      <c r="BA10" s="1" t="s">
        <v>26</v>
      </c>
      <c r="BB10" s="1" t="s">
        <v>26</v>
      </c>
    </row>
    <row r="11" spans="1:54">
      <c r="A11" s="13" t="s">
        <v>30</v>
      </c>
      <c r="B11" s="25" t="s">
        <v>25</v>
      </c>
      <c r="C11" s="55">
        <v>2109221870.3699999</v>
      </c>
      <c r="D11" s="56">
        <v>0.43330324277558002</v>
      </c>
      <c r="E11" s="56" t="s">
        <v>26</v>
      </c>
      <c r="F11" s="56" t="s">
        <v>26</v>
      </c>
      <c r="G11" s="55">
        <v>53943428864.110001</v>
      </c>
      <c r="H11" s="56">
        <v>0.40658676552238998</v>
      </c>
      <c r="I11" s="56" t="s">
        <v>26</v>
      </c>
      <c r="J11" s="56" t="s">
        <v>26</v>
      </c>
      <c r="K11" s="55">
        <v>740442246.48000002</v>
      </c>
      <c r="L11" s="56">
        <v>0.31398197171981002</v>
      </c>
      <c r="M11" s="56" t="s">
        <v>26</v>
      </c>
      <c r="N11" s="56" t="s">
        <v>26</v>
      </c>
      <c r="O11" s="55">
        <v>88367239038.470001</v>
      </c>
      <c r="P11" s="56">
        <v>0.44755669586459002</v>
      </c>
      <c r="Q11" s="56" t="s">
        <v>26</v>
      </c>
      <c r="R11" s="56" t="s">
        <v>26</v>
      </c>
      <c r="S11" s="55">
        <v>37221664043.989998</v>
      </c>
      <c r="T11" s="56">
        <v>0.37566956846415001</v>
      </c>
      <c r="U11" s="56" t="s">
        <v>26</v>
      </c>
      <c r="V11" s="56" t="s">
        <v>26</v>
      </c>
      <c r="W11" s="55">
        <v>2549308400.46</v>
      </c>
      <c r="X11" s="56">
        <v>0.45287821608813</v>
      </c>
      <c r="Y11" s="56" t="s">
        <v>26</v>
      </c>
      <c r="Z11" s="56" t="s">
        <v>26</v>
      </c>
      <c r="AA11" s="55">
        <v>49639235121.610001</v>
      </c>
      <c r="AB11" s="56">
        <v>0.40688444394169998</v>
      </c>
      <c r="AC11" s="56" t="s">
        <v>26</v>
      </c>
      <c r="AD11" s="56" t="s">
        <v>26</v>
      </c>
      <c r="AE11" s="55">
        <v>234570539585.48999</v>
      </c>
      <c r="AF11" s="56">
        <v>0.41586696524062999</v>
      </c>
      <c r="AG11" s="56" t="s">
        <v>26</v>
      </c>
      <c r="AH11" s="56" t="s">
        <v>26</v>
      </c>
      <c r="AI11" s="55">
        <v>6470466609.3299999</v>
      </c>
      <c r="AJ11" s="56">
        <v>0.41466205403856998</v>
      </c>
      <c r="AK11" s="56" t="s">
        <v>26</v>
      </c>
      <c r="AL11" s="56" t="s">
        <v>26</v>
      </c>
      <c r="AM11" s="55">
        <v>11290265317.639999</v>
      </c>
      <c r="AN11" s="56">
        <v>0.49555687249678998</v>
      </c>
      <c r="AO11" s="56" t="s">
        <v>26</v>
      </c>
      <c r="AP11" s="56" t="s">
        <v>26</v>
      </c>
      <c r="AQ11" s="55">
        <v>17760731926.970001</v>
      </c>
      <c r="AR11" s="56">
        <v>0.46267354066754002</v>
      </c>
      <c r="AS11" s="56" t="s">
        <v>26</v>
      </c>
      <c r="AT11" s="56" t="s">
        <v>26</v>
      </c>
      <c r="AU11" s="55">
        <v>15559635609.67</v>
      </c>
      <c r="AV11" s="56">
        <v>0.39250697468979001</v>
      </c>
      <c r="AW11" s="56" t="s">
        <v>26</v>
      </c>
      <c r="AX11" s="56" t="s">
        <v>26</v>
      </c>
      <c r="AY11" s="55">
        <v>267890907122.13</v>
      </c>
      <c r="AZ11" s="56">
        <v>0.41722309241777</v>
      </c>
      <c r="BA11" s="56" t="s">
        <v>26</v>
      </c>
      <c r="BB11" s="56" t="s">
        <v>26</v>
      </c>
    </row>
    <row r="12" spans="1:54" s="7" customFormat="1">
      <c r="A12" s="5" t="s">
        <v>31</v>
      </c>
      <c r="B12" s="24" t="s">
        <v>25</v>
      </c>
      <c r="C12" s="10">
        <v>2109221870.3699999</v>
      </c>
      <c r="D12" s="11">
        <v>0.43330324277558002</v>
      </c>
      <c r="E12" s="11">
        <v>0.5</v>
      </c>
      <c r="F12" s="11">
        <v>6.6699999999999995E-2</v>
      </c>
      <c r="G12" s="10">
        <v>53943428864.110001</v>
      </c>
      <c r="H12" s="11">
        <v>0.40658676552238998</v>
      </c>
      <c r="I12" s="11">
        <v>0.5</v>
      </c>
      <c r="J12" s="11">
        <v>9.3399999999999997E-2</v>
      </c>
      <c r="K12" s="10">
        <v>740442246.48000002</v>
      </c>
      <c r="L12" s="11">
        <v>0.31398197171981002</v>
      </c>
      <c r="M12" s="11">
        <v>0.5</v>
      </c>
      <c r="N12" s="11">
        <v>0.186</v>
      </c>
      <c r="O12" s="10">
        <v>88367239038.470001</v>
      </c>
      <c r="P12" s="11">
        <v>0.44755669586459002</v>
      </c>
      <c r="Q12" s="11">
        <v>0.5</v>
      </c>
      <c r="R12" s="11">
        <v>5.2400000000000002E-2</v>
      </c>
      <c r="S12" s="10">
        <v>37221664043.989998</v>
      </c>
      <c r="T12" s="11">
        <v>0.37566956846415001</v>
      </c>
      <c r="U12" s="11">
        <v>0.5</v>
      </c>
      <c r="V12" s="11">
        <v>0.12429999999999999</v>
      </c>
      <c r="W12" s="10">
        <v>2549308400.46</v>
      </c>
      <c r="X12" s="11">
        <v>0.45287821608813</v>
      </c>
      <c r="Y12" s="11">
        <v>0.5</v>
      </c>
      <c r="Z12" s="11">
        <v>4.7100000000000003E-2</v>
      </c>
      <c r="AA12" s="10">
        <v>49639235121.610001</v>
      </c>
      <c r="AB12" s="11">
        <v>0.40688444394169998</v>
      </c>
      <c r="AC12" s="11">
        <v>0.5</v>
      </c>
      <c r="AD12" s="11">
        <v>9.3100000000000002E-2</v>
      </c>
      <c r="AE12" s="10">
        <v>234570539585.48999</v>
      </c>
      <c r="AF12" s="11">
        <v>0.41586696524062999</v>
      </c>
      <c r="AG12" s="11">
        <v>0.5</v>
      </c>
      <c r="AH12" s="11">
        <v>8.4099999999999994E-2</v>
      </c>
      <c r="AI12" s="10">
        <v>6470466609.3299999</v>
      </c>
      <c r="AJ12" s="11">
        <v>0.41466205403856998</v>
      </c>
      <c r="AK12" s="11">
        <v>0.5</v>
      </c>
      <c r="AL12" s="11">
        <v>8.5300000000000001E-2</v>
      </c>
      <c r="AM12" s="10">
        <v>11290265317.639999</v>
      </c>
      <c r="AN12" s="11">
        <v>0.49555687249678998</v>
      </c>
      <c r="AO12" s="11">
        <v>0.5</v>
      </c>
      <c r="AP12" s="11">
        <v>4.4000000000000003E-3</v>
      </c>
      <c r="AQ12" s="10">
        <v>17760731926.970001</v>
      </c>
      <c r="AR12" s="11">
        <v>0.46267354066754002</v>
      </c>
      <c r="AS12" s="11">
        <v>0.5</v>
      </c>
      <c r="AT12" s="11">
        <v>3.73E-2</v>
      </c>
      <c r="AU12" s="10">
        <v>15559635609.67</v>
      </c>
      <c r="AV12" s="11">
        <v>0.39250697468979001</v>
      </c>
      <c r="AW12" s="11">
        <v>0.5</v>
      </c>
      <c r="AX12" s="11">
        <v>0.1075</v>
      </c>
      <c r="AY12" s="10">
        <v>267890907122.13</v>
      </c>
      <c r="AZ12" s="11">
        <v>0.41722309241777</v>
      </c>
      <c r="BA12" s="11">
        <v>0.5</v>
      </c>
      <c r="BB12" s="11">
        <v>8.2799999999999999E-2</v>
      </c>
    </row>
    <row r="13" spans="1:54">
      <c r="A13" s="3" t="s">
        <v>32</v>
      </c>
      <c r="B13" s="24" t="s">
        <v>29</v>
      </c>
      <c r="C13" s="2">
        <v>1056210262.72</v>
      </c>
      <c r="D13" s="1">
        <v>0.50075825476563995</v>
      </c>
      <c r="E13" s="1" t="s">
        <v>26</v>
      </c>
      <c r="F13" s="1" t="s">
        <v>26</v>
      </c>
      <c r="G13" s="2">
        <v>20959500352.599998</v>
      </c>
      <c r="H13" s="1">
        <v>0.38854594144172</v>
      </c>
      <c r="I13" s="1" t="s">
        <v>26</v>
      </c>
      <c r="J13" s="1" t="s">
        <v>26</v>
      </c>
      <c r="K13" s="2">
        <v>278023585.95999998</v>
      </c>
      <c r="L13" s="1">
        <v>0.37548314845851</v>
      </c>
      <c r="M13" s="1" t="s">
        <v>26</v>
      </c>
      <c r="N13" s="1" t="s">
        <v>26</v>
      </c>
      <c r="O13" s="2">
        <v>25978682458.560001</v>
      </c>
      <c r="P13" s="1">
        <v>0.29398544914649</v>
      </c>
      <c r="Q13" s="1" t="s">
        <v>26</v>
      </c>
      <c r="R13" s="1" t="s">
        <v>26</v>
      </c>
      <c r="S13" s="2">
        <v>16165679220.35</v>
      </c>
      <c r="T13" s="1">
        <v>0.43430834261586998</v>
      </c>
      <c r="U13" s="1" t="s">
        <v>26</v>
      </c>
      <c r="V13" s="1" t="s">
        <v>26</v>
      </c>
      <c r="W13" s="2">
        <v>1495301708.9200001</v>
      </c>
      <c r="X13" s="1">
        <v>0.58655190900017995</v>
      </c>
      <c r="Y13" s="1" t="s">
        <v>26</v>
      </c>
      <c r="Z13" s="1" t="s">
        <v>26</v>
      </c>
      <c r="AA13" s="2">
        <v>25162909956.400002</v>
      </c>
      <c r="AB13" s="1">
        <v>0.50691574708501996</v>
      </c>
      <c r="AC13" s="1" t="s">
        <v>26</v>
      </c>
      <c r="AD13" s="1" t="s">
        <v>26</v>
      </c>
      <c r="AE13" s="2">
        <v>91096307545.509995</v>
      </c>
      <c r="AF13" s="1">
        <v>0.38835357460697001</v>
      </c>
      <c r="AG13" s="1" t="s">
        <v>26</v>
      </c>
      <c r="AH13" s="1" t="s">
        <v>26</v>
      </c>
      <c r="AI13" s="2">
        <v>1732860071.73</v>
      </c>
      <c r="AJ13" s="1">
        <v>0.26781068141691</v>
      </c>
      <c r="AK13" s="1" t="s">
        <v>26</v>
      </c>
      <c r="AL13" s="1" t="s">
        <v>26</v>
      </c>
      <c r="AM13" s="2">
        <v>6814822328.2700005</v>
      </c>
      <c r="AN13" s="1">
        <v>0.60360161046192995</v>
      </c>
      <c r="AO13" s="1" t="s">
        <v>26</v>
      </c>
      <c r="AP13" s="1" t="s">
        <v>26</v>
      </c>
      <c r="AQ13" s="2">
        <v>8547682400</v>
      </c>
      <c r="AR13" s="1">
        <v>0.48126858933219002</v>
      </c>
      <c r="AS13" s="1" t="s">
        <v>26</v>
      </c>
      <c r="AT13" s="1" t="s">
        <v>26</v>
      </c>
      <c r="AU13" s="2">
        <v>8115375198.79</v>
      </c>
      <c r="AV13" s="1">
        <v>0.5215658902543</v>
      </c>
      <c r="AW13" s="1" t="s">
        <v>26</v>
      </c>
      <c r="AX13" s="1" t="s">
        <v>26</v>
      </c>
      <c r="AY13" s="2">
        <v>107759365144.3</v>
      </c>
      <c r="AZ13" s="1">
        <v>0.40225092483327002</v>
      </c>
      <c r="BA13" s="1" t="s">
        <v>26</v>
      </c>
      <c r="BB13" s="1" t="s">
        <v>26</v>
      </c>
    </row>
    <row r="14" spans="1:54">
      <c r="A14" s="3" t="s">
        <v>33</v>
      </c>
      <c r="B14" s="24" t="s">
        <v>29</v>
      </c>
      <c r="C14" s="2">
        <v>1053011607.65</v>
      </c>
      <c r="D14" s="1">
        <v>0.49924174523435999</v>
      </c>
      <c r="E14" s="1" t="s">
        <v>26</v>
      </c>
      <c r="F14" s="1" t="s">
        <v>26</v>
      </c>
      <c r="G14" s="2">
        <v>32983928511.509998</v>
      </c>
      <c r="H14" s="1">
        <v>0.61145405855827994</v>
      </c>
      <c r="I14" s="1" t="s">
        <v>26</v>
      </c>
      <c r="J14" s="1" t="s">
        <v>26</v>
      </c>
      <c r="K14" s="2">
        <v>462418660.51999998</v>
      </c>
      <c r="L14" s="1">
        <v>0.62451685154148995</v>
      </c>
      <c r="M14" s="1" t="s">
        <v>26</v>
      </c>
      <c r="N14" s="1" t="s">
        <v>26</v>
      </c>
      <c r="O14" s="2">
        <v>62388556579.910004</v>
      </c>
      <c r="P14" s="1">
        <v>0.70601455085350995</v>
      </c>
      <c r="Q14" s="1" t="s">
        <v>26</v>
      </c>
      <c r="R14" s="1" t="s">
        <v>26</v>
      </c>
      <c r="S14" s="2">
        <v>21055984823.639999</v>
      </c>
      <c r="T14" s="1">
        <v>0.56569165738412996</v>
      </c>
      <c r="U14" s="1" t="s">
        <v>26</v>
      </c>
      <c r="V14" s="1" t="s">
        <v>26</v>
      </c>
      <c r="W14" s="2">
        <v>1054006691.54</v>
      </c>
      <c r="X14" s="1">
        <v>0.41344809099981999</v>
      </c>
      <c r="Y14" s="1" t="s">
        <v>26</v>
      </c>
      <c r="Z14" s="1" t="s">
        <v>26</v>
      </c>
      <c r="AA14" s="2">
        <v>24476325165.209999</v>
      </c>
      <c r="AB14" s="1">
        <v>0.49308425291497998</v>
      </c>
      <c r="AC14" s="1" t="s">
        <v>26</v>
      </c>
      <c r="AD14" s="1" t="s">
        <v>26</v>
      </c>
      <c r="AE14" s="2">
        <v>143474232039.98001</v>
      </c>
      <c r="AF14" s="1">
        <v>0.61164642539303005</v>
      </c>
      <c r="AG14" s="1" t="s">
        <v>26</v>
      </c>
      <c r="AH14" s="1" t="s">
        <v>26</v>
      </c>
      <c r="AI14" s="2">
        <v>4737606537.6000004</v>
      </c>
      <c r="AJ14" s="1">
        <v>0.73218931858309</v>
      </c>
      <c r="AK14" s="1" t="s">
        <v>26</v>
      </c>
      <c r="AL14" s="1" t="s">
        <v>26</v>
      </c>
      <c r="AM14" s="2">
        <v>4475442989.3699999</v>
      </c>
      <c r="AN14" s="1">
        <v>0.39639838953807</v>
      </c>
      <c r="AO14" s="1" t="s">
        <v>26</v>
      </c>
      <c r="AP14" s="1" t="s">
        <v>26</v>
      </c>
      <c r="AQ14" s="2">
        <v>9213049526.9699993</v>
      </c>
      <c r="AR14" s="1">
        <v>0.51873141066781003</v>
      </c>
      <c r="AS14" s="1" t="s">
        <v>26</v>
      </c>
      <c r="AT14" s="1" t="s">
        <v>26</v>
      </c>
      <c r="AU14" s="2">
        <v>7444260410.8800001</v>
      </c>
      <c r="AV14" s="1">
        <v>0.4784341097457</v>
      </c>
      <c r="AW14" s="1" t="s">
        <v>26</v>
      </c>
      <c r="AX14" s="1" t="s">
        <v>26</v>
      </c>
      <c r="AY14" s="2">
        <v>160131541977.82999</v>
      </c>
      <c r="AZ14" s="1">
        <v>0.59774907516673004</v>
      </c>
      <c r="BA14" s="1" t="s">
        <v>26</v>
      </c>
      <c r="BB14" s="1" t="s">
        <v>26</v>
      </c>
    </row>
    <row r="15" spans="1:54">
      <c r="A15" s="13" t="s">
        <v>34</v>
      </c>
      <c r="B15" s="25" t="s">
        <v>25</v>
      </c>
      <c r="C15" s="55">
        <v>249151120.56999999</v>
      </c>
      <c r="D15" s="56">
        <v>5.118379910655E-2</v>
      </c>
      <c r="E15" s="56" t="s">
        <v>26</v>
      </c>
      <c r="F15" s="56" t="s">
        <v>26</v>
      </c>
      <c r="G15" s="55">
        <v>15679591467.93</v>
      </c>
      <c r="H15" s="56">
        <v>0.11818148222868</v>
      </c>
      <c r="I15" s="56" t="s">
        <v>26</v>
      </c>
      <c r="J15" s="56" t="s">
        <v>26</v>
      </c>
      <c r="K15" s="55">
        <v>295839504.62</v>
      </c>
      <c r="L15" s="56">
        <v>0.12544971794192</v>
      </c>
      <c r="M15" s="56" t="s">
        <v>26</v>
      </c>
      <c r="N15" s="56" t="s">
        <v>26</v>
      </c>
      <c r="O15" s="55">
        <v>15307679175.629999</v>
      </c>
      <c r="P15" s="56">
        <v>7.7529346709790004E-2</v>
      </c>
      <c r="Q15" s="56" t="s">
        <v>26</v>
      </c>
      <c r="R15" s="56" t="s">
        <v>26</v>
      </c>
      <c r="S15" s="55">
        <v>11602831046.84</v>
      </c>
      <c r="T15" s="56">
        <v>0.11710466590578</v>
      </c>
      <c r="U15" s="56" t="s">
        <v>26</v>
      </c>
      <c r="V15" s="56" t="s">
        <v>26</v>
      </c>
      <c r="W15" s="55">
        <v>1311920342.29</v>
      </c>
      <c r="X15" s="56">
        <v>0.23305934431424999</v>
      </c>
      <c r="Y15" s="56" t="s">
        <v>26</v>
      </c>
      <c r="Z15" s="56" t="s">
        <v>26</v>
      </c>
      <c r="AA15" s="55">
        <v>11206595500.24</v>
      </c>
      <c r="AB15" s="56">
        <v>9.1858574521219996E-2</v>
      </c>
      <c r="AC15" s="56" t="s">
        <v>26</v>
      </c>
      <c r="AD15" s="56" t="s">
        <v>26</v>
      </c>
      <c r="AE15" s="55">
        <v>55653608158.120003</v>
      </c>
      <c r="AF15" s="56">
        <v>9.8667535873459999E-2</v>
      </c>
      <c r="AG15" s="56" t="s">
        <v>26</v>
      </c>
      <c r="AH15" s="56" t="s">
        <v>26</v>
      </c>
      <c r="AI15" s="55">
        <v>1662321417.03</v>
      </c>
      <c r="AJ15" s="56">
        <v>0.10653043356472</v>
      </c>
      <c r="AK15" s="56" t="s">
        <v>26</v>
      </c>
      <c r="AL15" s="56" t="s">
        <v>26</v>
      </c>
      <c r="AM15" s="55">
        <v>3616130939.8099999</v>
      </c>
      <c r="AN15" s="56">
        <v>0.15872067561347</v>
      </c>
      <c r="AO15" s="56" t="s">
        <v>26</v>
      </c>
      <c r="AP15" s="56" t="s">
        <v>26</v>
      </c>
      <c r="AQ15" s="55">
        <v>5278452356.8400002</v>
      </c>
      <c r="AR15" s="56">
        <v>0.13750560794600999</v>
      </c>
      <c r="AS15" s="56" t="s">
        <v>26</v>
      </c>
      <c r="AT15" s="56" t="s">
        <v>26</v>
      </c>
      <c r="AU15" s="55">
        <v>4046703973.02</v>
      </c>
      <c r="AV15" s="56">
        <v>0.10208205216118001</v>
      </c>
      <c r="AW15" s="56" t="s">
        <v>26</v>
      </c>
      <c r="AX15" s="56" t="s">
        <v>26</v>
      </c>
      <c r="AY15" s="55">
        <v>64978764487.980003</v>
      </c>
      <c r="AZ15" s="56">
        <v>0.10120030333393</v>
      </c>
      <c r="BA15" s="56" t="s">
        <v>26</v>
      </c>
      <c r="BB15" s="56" t="s">
        <v>26</v>
      </c>
    </row>
    <row r="16" spans="1:54" s="7" customFormat="1">
      <c r="A16" s="5" t="s">
        <v>35</v>
      </c>
      <c r="B16" s="24" t="s">
        <v>25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2964517194.3299999</v>
      </c>
      <c r="H16" s="11">
        <v>2.2344398247549999E-2</v>
      </c>
      <c r="I16" s="11">
        <v>0.15</v>
      </c>
      <c r="J16" s="11">
        <v>0.12770000000000001</v>
      </c>
      <c r="K16" s="10" t="s">
        <v>26</v>
      </c>
      <c r="L16" s="11" t="s">
        <v>26</v>
      </c>
      <c r="M16" s="11" t="s">
        <v>26</v>
      </c>
      <c r="N16" s="11" t="s">
        <v>26</v>
      </c>
      <c r="O16" s="10">
        <v>5925896185.9499998</v>
      </c>
      <c r="P16" s="11">
        <v>3.0013097001549999E-2</v>
      </c>
      <c r="Q16" s="11">
        <v>0.13980000000000001</v>
      </c>
      <c r="R16" s="11">
        <v>0.10979999999999999</v>
      </c>
      <c r="S16" s="10">
        <v>1121837577.28</v>
      </c>
      <c r="T16" s="11">
        <v>1.132244485484E-2</v>
      </c>
      <c r="U16" s="11">
        <v>0.05</v>
      </c>
      <c r="V16" s="11">
        <v>3.8699999999999998E-2</v>
      </c>
      <c r="W16" s="10">
        <v>477895566.14999998</v>
      </c>
      <c r="X16" s="11">
        <v>8.4896943592770002E-2</v>
      </c>
      <c r="Y16" s="11">
        <v>0.15</v>
      </c>
      <c r="Z16" s="11">
        <v>6.5100000000000005E-2</v>
      </c>
      <c r="AA16" s="10">
        <v>4337268634.4899998</v>
      </c>
      <c r="AB16" s="11">
        <v>3.5551859980249997E-2</v>
      </c>
      <c r="AC16" s="11">
        <v>0.1361</v>
      </c>
      <c r="AD16" s="11">
        <v>0.10050000000000001</v>
      </c>
      <c r="AE16" s="10">
        <v>14827415158.200001</v>
      </c>
      <c r="AF16" s="11">
        <v>2.6287325574220002E-2</v>
      </c>
      <c r="AG16" s="11">
        <v>0.14080000000000001</v>
      </c>
      <c r="AH16" s="11">
        <v>0.1145</v>
      </c>
      <c r="AI16" s="10">
        <v>384163572.75</v>
      </c>
      <c r="AJ16" s="11">
        <v>2.4619253259670001E-2</v>
      </c>
      <c r="AK16" s="11">
        <v>0.05</v>
      </c>
      <c r="AL16" s="11">
        <v>2.5399999999999999E-2</v>
      </c>
      <c r="AM16" s="10">
        <v>468223207.56</v>
      </c>
      <c r="AN16" s="11">
        <v>2.0551441603969999E-2</v>
      </c>
      <c r="AO16" s="11">
        <v>0.15</v>
      </c>
      <c r="AP16" s="11">
        <v>0.12939999999999999</v>
      </c>
      <c r="AQ16" s="10">
        <v>852386780.30999994</v>
      </c>
      <c r="AR16" s="11">
        <v>2.220498633085E-2</v>
      </c>
      <c r="AS16" s="11">
        <v>0.14360000000000001</v>
      </c>
      <c r="AT16" s="11">
        <v>0.12139999999999999</v>
      </c>
      <c r="AU16" s="10">
        <v>761387673.03999996</v>
      </c>
      <c r="AV16" s="11">
        <v>1.9206746199460001E-2</v>
      </c>
      <c r="AW16" s="11">
        <v>0.13730000000000001</v>
      </c>
      <c r="AX16" s="11">
        <v>0.1181</v>
      </c>
      <c r="AY16" s="10">
        <v>16441189611.549999</v>
      </c>
      <c r="AZ16" s="11">
        <v>2.5606109764790001E-2</v>
      </c>
      <c r="BA16" s="11">
        <v>0.14080000000000001</v>
      </c>
      <c r="BB16" s="11">
        <v>0.1152</v>
      </c>
    </row>
    <row r="17" spans="1:56" s="7" customFormat="1">
      <c r="A17" s="3" t="s">
        <v>36</v>
      </c>
      <c r="B17" s="24" t="s">
        <v>37</v>
      </c>
      <c r="C17" s="2" t="s">
        <v>26</v>
      </c>
      <c r="D17" s="1" t="s">
        <v>26</v>
      </c>
      <c r="E17" s="1" t="s">
        <v>26</v>
      </c>
      <c r="F17" s="1" t="s">
        <v>26</v>
      </c>
      <c r="G17" s="2" t="s">
        <v>26</v>
      </c>
      <c r="H17" s="1" t="s">
        <v>26</v>
      </c>
      <c r="I17" s="1" t="s">
        <v>26</v>
      </c>
      <c r="J17" s="1" t="s">
        <v>26</v>
      </c>
      <c r="K17" s="2" t="s">
        <v>26</v>
      </c>
      <c r="L17" s="1" t="s">
        <v>26</v>
      </c>
      <c r="M17" s="1" t="s">
        <v>26</v>
      </c>
      <c r="N17" s="1" t="s">
        <v>26</v>
      </c>
      <c r="O17" s="2">
        <v>4032172440</v>
      </c>
      <c r="P17" s="1">
        <v>0.68043251408285998</v>
      </c>
      <c r="Q17" s="1" t="s">
        <v>26</v>
      </c>
      <c r="R17" s="1" t="s">
        <v>26</v>
      </c>
      <c r="S17" s="2">
        <v>993930506.46000004</v>
      </c>
      <c r="T17" s="1">
        <v>0.88598432303353003</v>
      </c>
      <c r="U17" s="1" t="s">
        <v>26</v>
      </c>
      <c r="V17" s="1" t="s">
        <v>26</v>
      </c>
      <c r="W17" s="2" t="s">
        <v>26</v>
      </c>
      <c r="X17" s="1" t="s">
        <v>26</v>
      </c>
      <c r="Y17" s="1" t="s">
        <v>26</v>
      </c>
      <c r="Z17" s="1" t="s">
        <v>26</v>
      </c>
      <c r="AA17" s="2">
        <v>4032172440</v>
      </c>
      <c r="AB17" s="1">
        <v>0.92965706756924005</v>
      </c>
      <c r="AC17" s="1" t="s">
        <v>26</v>
      </c>
      <c r="AD17" s="1" t="s">
        <v>26</v>
      </c>
      <c r="AE17" s="2">
        <v>9058275386.4599991</v>
      </c>
      <c r="AF17" s="1">
        <v>0.61091399207571995</v>
      </c>
      <c r="AG17" s="1" t="s">
        <v>26</v>
      </c>
      <c r="AH17" s="1" t="s">
        <v>26</v>
      </c>
      <c r="AI17" s="2">
        <v>360879433.38</v>
      </c>
      <c r="AJ17" s="1">
        <v>0.93939003845855995</v>
      </c>
      <c r="AK17" s="1" t="s">
        <v>26</v>
      </c>
      <c r="AL17" s="1" t="s">
        <v>26</v>
      </c>
      <c r="AM17" s="2" t="s">
        <v>26</v>
      </c>
      <c r="AN17" s="1" t="s">
        <v>26</v>
      </c>
      <c r="AO17" s="1" t="s">
        <v>26</v>
      </c>
      <c r="AP17" s="1" t="s">
        <v>26</v>
      </c>
      <c r="AQ17" s="2">
        <v>360879433.38</v>
      </c>
      <c r="AR17" s="1">
        <v>0.42337521148410001</v>
      </c>
      <c r="AS17" s="1" t="s">
        <v>26</v>
      </c>
      <c r="AT17" s="1" t="s">
        <v>26</v>
      </c>
      <c r="AU17" s="2">
        <v>644139547.28999996</v>
      </c>
      <c r="AV17" s="1">
        <v>0.84600732333652995</v>
      </c>
      <c r="AW17" s="1" t="s">
        <v>26</v>
      </c>
      <c r="AX17" s="1" t="s">
        <v>26</v>
      </c>
      <c r="AY17" s="2">
        <v>10063294367.129999</v>
      </c>
      <c r="AZ17" s="1">
        <v>0.61207823794335003</v>
      </c>
      <c r="BA17" s="1" t="s">
        <v>26</v>
      </c>
      <c r="BB17" s="1" t="s">
        <v>26</v>
      </c>
      <c r="BD17" s="19"/>
    </row>
    <row r="18" spans="1:56">
      <c r="A18" s="3" t="s">
        <v>38</v>
      </c>
      <c r="B18" s="24" t="s">
        <v>39</v>
      </c>
      <c r="C18" s="2" t="s">
        <v>26</v>
      </c>
      <c r="D18" s="1" t="s">
        <v>26</v>
      </c>
      <c r="E18" s="1" t="s">
        <v>26</v>
      </c>
      <c r="F18" s="1" t="s">
        <v>26</v>
      </c>
      <c r="G18" s="2">
        <v>2964517194.3299999</v>
      </c>
      <c r="H18" s="1">
        <v>1</v>
      </c>
      <c r="I18" s="1" t="s">
        <v>26</v>
      </c>
      <c r="J18" s="1" t="s">
        <v>26</v>
      </c>
      <c r="K18" s="2" t="s">
        <v>26</v>
      </c>
      <c r="L18" s="1" t="s">
        <v>26</v>
      </c>
      <c r="M18" s="1" t="s">
        <v>26</v>
      </c>
      <c r="N18" s="1" t="s">
        <v>26</v>
      </c>
      <c r="O18" s="2">
        <v>1893723745.95</v>
      </c>
      <c r="P18" s="1">
        <v>0.31956748591714002</v>
      </c>
      <c r="Q18" s="1" t="s">
        <v>26</v>
      </c>
      <c r="R18" s="1" t="s">
        <v>26</v>
      </c>
      <c r="S18" s="2">
        <v>127907070.81999999</v>
      </c>
      <c r="T18" s="1">
        <v>0.11401567696647</v>
      </c>
      <c r="U18" s="1" t="s">
        <v>26</v>
      </c>
      <c r="V18" s="1" t="s">
        <v>26</v>
      </c>
      <c r="W18" s="2">
        <v>477895566.14999998</v>
      </c>
      <c r="X18" s="1">
        <v>1</v>
      </c>
      <c r="Y18" s="1" t="s">
        <v>26</v>
      </c>
      <c r="Z18" s="1" t="s">
        <v>26</v>
      </c>
      <c r="AA18" s="2">
        <v>305096194.49000001</v>
      </c>
      <c r="AB18" s="1">
        <v>7.0342932430759994E-2</v>
      </c>
      <c r="AC18" s="1" t="s">
        <v>26</v>
      </c>
      <c r="AD18" s="1" t="s">
        <v>26</v>
      </c>
      <c r="AE18" s="2">
        <v>5769139771.7399998</v>
      </c>
      <c r="AF18" s="1">
        <v>0.38908600792428</v>
      </c>
      <c r="AG18" s="1" t="s">
        <v>26</v>
      </c>
      <c r="AH18" s="1" t="s">
        <v>26</v>
      </c>
      <c r="AI18" s="2">
        <v>23284139.370000001</v>
      </c>
      <c r="AJ18" s="1">
        <v>6.0609961541440001E-2</v>
      </c>
      <c r="AK18" s="1" t="s">
        <v>26</v>
      </c>
      <c r="AL18" s="1" t="s">
        <v>26</v>
      </c>
      <c r="AM18" s="2">
        <v>468223207.56</v>
      </c>
      <c r="AN18" s="1">
        <v>1</v>
      </c>
      <c r="AO18" s="1" t="s">
        <v>26</v>
      </c>
      <c r="AP18" s="1" t="s">
        <v>26</v>
      </c>
      <c r="AQ18" s="2">
        <v>491507346.93000001</v>
      </c>
      <c r="AR18" s="1">
        <v>0.57662478851590004</v>
      </c>
      <c r="AS18" s="1" t="s">
        <v>26</v>
      </c>
      <c r="AT18" s="1" t="s">
        <v>26</v>
      </c>
      <c r="AU18" s="2">
        <v>117248125.75</v>
      </c>
      <c r="AV18" s="1">
        <v>0.15399267666347</v>
      </c>
      <c r="AW18" s="1" t="s">
        <v>26</v>
      </c>
      <c r="AX18" s="1" t="s">
        <v>26</v>
      </c>
      <c r="AY18" s="2">
        <v>6377895244.4200001</v>
      </c>
      <c r="AZ18" s="1">
        <v>0.38792176205665002</v>
      </c>
      <c r="BA18" s="1" t="s">
        <v>26</v>
      </c>
      <c r="BB18" s="1" t="s">
        <v>26</v>
      </c>
    </row>
    <row r="19" spans="1:56" s="7" customFormat="1">
      <c r="A19" s="5" t="s">
        <v>40</v>
      </c>
      <c r="B19" s="24" t="s">
        <v>25</v>
      </c>
      <c r="C19" s="10" t="s">
        <v>26</v>
      </c>
      <c r="D19" s="11" t="s">
        <v>26</v>
      </c>
      <c r="E19" s="11" t="s">
        <v>26</v>
      </c>
      <c r="F19" s="11" t="s">
        <v>26</v>
      </c>
      <c r="G19" s="10" t="s">
        <v>26</v>
      </c>
      <c r="H19" s="11" t="s">
        <v>26</v>
      </c>
      <c r="I19" s="11" t="s">
        <v>26</v>
      </c>
      <c r="J19" s="11" t="s">
        <v>26</v>
      </c>
      <c r="K19" s="10" t="s">
        <v>26</v>
      </c>
      <c r="L19" s="11" t="s">
        <v>26</v>
      </c>
      <c r="M19" s="11" t="s">
        <v>26</v>
      </c>
      <c r="N19" s="11" t="s">
        <v>26</v>
      </c>
      <c r="O19" s="10">
        <v>1271137636.8399999</v>
      </c>
      <c r="P19" s="11">
        <v>6.4379759617199999E-3</v>
      </c>
      <c r="Q19" s="11">
        <v>0.15</v>
      </c>
      <c r="R19" s="11">
        <v>0.14360000000000001</v>
      </c>
      <c r="S19" s="10" t="s">
        <v>26</v>
      </c>
      <c r="T19" s="11" t="s">
        <v>26</v>
      </c>
      <c r="U19" s="11" t="s">
        <v>26</v>
      </c>
      <c r="V19" s="11" t="s">
        <v>26</v>
      </c>
      <c r="W19" s="10" t="s">
        <v>26</v>
      </c>
      <c r="X19" s="11" t="s">
        <v>26</v>
      </c>
      <c r="Y19" s="11" t="s">
        <v>26</v>
      </c>
      <c r="Z19" s="11" t="s">
        <v>26</v>
      </c>
      <c r="AA19" s="10" t="s">
        <v>26</v>
      </c>
      <c r="AB19" s="11" t="s">
        <v>26</v>
      </c>
      <c r="AC19" s="11" t="s">
        <v>26</v>
      </c>
      <c r="AD19" s="11" t="s">
        <v>26</v>
      </c>
      <c r="AE19" s="10">
        <v>1271137636.8399999</v>
      </c>
      <c r="AF19" s="11">
        <v>2.2535828769000002E-3</v>
      </c>
      <c r="AG19" s="11">
        <v>0.15</v>
      </c>
      <c r="AH19" s="11">
        <v>0.1477</v>
      </c>
      <c r="AI19" s="10" t="s">
        <v>26</v>
      </c>
      <c r="AJ19" s="11" t="s">
        <v>26</v>
      </c>
      <c r="AK19" s="11" t="s">
        <v>26</v>
      </c>
      <c r="AL19" s="11" t="s">
        <v>26</v>
      </c>
      <c r="AM19" s="10" t="s">
        <v>26</v>
      </c>
      <c r="AN19" s="11" t="s">
        <v>26</v>
      </c>
      <c r="AO19" s="11" t="s">
        <v>26</v>
      </c>
      <c r="AP19" s="11" t="s">
        <v>26</v>
      </c>
      <c r="AQ19" s="10" t="s">
        <v>26</v>
      </c>
      <c r="AR19" s="11" t="s">
        <v>26</v>
      </c>
      <c r="AS19" s="11" t="s">
        <v>26</v>
      </c>
      <c r="AT19" s="11" t="s">
        <v>26</v>
      </c>
      <c r="AU19" s="10" t="s">
        <v>26</v>
      </c>
      <c r="AV19" s="11" t="s">
        <v>26</v>
      </c>
      <c r="AW19" s="11" t="s">
        <v>26</v>
      </c>
      <c r="AX19" s="11" t="s">
        <v>26</v>
      </c>
      <c r="AY19" s="10">
        <v>1271137636.8399999</v>
      </c>
      <c r="AZ19" s="11">
        <v>1.9797162263899999E-3</v>
      </c>
      <c r="BA19" s="11">
        <v>0.15</v>
      </c>
      <c r="BB19" s="11">
        <v>0.14799999999999999</v>
      </c>
      <c r="BD19" s="20"/>
    </row>
    <row r="20" spans="1:56" s="7" customFormat="1">
      <c r="A20" s="3" t="s">
        <v>38</v>
      </c>
      <c r="B20" s="24" t="s">
        <v>39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1271137636.8399999</v>
      </c>
      <c r="P20" s="1">
        <v>1</v>
      </c>
      <c r="Q20" s="1" t="s">
        <v>26</v>
      </c>
      <c r="R20" s="1" t="s">
        <v>26</v>
      </c>
      <c r="S20" s="2" t="s">
        <v>26</v>
      </c>
      <c r="T20" s="1" t="s">
        <v>26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 t="s">
        <v>26</v>
      </c>
      <c r="AB20" s="1" t="s">
        <v>26</v>
      </c>
      <c r="AC20" s="1" t="s">
        <v>26</v>
      </c>
      <c r="AD20" s="1" t="s">
        <v>26</v>
      </c>
      <c r="AE20" s="2">
        <v>1271137636.8399999</v>
      </c>
      <c r="AF20" s="1">
        <v>1</v>
      </c>
      <c r="AG20" s="1" t="s">
        <v>26</v>
      </c>
      <c r="AH20" s="1" t="s">
        <v>26</v>
      </c>
      <c r="AI20" s="2" t="s">
        <v>26</v>
      </c>
      <c r="AJ20" s="1" t="s">
        <v>26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 t="s">
        <v>26</v>
      </c>
      <c r="AR20" s="1" t="s">
        <v>26</v>
      </c>
      <c r="AS20" s="1" t="s">
        <v>26</v>
      </c>
      <c r="AT20" s="1" t="s">
        <v>26</v>
      </c>
      <c r="AU20" s="2" t="s">
        <v>26</v>
      </c>
      <c r="AV20" s="1" t="s">
        <v>26</v>
      </c>
      <c r="AW20" s="1" t="s">
        <v>26</v>
      </c>
      <c r="AX20" s="1" t="s">
        <v>26</v>
      </c>
      <c r="AY20" s="2">
        <v>1271137636.8399999</v>
      </c>
      <c r="AZ20" s="1">
        <v>1</v>
      </c>
      <c r="BA20" s="1" t="s">
        <v>26</v>
      </c>
      <c r="BB20" s="1" t="s">
        <v>26</v>
      </c>
    </row>
    <row r="21" spans="1:56" s="7" customFormat="1">
      <c r="A21" s="5" t="s">
        <v>41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 t="s">
        <v>26</v>
      </c>
      <c r="H21" s="11" t="s">
        <v>26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10">
        <v>317875633.5</v>
      </c>
      <c r="P21" s="11">
        <v>1.6099560173299999E-3</v>
      </c>
      <c r="Q21" s="11">
        <v>0.15</v>
      </c>
      <c r="R21" s="11">
        <v>0.1484</v>
      </c>
      <c r="S21" s="10">
        <v>134536326.88999999</v>
      </c>
      <c r="T21" s="11">
        <v>1.3578437494299999E-3</v>
      </c>
      <c r="U21" s="11">
        <v>0.15</v>
      </c>
      <c r="V21" s="11">
        <v>0.14860000000000001</v>
      </c>
      <c r="W21" s="10">
        <v>54950906.240000002</v>
      </c>
      <c r="X21" s="11">
        <v>9.7618900819999993E-3</v>
      </c>
      <c r="Y21" s="11">
        <v>0.15</v>
      </c>
      <c r="Z21" s="11">
        <v>0.14019999999999999</v>
      </c>
      <c r="AA21" s="10">
        <v>351207601.81</v>
      </c>
      <c r="AB21" s="11">
        <v>2.8787895184200002E-3</v>
      </c>
      <c r="AC21" s="11">
        <v>0.15</v>
      </c>
      <c r="AD21" s="11">
        <v>0.14710000000000001</v>
      </c>
      <c r="AE21" s="10">
        <v>858570468.44000006</v>
      </c>
      <c r="AF21" s="11">
        <v>1.5221480744600001E-3</v>
      </c>
      <c r="AG21" s="11">
        <v>0.15</v>
      </c>
      <c r="AH21" s="11">
        <v>0.14849999999999999</v>
      </c>
      <c r="AI21" s="10" t="s">
        <v>26</v>
      </c>
      <c r="AJ21" s="11" t="s">
        <v>26</v>
      </c>
      <c r="AK21" s="11" t="s">
        <v>26</v>
      </c>
      <c r="AL21" s="11" t="s">
        <v>26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 t="s">
        <v>26</v>
      </c>
      <c r="AR21" s="11" t="s">
        <v>26</v>
      </c>
      <c r="AS21" s="11" t="s">
        <v>26</v>
      </c>
      <c r="AT21" s="11" t="s">
        <v>26</v>
      </c>
      <c r="AU21" s="10" t="s">
        <v>26</v>
      </c>
      <c r="AV21" s="11" t="s">
        <v>26</v>
      </c>
      <c r="AW21" s="11" t="s">
        <v>26</v>
      </c>
      <c r="AX21" s="11" t="s">
        <v>26</v>
      </c>
      <c r="AY21" s="10">
        <v>858570468.44000006</v>
      </c>
      <c r="AZ21" s="11">
        <v>1.3371690355199999E-3</v>
      </c>
      <c r="BA21" s="11">
        <v>0.15</v>
      </c>
      <c r="BB21" s="11">
        <v>0.1487</v>
      </c>
    </row>
    <row r="22" spans="1:56" s="7" customFormat="1">
      <c r="A22" s="3" t="s">
        <v>38</v>
      </c>
      <c r="B22" s="24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>
        <v>317875633.5</v>
      </c>
      <c r="P22" s="1">
        <v>1</v>
      </c>
      <c r="Q22" s="1" t="s">
        <v>26</v>
      </c>
      <c r="R22" s="1" t="s">
        <v>26</v>
      </c>
      <c r="S22" s="2">
        <v>134536326.88999999</v>
      </c>
      <c r="T22" s="1">
        <v>1</v>
      </c>
      <c r="U22" s="1" t="s">
        <v>26</v>
      </c>
      <c r="V22" s="1" t="s">
        <v>26</v>
      </c>
      <c r="W22" s="2">
        <v>54950906.240000002</v>
      </c>
      <c r="X22" s="1">
        <v>1</v>
      </c>
      <c r="Y22" s="1" t="s">
        <v>26</v>
      </c>
      <c r="Z22" s="1" t="s">
        <v>26</v>
      </c>
      <c r="AA22" s="2">
        <v>351207601.81</v>
      </c>
      <c r="AB22" s="1">
        <v>1</v>
      </c>
      <c r="AC22" s="1" t="s">
        <v>26</v>
      </c>
      <c r="AD22" s="1" t="s">
        <v>26</v>
      </c>
      <c r="AE22" s="2">
        <v>858570468.44000006</v>
      </c>
      <c r="AF22" s="1">
        <v>1</v>
      </c>
      <c r="AG22" s="1" t="s">
        <v>26</v>
      </c>
      <c r="AH22" s="1" t="s">
        <v>26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2" t="s">
        <v>26</v>
      </c>
      <c r="AV22" s="1" t="s">
        <v>26</v>
      </c>
      <c r="AW22" s="1" t="s">
        <v>26</v>
      </c>
      <c r="AX22" s="1" t="s">
        <v>26</v>
      </c>
      <c r="AY22" s="2">
        <v>858570468.44000006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42</v>
      </c>
      <c r="B23" s="24" t="s">
        <v>25</v>
      </c>
      <c r="C23" s="10">
        <v>162448452.12</v>
      </c>
      <c r="D23" s="11">
        <v>3.3372231758209997E-2</v>
      </c>
      <c r="E23" s="11">
        <v>0.13500000000000001</v>
      </c>
      <c r="F23" s="11">
        <v>0.1016</v>
      </c>
      <c r="G23" s="10" t="s">
        <v>26</v>
      </c>
      <c r="H23" s="11" t="s">
        <v>26</v>
      </c>
      <c r="I23" s="11" t="s">
        <v>26</v>
      </c>
      <c r="J23" s="11" t="s">
        <v>26</v>
      </c>
      <c r="K23" s="10" t="s">
        <v>26</v>
      </c>
      <c r="L23" s="11" t="s">
        <v>26</v>
      </c>
      <c r="M23" s="11" t="s">
        <v>26</v>
      </c>
      <c r="N23" s="11" t="s">
        <v>26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10" t="s">
        <v>26</v>
      </c>
      <c r="X23" s="11" t="s">
        <v>26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162448452.12</v>
      </c>
      <c r="AF23" s="11">
        <v>2.8800268316000002E-4</v>
      </c>
      <c r="AG23" s="11">
        <v>0.13500000000000001</v>
      </c>
      <c r="AH23" s="11">
        <v>0.13469999999999999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10">
        <v>162448452.12</v>
      </c>
      <c r="AZ23" s="11">
        <v>2.5300315819000002E-4</v>
      </c>
      <c r="BA23" s="11">
        <v>0.13500000000000001</v>
      </c>
      <c r="BB23" s="11">
        <v>0.13469999999999999</v>
      </c>
    </row>
    <row r="24" spans="1:56" s="7" customFormat="1">
      <c r="A24" s="3" t="s">
        <v>38</v>
      </c>
      <c r="B24" s="24" t="s">
        <v>43</v>
      </c>
      <c r="C24" s="2">
        <v>162448452.12</v>
      </c>
      <c r="D24" s="1">
        <v>1</v>
      </c>
      <c r="E24" s="1" t="s">
        <v>26</v>
      </c>
      <c r="F24" s="1" t="s">
        <v>26</v>
      </c>
      <c r="G24" s="2" t="s">
        <v>26</v>
      </c>
      <c r="H24" s="1" t="s">
        <v>26</v>
      </c>
      <c r="I24" s="1" t="s">
        <v>26</v>
      </c>
      <c r="J24" s="1" t="s">
        <v>26</v>
      </c>
      <c r="K24" s="2" t="s">
        <v>26</v>
      </c>
      <c r="L24" s="1" t="s">
        <v>26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162448452.12</v>
      </c>
      <c r="AF24" s="1">
        <v>1</v>
      </c>
      <c r="AG24" s="1" t="s">
        <v>26</v>
      </c>
      <c r="AH24" s="1" t="s">
        <v>26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2">
        <v>162448452.12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44</v>
      </c>
      <c r="B25" s="24" t="s">
        <v>25</v>
      </c>
      <c r="C25" s="10">
        <v>21007106.800000001</v>
      </c>
      <c r="D25" s="11">
        <v>4.3155476555800003E-3</v>
      </c>
      <c r="E25" s="11">
        <v>0.13500000000000001</v>
      </c>
      <c r="F25" s="11">
        <v>0.13070000000000001</v>
      </c>
      <c r="G25" s="10">
        <v>4821997409.4099998</v>
      </c>
      <c r="H25" s="11">
        <v>3.6344748032020001E-2</v>
      </c>
      <c r="I25" s="11">
        <v>0.1459</v>
      </c>
      <c r="J25" s="11">
        <v>0.1096</v>
      </c>
      <c r="K25" s="10" t="s">
        <v>26</v>
      </c>
      <c r="L25" s="11" t="s">
        <v>26</v>
      </c>
      <c r="M25" s="11" t="s">
        <v>26</v>
      </c>
      <c r="N25" s="11" t="s">
        <v>26</v>
      </c>
      <c r="O25" s="10">
        <v>1312944175</v>
      </c>
      <c r="P25" s="11">
        <v>6.6497150212200002E-3</v>
      </c>
      <c r="Q25" s="11">
        <v>0.13500000000000001</v>
      </c>
      <c r="R25" s="11">
        <v>0.12839999999999999</v>
      </c>
      <c r="S25" s="10">
        <v>3599904724.3699999</v>
      </c>
      <c r="T25" s="11">
        <v>3.6332998243120002E-2</v>
      </c>
      <c r="U25" s="11">
        <v>0.1469</v>
      </c>
      <c r="V25" s="11">
        <v>0.1106</v>
      </c>
      <c r="W25" s="10">
        <v>162514303.31</v>
      </c>
      <c r="X25" s="11">
        <v>2.8870256638450002E-2</v>
      </c>
      <c r="Y25" s="11">
        <v>0.15</v>
      </c>
      <c r="Z25" s="11">
        <v>0.1211</v>
      </c>
      <c r="AA25" s="10">
        <v>1294497025.1099999</v>
      </c>
      <c r="AB25" s="11">
        <v>1.06107739363E-2</v>
      </c>
      <c r="AC25" s="11">
        <v>0.05</v>
      </c>
      <c r="AD25" s="11">
        <v>3.9399999999999998E-2</v>
      </c>
      <c r="AE25" s="10">
        <v>11212864744</v>
      </c>
      <c r="AF25" s="11">
        <v>1.9879137597499999E-2</v>
      </c>
      <c r="AG25" s="11">
        <v>0.1439</v>
      </c>
      <c r="AH25" s="11">
        <v>0.124</v>
      </c>
      <c r="AI25" s="10">
        <v>111127827.73</v>
      </c>
      <c r="AJ25" s="11">
        <v>7.12166464794E-3</v>
      </c>
      <c r="AK25" s="11">
        <v>0.15</v>
      </c>
      <c r="AL25" s="11">
        <v>0.1429</v>
      </c>
      <c r="AM25" s="10">
        <v>49514433.460000001</v>
      </c>
      <c r="AN25" s="11">
        <v>2.17330745545E-3</v>
      </c>
      <c r="AO25" s="11">
        <v>0.15</v>
      </c>
      <c r="AP25" s="11">
        <v>0.14779999999999999</v>
      </c>
      <c r="AQ25" s="10">
        <v>160642261.19</v>
      </c>
      <c r="AR25" s="11">
        <v>4.1847894597600004E-3</v>
      </c>
      <c r="AS25" s="11">
        <v>0.15</v>
      </c>
      <c r="AT25" s="11">
        <v>0.14580000000000001</v>
      </c>
      <c r="AU25" s="10">
        <v>1238794977.95</v>
      </c>
      <c r="AV25" s="11">
        <v>3.1249810808799999E-2</v>
      </c>
      <c r="AW25" s="11">
        <v>0.14299999999999999</v>
      </c>
      <c r="AX25" s="11">
        <v>0.1118</v>
      </c>
      <c r="AY25" s="10">
        <v>12612301983.139999</v>
      </c>
      <c r="AZ25" s="11">
        <v>1.9642860194259999E-2</v>
      </c>
      <c r="BA25" s="11">
        <v>0.1439</v>
      </c>
      <c r="BB25" s="11">
        <v>0.12429999999999999</v>
      </c>
    </row>
    <row r="26" spans="1:56" s="7" customFormat="1">
      <c r="A26" s="3" t="s">
        <v>36</v>
      </c>
      <c r="B26" s="24" t="s">
        <v>37</v>
      </c>
      <c r="C26" s="2">
        <v>21007106.800000001</v>
      </c>
      <c r="D26" s="1">
        <v>1</v>
      </c>
      <c r="E26" s="1" t="s">
        <v>26</v>
      </c>
      <c r="F26" s="1" t="s">
        <v>26</v>
      </c>
      <c r="G26" s="2">
        <v>1312944175</v>
      </c>
      <c r="H26" s="1">
        <v>0.27228222322098999</v>
      </c>
      <c r="I26" s="1" t="s">
        <v>26</v>
      </c>
      <c r="J26" s="1" t="s">
        <v>26</v>
      </c>
      <c r="K26" s="2" t="s">
        <v>26</v>
      </c>
      <c r="L26" s="1" t="s">
        <v>26</v>
      </c>
      <c r="M26" s="1" t="s">
        <v>26</v>
      </c>
      <c r="N26" s="1" t="s">
        <v>26</v>
      </c>
      <c r="O26" s="2">
        <v>1312944175</v>
      </c>
      <c r="P26" s="1">
        <v>1</v>
      </c>
      <c r="Q26" s="1" t="s">
        <v>26</v>
      </c>
      <c r="R26" s="1" t="s">
        <v>26</v>
      </c>
      <c r="S26" s="2">
        <v>735248738</v>
      </c>
      <c r="T26" s="1">
        <v>0.20424116589048999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>
        <v>1180599402.1600001</v>
      </c>
      <c r="AB26" s="1">
        <v>0.91201399405276995</v>
      </c>
      <c r="AC26" s="1" t="s">
        <v>26</v>
      </c>
      <c r="AD26" s="1" t="s">
        <v>26</v>
      </c>
      <c r="AE26" s="2">
        <v>4562743596.96</v>
      </c>
      <c r="AF26" s="1">
        <v>0.40692041696137998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>
        <v>577695437</v>
      </c>
      <c r="AV26" s="1">
        <v>0.46633659910051001</v>
      </c>
      <c r="AW26" s="1" t="s">
        <v>26</v>
      </c>
      <c r="AX26" s="1" t="s">
        <v>26</v>
      </c>
      <c r="AY26" s="2">
        <v>5140439033.96</v>
      </c>
      <c r="AZ26" s="1">
        <v>0.40757341846331002</v>
      </c>
      <c r="BA26" s="1" t="s">
        <v>26</v>
      </c>
      <c r="BB26" s="1" t="s">
        <v>26</v>
      </c>
    </row>
    <row r="27" spans="1:56">
      <c r="A27" s="3" t="s">
        <v>38</v>
      </c>
      <c r="B27" s="24" t="s">
        <v>39</v>
      </c>
      <c r="C27" s="2" t="s">
        <v>26</v>
      </c>
      <c r="D27" s="1" t="s">
        <v>26</v>
      </c>
      <c r="E27" s="1" t="s">
        <v>26</v>
      </c>
      <c r="F27" s="1" t="s">
        <v>26</v>
      </c>
      <c r="G27" s="2">
        <v>3509053234.4099998</v>
      </c>
      <c r="H27" s="1">
        <v>0.72771777677900995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 t="s">
        <v>26</v>
      </c>
      <c r="P27" s="1" t="s">
        <v>26</v>
      </c>
      <c r="Q27" s="1" t="s">
        <v>26</v>
      </c>
      <c r="R27" s="1" t="s">
        <v>26</v>
      </c>
      <c r="S27" s="2">
        <v>2864655986.3699999</v>
      </c>
      <c r="T27" s="1">
        <v>0.79575883410950998</v>
      </c>
      <c r="U27" s="1" t="s">
        <v>26</v>
      </c>
      <c r="V27" s="1" t="s">
        <v>26</v>
      </c>
      <c r="W27" s="2">
        <v>162514303.31</v>
      </c>
      <c r="X27" s="1">
        <v>1</v>
      </c>
      <c r="Y27" s="1" t="s">
        <v>26</v>
      </c>
      <c r="Z27" s="1" t="s">
        <v>26</v>
      </c>
      <c r="AA27" s="2">
        <v>113897622.95</v>
      </c>
      <c r="AB27" s="1">
        <v>8.7986005947229995E-2</v>
      </c>
      <c r="AC27" s="1" t="s">
        <v>26</v>
      </c>
      <c r="AD27" s="1" t="s">
        <v>26</v>
      </c>
      <c r="AE27" s="2">
        <v>6650121147.04</v>
      </c>
      <c r="AF27" s="1">
        <v>0.59307958303861996</v>
      </c>
      <c r="AG27" s="1" t="s">
        <v>26</v>
      </c>
      <c r="AH27" s="1" t="s">
        <v>26</v>
      </c>
      <c r="AI27" s="2">
        <v>111127827.73</v>
      </c>
      <c r="AJ27" s="1">
        <v>1</v>
      </c>
      <c r="AK27" s="1" t="s">
        <v>26</v>
      </c>
      <c r="AL27" s="1" t="s">
        <v>26</v>
      </c>
      <c r="AM27" s="2">
        <v>49514433.460000001</v>
      </c>
      <c r="AN27" s="1">
        <v>1</v>
      </c>
      <c r="AO27" s="1" t="s">
        <v>26</v>
      </c>
      <c r="AP27" s="1" t="s">
        <v>26</v>
      </c>
      <c r="AQ27" s="2">
        <v>160642261.19</v>
      </c>
      <c r="AR27" s="1">
        <v>1</v>
      </c>
      <c r="AS27" s="1" t="s">
        <v>26</v>
      </c>
      <c r="AT27" s="1" t="s">
        <v>26</v>
      </c>
      <c r="AU27" s="2">
        <v>661099540.95000005</v>
      </c>
      <c r="AV27" s="1">
        <v>0.53366340089949005</v>
      </c>
      <c r="AW27" s="1" t="s">
        <v>26</v>
      </c>
      <c r="AX27" s="1" t="s">
        <v>26</v>
      </c>
      <c r="AY27" s="2">
        <v>7471862949.1800003</v>
      </c>
      <c r="AZ27" s="1">
        <v>0.59242658153669003</v>
      </c>
      <c r="BA27" s="1" t="s">
        <v>26</v>
      </c>
      <c r="BB27" s="1" t="s">
        <v>26</v>
      </c>
    </row>
    <row r="28" spans="1:56" s="7" customFormat="1">
      <c r="A28" s="5" t="s">
        <v>45</v>
      </c>
      <c r="B28" s="24" t="s">
        <v>25</v>
      </c>
      <c r="C28" s="10">
        <v>32519174.350000001</v>
      </c>
      <c r="D28" s="11">
        <v>6.6805033155500002E-3</v>
      </c>
      <c r="E28" s="11">
        <v>0.09</v>
      </c>
      <c r="F28" s="11">
        <v>8.3299999999999999E-2</v>
      </c>
      <c r="G28" s="10">
        <v>39523304.210000001</v>
      </c>
      <c r="H28" s="11">
        <v>2.9789823821000001E-4</v>
      </c>
      <c r="I28" s="11">
        <v>0.09</v>
      </c>
      <c r="J28" s="11">
        <v>8.9700000000000002E-2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>
        <v>44952567.509999998</v>
      </c>
      <c r="T28" s="11">
        <v>4.5369577291999997E-4</v>
      </c>
      <c r="U28" s="11">
        <v>0.11</v>
      </c>
      <c r="V28" s="11">
        <v>0.1095</v>
      </c>
      <c r="W28" s="10" t="s">
        <v>26</v>
      </c>
      <c r="X28" s="11" t="s">
        <v>26</v>
      </c>
      <c r="Y28" s="11" t="s">
        <v>26</v>
      </c>
      <c r="Z28" s="11" t="s">
        <v>26</v>
      </c>
      <c r="AA28" s="10">
        <v>35020649.299999997</v>
      </c>
      <c r="AB28" s="11">
        <v>2.8705835982E-4</v>
      </c>
      <c r="AC28" s="11">
        <v>0.09</v>
      </c>
      <c r="AD28" s="11">
        <v>8.9700000000000002E-2</v>
      </c>
      <c r="AE28" s="10">
        <v>152015695.37</v>
      </c>
      <c r="AF28" s="11">
        <v>2.6950658857000001E-4</v>
      </c>
      <c r="AG28" s="11">
        <v>9.5899999999999999E-2</v>
      </c>
      <c r="AH28" s="11">
        <v>9.5600000000000004E-2</v>
      </c>
      <c r="AI28" s="10">
        <v>1502991.66</v>
      </c>
      <c r="AJ28" s="11">
        <v>9.6319731880000002E-5</v>
      </c>
      <c r="AK28" s="11">
        <v>0.13500000000000001</v>
      </c>
      <c r="AL28" s="11">
        <v>0.13489999999999999</v>
      </c>
      <c r="AM28" s="10">
        <v>211024907.46000001</v>
      </c>
      <c r="AN28" s="11">
        <v>9.2623902289000002E-3</v>
      </c>
      <c r="AO28" s="11">
        <v>0.13500000000000001</v>
      </c>
      <c r="AP28" s="11">
        <v>0.12570000000000001</v>
      </c>
      <c r="AQ28" s="10">
        <v>212527899.12</v>
      </c>
      <c r="AR28" s="11">
        <v>5.5364292406899999E-3</v>
      </c>
      <c r="AS28" s="11">
        <v>0.13500000000000001</v>
      </c>
      <c r="AT28" s="11">
        <v>0.1295</v>
      </c>
      <c r="AU28" s="10">
        <v>4508176.5</v>
      </c>
      <c r="AV28" s="11">
        <v>1.1372314647E-4</v>
      </c>
      <c r="AW28" s="11">
        <v>0.13500000000000001</v>
      </c>
      <c r="AX28" s="11">
        <v>0.13489999999999999</v>
      </c>
      <c r="AY28" s="10">
        <v>369051770.99000001</v>
      </c>
      <c r="AZ28" s="11">
        <v>5.7477472009000001E-4</v>
      </c>
      <c r="BA28" s="11">
        <v>0.11890000000000001</v>
      </c>
      <c r="BB28" s="11">
        <v>0.1183</v>
      </c>
    </row>
    <row r="29" spans="1:56" s="7" customFormat="1">
      <c r="A29" s="3" t="s">
        <v>36</v>
      </c>
      <c r="B29" s="24" t="s">
        <v>46</v>
      </c>
      <c r="C29" s="2">
        <v>32519174.350000001</v>
      </c>
      <c r="D29" s="1">
        <v>1</v>
      </c>
      <c r="E29" s="1" t="s">
        <v>26</v>
      </c>
      <c r="F29" s="1" t="s">
        <v>26</v>
      </c>
      <c r="G29" s="2">
        <v>39523304.210000001</v>
      </c>
      <c r="H29" s="1">
        <v>1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2">
        <v>25014749.5</v>
      </c>
      <c r="T29" s="1">
        <v>0.55646987225891997</v>
      </c>
      <c r="U29" s="1" t="s">
        <v>26</v>
      </c>
      <c r="V29" s="1" t="s">
        <v>26</v>
      </c>
      <c r="W29" s="2" t="s">
        <v>26</v>
      </c>
      <c r="X29" s="1" t="s">
        <v>26</v>
      </c>
      <c r="Y29" s="1" t="s">
        <v>26</v>
      </c>
      <c r="Z29" s="1" t="s">
        <v>26</v>
      </c>
      <c r="AA29" s="2">
        <v>35020649.299999997</v>
      </c>
      <c r="AB29" s="1">
        <v>1</v>
      </c>
      <c r="AC29" s="1" t="s">
        <v>26</v>
      </c>
      <c r="AD29" s="1" t="s">
        <v>26</v>
      </c>
      <c r="AE29" s="2">
        <v>132077877.36</v>
      </c>
      <c r="AF29" s="1">
        <v>0.86884368774243004</v>
      </c>
      <c r="AG29" s="1" t="s">
        <v>26</v>
      </c>
      <c r="AH29" s="1" t="s">
        <v>26</v>
      </c>
      <c r="AI29" s="2" t="s">
        <v>26</v>
      </c>
      <c r="AJ29" s="1" t="s">
        <v>26</v>
      </c>
      <c r="AK29" s="1" t="s">
        <v>26</v>
      </c>
      <c r="AL29" s="1" t="s">
        <v>26</v>
      </c>
      <c r="AM29" s="2" t="s">
        <v>26</v>
      </c>
      <c r="AN29" s="1" t="s">
        <v>26</v>
      </c>
      <c r="AO29" s="1" t="s">
        <v>26</v>
      </c>
      <c r="AP29" s="1" t="s">
        <v>26</v>
      </c>
      <c r="AQ29" s="2" t="s">
        <v>26</v>
      </c>
      <c r="AR29" s="1" t="s">
        <v>26</v>
      </c>
      <c r="AS29" s="1" t="s">
        <v>26</v>
      </c>
      <c r="AT29" s="1" t="s">
        <v>26</v>
      </c>
      <c r="AU29" s="2" t="s">
        <v>26</v>
      </c>
      <c r="AV29" s="1" t="s">
        <v>26</v>
      </c>
      <c r="AW29" s="1" t="s">
        <v>26</v>
      </c>
      <c r="AX29" s="1" t="s">
        <v>26</v>
      </c>
      <c r="AY29" s="2">
        <v>132077877.36</v>
      </c>
      <c r="AZ29" s="1">
        <v>0.35788441552710998</v>
      </c>
      <c r="BA29" s="1" t="s">
        <v>26</v>
      </c>
      <c r="BB29" s="1" t="s">
        <v>26</v>
      </c>
    </row>
    <row r="30" spans="1:56">
      <c r="A30" s="3" t="s">
        <v>38</v>
      </c>
      <c r="B30" s="24" t="s">
        <v>43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19937818.010000002</v>
      </c>
      <c r="T30" s="1">
        <v>0.44353012774108003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19937818.010000002</v>
      </c>
      <c r="AF30" s="1">
        <v>0.13115631225756999</v>
      </c>
      <c r="AG30" s="1" t="s">
        <v>26</v>
      </c>
      <c r="AH30" s="1" t="s">
        <v>26</v>
      </c>
      <c r="AI30" s="2">
        <v>1502991.66</v>
      </c>
      <c r="AJ30" s="1">
        <v>1</v>
      </c>
      <c r="AK30" s="1" t="s">
        <v>26</v>
      </c>
      <c r="AL30" s="1" t="s">
        <v>26</v>
      </c>
      <c r="AM30" s="2">
        <v>211024907.46000001</v>
      </c>
      <c r="AN30" s="1">
        <v>1</v>
      </c>
      <c r="AO30" s="1" t="s">
        <v>26</v>
      </c>
      <c r="AP30" s="1" t="s">
        <v>26</v>
      </c>
      <c r="AQ30" s="2">
        <v>212527899.12</v>
      </c>
      <c r="AR30" s="1">
        <v>1</v>
      </c>
      <c r="AS30" s="1" t="s">
        <v>26</v>
      </c>
      <c r="AT30" s="1" t="s">
        <v>26</v>
      </c>
      <c r="AU30" s="2">
        <v>4508176.5</v>
      </c>
      <c r="AV30" s="1">
        <v>1</v>
      </c>
      <c r="AW30" s="1" t="s">
        <v>26</v>
      </c>
      <c r="AX30" s="1" t="s">
        <v>26</v>
      </c>
      <c r="AY30" s="2">
        <v>236973893.63</v>
      </c>
      <c r="AZ30" s="1">
        <v>0.64211558447288997</v>
      </c>
      <c r="BA30" s="1" t="s">
        <v>26</v>
      </c>
      <c r="BB30" s="1" t="s">
        <v>26</v>
      </c>
    </row>
    <row r="31" spans="1:56" s="7" customFormat="1">
      <c r="A31" s="5" t="s">
        <v>47</v>
      </c>
      <c r="B31" s="24" t="s">
        <v>25</v>
      </c>
      <c r="C31" s="10" t="s">
        <v>26</v>
      </c>
      <c r="D31" s="11" t="s">
        <v>26</v>
      </c>
      <c r="E31" s="11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>
        <v>73845626.980000004</v>
      </c>
      <c r="L31" s="11">
        <v>3.131398251827E-2</v>
      </c>
      <c r="M31" s="11">
        <v>0.13500000000000001</v>
      </c>
      <c r="N31" s="11">
        <v>0.1037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>
        <v>5253548.93</v>
      </c>
      <c r="AB31" s="11">
        <v>4.3062455130000001E-5</v>
      </c>
      <c r="AC31" s="11">
        <v>0.13500000000000001</v>
      </c>
      <c r="AD31" s="11">
        <v>0.13500000000000001</v>
      </c>
      <c r="AE31" s="10">
        <v>79099175.909999996</v>
      </c>
      <c r="AF31" s="11">
        <v>1.4023386865999999E-4</v>
      </c>
      <c r="AG31" s="11">
        <v>0.13500000000000001</v>
      </c>
      <c r="AH31" s="11">
        <v>0.13489999999999999</v>
      </c>
      <c r="AI31" s="10">
        <v>1005492.45</v>
      </c>
      <c r="AJ31" s="11">
        <v>6.4437325750000006E-5</v>
      </c>
      <c r="AK31" s="11">
        <v>0.13500000000000001</v>
      </c>
      <c r="AL31" s="11">
        <v>0.13489999999999999</v>
      </c>
      <c r="AM31" s="10" t="s">
        <v>26</v>
      </c>
      <c r="AN31" s="11" t="s">
        <v>26</v>
      </c>
      <c r="AO31" s="11" t="s">
        <v>26</v>
      </c>
      <c r="AP31" s="11" t="s">
        <v>26</v>
      </c>
      <c r="AQ31" s="10">
        <v>1005492.45</v>
      </c>
      <c r="AR31" s="11">
        <v>2.6193444829999998E-5</v>
      </c>
      <c r="AS31" s="11">
        <v>0.13500000000000001</v>
      </c>
      <c r="AT31" s="11">
        <v>0.13500000000000001</v>
      </c>
      <c r="AU31" s="10" t="s">
        <v>26</v>
      </c>
      <c r="AV31" s="11" t="s">
        <v>26</v>
      </c>
      <c r="AW31" s="11" t="s">
        <v>26</v>
      </c>
      <c r="AX31" s="11" t="s">
        <v>26</v>
      </c>
      <c r="AY31" s="10">
        <v>80104668.359999999</v>
      </c>
      <c r="AZ31" s="11">
        <v>1.2475793899999999E-4</v>
      </c>
      <c r="BA31" s="11">
        <v>0.13500000000000001</v>
      </c>
      <c r="BB31" s="11">
        <v>0.13489999999999999</v>
      </c>
    </row>
    <row r="32" spans="1:56" s="7" customFormat="1">
      <c r="A32" s="3" t="s">
        <v>38</v>
      </c>
      <c r="B32" s="24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>
        <v>73845626.980000004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>
        <v>5253548.93</v>
      </c>
      <c r="AB32" s="1">
        <v>1</v>
      </c>
      <c r="AC32" s="1" t="s">
        <v>26</v>
      </c>
      <c r="AD32" s="1" t="s">
        <v>26</v>
      </c>
      <c r="AE32" s="2">
        <v>79099175.909999996</v>
      </c>
      <c r="AF32" s="1">
        <v>1</v>
      </c>
      <c r="AG32" s="1" t="s">
        <v>26</v>
      </c>
      <c r="AH32" s="1" t="s">
        <v>26</v>
      </c>
      <c r="AI32" s="2">
        <v>1005492.45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1005492.45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80104668.359999999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48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67989012.969999999</v>
      </c>
      <c r="L33" s="11">
        <v>2.8830505618890001E-2</v>
      </c>
      <c r="M33" s="11">
        <v>0.13500000000000001</v>
      </c>
      <c r="N33" s="11">
        <v>0.1062</v>
      </c>
      <c r="O33" s="10" t="s">
        <v>26</v>
      </c>
      <c r="P33" s="11" t="s">
        <v>26</v>
      </c>
      <c r="Q33" s="11" t="s">
        <v>26</v>
      </c>
      <c r="R33" s="11" t="s">
        <v>26</v>
      </c>
      <c r="S33" s="10">
        <v>100882588.64</v>
      </c>
      <c r="T33" s="11">
        <v>1.0181844233300001E-3</v>
      </c>
      <c r="U33" s="11">
        <v>0.13500000000000001</v>
      </c>
      <c r="V33" s="11">
        <v>0.13400000000000001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>
        <v>76603543.200000003</v>
      </c>
      <c r="AB33" s="11">
        <v>6.2790633261E-4</v>
      </c>
      <c r="AC33" s="11">
        <v>0.13500000000000001</v>
      </c>
      <c r="AD33" s="11">
        <v>0.13439999999999999</v>
      </c>
      <c r="AE33" s="10">
        <v>245475144.81</v>
      </c>
      <c r="AF33" s="11">
        <v>4.3519959366999998E-4</v>
      </c>
      <c r="AG33" s="11">
        <v>0.13500000000000001</v>
      </c>
      <c r="AH33" s="11">
        <v>0.1346</v>
      </c>
      <c r="AI33" s="10" t="s">
        <v>26</v>
      </c>
      <c r="AJ33" s="11" t="s">
        <v>26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 t="s">
        <v>26</v>
      </c>
      <c r="AR33" s="11" t="s">
        <v>26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245475144.81</v>
      </c>
      <c r="AZ33" s="11">
        <v>3.8231196471000001E-4</v>
      </c>
      <c r="BA33" s="11">
        <v>0.13500000000000001</v>
      </c>
      <c r="BB33" s="11">
        <v>0.1346</v>
      </c>
    </row>
    <row r="34" spans="1:54" s="7" customFormat="1">
      <c r="A34" s="3" t="s">
        <v>38</v>
      </c>
      <c r="B34" s="24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67989012.969999999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100882588.64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76603543.200000003</v>
      </c>
      <c r="AB34" s="1">
        <v>1</v>
      </c>
      <c r="AC34" s="1" t="s">
        <v>26</v>
      </c>
      <c r="AD34" s="1" t="s">
        <v>26</v>
      </c>
      <c r="AE34" s="2">
        <v>245475144.81</v>
      </c>
      <c r="AF34" s="1">
        <v>1</v>
      </c>
      <c r="AG34" s="1" t="s">
        <v>26</v>
      </c>
      <c r="AH34" s="1" t="s">
        <v>26</v>
      </c>
      <c r="AI34" s="2" t="s">
        <v>26</v>
      </c>
      <c r="AJ34" s="1" t="s">
        <v>26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 t="s">
        <v>26</v>
      </c>
      <c r="AR34" s="1" t="s">
        <v>26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245475144.81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49</v>
      </c>
      <c r="B35" s="24" t="s">
        <v>25</v>
      </c>
      <c r="C35" s="10">
        <v>8526369.8300000001</v>
      </c>
      <c r="D35" s="11">
        <v>1.7515955757599999E-3</v>
      </c>
      <c r="E35" s="11">
        <v>0.13500000000000001</v>
      </c>
      <c r="F35" s="11">
        <v>0.13320000000000001</v>
      </c>
      <c r="G35" s="10">
        <v>1928721433.4000001</v>
      </c>
      <c r="H35" s="11">
        <v>1.4537314844689999E-2</v>
      </c>
      <c r="I35" s="11">
        <v>0.1288</v>
      </c>
      <c r="J35" s="11">
        <v>0.1143</v>
      </c>
      <c r="K35" s="10">
        <v>80900496.150000006</v>
      </c>
      <c r="L35" s="11">
        <v>3.4305575370720001E-2</v>
      </c>
      <c r="M35" s="11">
        <v>0.13500000000000001</v>
      </c>
      <c r="N35" s="11">
        <v>0.1007</v>
      </c>
      <c r="O35" s="10">
        <v>1241468275.0799999</v>
      </c>
      <c r="P35" s="11">
        <v>6.2877084908499999E-3</v>
      </c>
      <c r="Q35" s="11">
        <v>0.11459999999999999</v>
      </c>
      <c r="R35" s="11">
        <v>0.10829999999999999</v>
      </c>
      <c r="S35" s="10">
        <v>696471404.40999997</v>
      </c>
      <c r="T35" s="11">
        <v>7.0293233433400002E-3</v>
      </c>
      <c r="U35" s="11">
        <v>0.13500000000000001</v>
      </c>
      <c r="V35" s="11">
        <v>0.128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563715617.37</v>
      </c>
      <c r="AB35" s="11">
        <v>4.6206819052099996E-3</v>
      </c>
      <c r="AC35" s="11">
        <v>0.09</v>
      </c>
      <c r="AD35" s="11">
        <v>8.5400000000000004E-2</v>
      </c>
      <c r="AE35" s="10">
        <v>4519803596.2399998</v>
      </c>
      <c r="AF35" s="11">
        <v>8.0130992083400007E-3</v>
      </c>
      <c r="AG35" s="11">
        <v>0.1211</v>
      </c>
      <c r="AH35" s="11">
        <v>0.11310000000000001</v>
      </c>
      <c r="AI35" s="10">
        <v>82206064.959999993</v>
      </c>
      <c r="AJ35" s="11">
        <v>5.2682036410799998E-3</v>
      </c>
      <c r="AK35" s="11">
        <v>0.1065</v>
      </c>
      <c r="AL35" s="11">
        <v>0.1012</v>
      </c>
      <c r="AM35" s="10">
        <v>1756530106.4400001</v>
      </c>
      <c r="AN35" s="11">
        <v>7.7098326877569998E-2</v>
      </c>
      <c r="AO35" s="11">
        <v>0.13500000000000001</v>
      </c>
      <c r="AP35" s="11">
        <v>5.79E-2</v>
      </c>
      <c r="AQ35" s="10">
        <v>1838736171.4000001</v>
      </c>
      <c r="AR35" s="11">
        <v>4.7899747503270002E-2</v>
      </c>
      <c r="AS35" s="11">
        <v>0.13370000000000001</v>
      </c>
      <c r="AT35" s="11">
        <v>8.5800000000000001E-2</v>
      </c>
      <c r="AU35" s="10">
        <v>6436901.7699999996</v>
      </c>
      <c r="AV35" s="11">
        <v>1.6237712139E-4</v>
      </c>
      <c r="AW35" s="11">
        <v>0.13500000000000001</v>
      </c>
      <c r="AX35" s="11">
        <v>0.1348</v>
      </c>
      <c r="AY35" s="10">
        <v>6364976669.4099998</v>
      </c>
      <c r="AZ35" s="11">
        <v>9.9130473583699998E-3</v>
      </c>
      <c r="BA35" s="11">
        <v>0.12479999999999999</v>
      </c>
      <c r="BB35" s="11">
        <v>0.1149</v>
      </c>
    </row>
    <row r="36" spans="1:54" s="7" customFormat="1">
      <c r="A36" s="3" t="s">
        <v>36</v>
      </c>
      <c r="B36" s="24" t="s">
        <v>46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266742846.05000001</v>
      </c>
      <c r="H36" s="1">
        <v>0.13830034831924001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563715617.37</v>
      </c>
      <c r="P36" s="1">
        <v>0.45407170580632</v>
      </c>
      <c r="Q36" s="1" t="s">
        <v>26</v>
      </c>
      <c r="R36" s="1" t="s">
        <v>26</v>
      </c>
      <c r="S36" s="2" t="s">
        <v>26</v>
      </c>
      <c r="T36" s="1" t="s">
        <v>26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563715617.37</v>
      </c>
      <c r="AB36" s="1">
        <v>1</v>
      </c>
      <c r="AC36" s="1" t="s">
        <v>26</v>
      </c>
      <c r="AD36" s="1" t="s">
        <v>26</v>
      </c>
      <c r="AE36" s="2">
        <v>1394174080.79</v>
      </c>
      <c r="AF36" s="1">
        <v>0.30845899630458001</v>
      </c>
      <c r="AG36" s="1" t="s">
        <v>26</v>
      </c>
      <c r="AH36" s="1" t="s">
        <v>26</v>
      </c>
      <c r="AI36" s="2">
        <v>52014622.5</v>
      </c>
      <c r="AJ36" s="1">
        <v>0.63273461058267999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52014622.5</v>
      </c>
      <c r="AR36" s="1">
        <v>2.828824673656E-2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1446188703.29</v>
      </c>
      <c r="AZ36" s="1">
        <v>0.22721036987304999</v>
      </c>
      <c r="BA36" s="1" t="s">
        <v>26</v>
      </c>
      <c r="BB36" s="1" t="s">
        <v>26</v>
      </c>
    </row>
    <row r="37" spans="1:54">
      <c r="A37" s="3" t="s">
        <v>38</v>
      </c>
      <c r="B37" s="24" t="s">
        <v>43</v>
      </c>
      <c r="C37" s="2">
        <v>8526369.8300000001</v>
      </c>
      <c r="D37" s="1">
        <v>1</v>
      </c>
      <c r="E37" s="1" t="s">
        <v>26</v>
      </c>
      <c r="F37" s="1" t="s">
        <v>26</v>
      </c>
      <c r="G37" s="2">
        <v>1661978587.3499999</v>
      </c>
      <c r="H37" s="1">
        <v>0.86169965168076001</v>
      </c>
      <c r="I37" s="1" t="s">
        <v>26</v>
      </c>
      <c r="J37" s="1" t="s">
        <v>26</v>
      </c>
      <c r="K37" s="2">
        <v>80900496.150000006</v>
      </c>
      <c r="L37" s="1">
        <v>1</v>
      </c>
      <c r="M37" s="1" t="s">
        <v>26</v>
      </c>
      <c r="N37" s="1" t="s">
        <v>26</v>
      </c>
      <c r="O37" s="2">
        <v>677752657.71000004</v>
      </c>
      <c r="P37" s="1">
        <v>0.54592829419368005</v>
      </c>
      <c r="Q37" s="1" t="s">
        <v>26</v>
      </c>
      <c r="R37" s="1" t="s">
        <v>26</v>
      </c>
      <c r="S37" s="2">
        <v>696471404.40999997</v>
      </c>
      <c r="T37" s="1">
        <v>1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3125629515.4499998</v>
      </c>
      <c r="AF37" s="1">
        <v>0.69154100369542004</v>
      </c>
      <c r="AG37" s="1" t="s">
        <v>26</v>
      </c>
      <c r="AH37" s="1" t="s">
        <v>26</v>
      </c>
      <c r="AI37" s="2">
        <v>30191442.460000001</v>
      </c>
      <c r="AJ37" s="1">
        <v>0.36726538941732001</v>
      </c>
      <c r="AK37" s="1" t="s">
        <v>26</v>
      </c>
      <c r="AL37" s="1" t="s">
        <v>26</v>
      </c>
      <c r="AM37" s="2">
        <v>1756530106.4400001</v>
      </c>
      <c r="AN37" s="1">
        <v>1</v>
      </c>
      <c r="AO37" s="1" t="s">
        <v>26</v>
      </c>
      <c r="AP37" s="1" t="s">
        <v>26</v>
      </c>
      <c r="AQ37" s="2">
        <v>1786721548.9000001</v>
      </c>
      <c r="AR37" s="1">
        <v>0.97171175326343995</v>
      </c>
      <c r="AS37" s="1" t="s">
        <v>26</v>
      </c>
      <c r="AT37" s="1" t="s">
        <v>26</v>
      </c>
      <c r="AU37" s="2">
        <v>6436901.7699999996</v>
      </c>
      <c r="AV37" s="1">
        <v>1</v>
      </c>
      <c r="AW37" s="1" t="s">
        <v>26</v>
      </c>
      <c r="AX37" s="1" t="s">
        <v>26</v>
      </c>
      <c r="AY37" s="2">
        <v>4918787966.1199999</v>
      </c>
      <c r="AZ37" s="1">
        <v>0.77278963012695001</v>
      </c>
      <c r="BA37" s="1" t="s">
        <v>26</v>
      </c>
      <c r="BB37" s="1" t="s">
        <v>26</v>
      </c>
    </row>
    <row r="38" spans="1:54" s="7" customFormat="1">
      <c r="A38" s="5" t="s">
        <v>50</v>
      </c>
      <c r="B38" s="24" t="s">
        <v>25</v>
      </c>
      <c r="C38" s="10" t="s">
        <v>26</v>
      </c>
      <c r="D38" s="11" t="s">
        <v>26</v>
      </c>
      <c r="E38" s="11" t="s">
        <v>26</v>
      </c>
      <c r="F38" s="11" t="s">
        <v>26</v>
      </c>
      <c r="G38" s="10">
        <v>252127278.49000001</v>
      </c>
      <c r="H38" s="11">
        <v>1.9003540712900001E-3</v>
      </c>
      <c r="I38" s="11">
        <v>0.13500000000000001</v>
      </c>
      <c r="J38" s="11">
        <v>0.1331</v>
      </c>
      <c r="K38" s="10" t="s">
        <v>26</v>
      </c>
      <c r="L38" s="11" t="s">
        <v>26</v>
      </c>
      <c r="M38" s="11" t="s">
        <v>26</v>
      </c>
      <c r="N38" s="11" t="s">
        <v>26</v>
      </c>
      <c r="O38" s="10">
        <v>101605221.34999999</v>
      </c>
      <c r="P38" s="11">
        <v>5.1460357531999995E-4</v>
      </c>
      <c r="Q38" s="11">
        <v>0.13500000000000001</v>
      </c>
      <c r="R38" s="11">
        <v>0.13450000000000001</v>
      </c>
      <c r="S38" s="10">
        <v>359666525.48000002</v>
      </c>
      <c r="T38" s="11">
        <v>3.6300303032799999E-3</v>
      </c>
      <c r="U38" s="11">
        <v>0.13500000000000001</v>
      </c>
      <c r="V38" s="11">
        <v>0.13139999999999999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>
        <v>60128902.32</v>
      </c>
      <c r="AB38" s="11">
        <v>4.9286647800999997E-4</v>
      </c>
      <c r="AC38" s="11">
        <v>0.13500000000000001</v>
      </c>
      <c r="AD38" s="11">
        <v>0.13450000000000001</v>
      </c>
      <c r="AE38" s="10">
        <v>773527927.63999999</v>
      </c>
      <c r="AF38" s="11">
        <v>1.3713772938599999E-3</v>
      </c>
      <c r="AG38" s="11">
        <v>0.13500000000000001</v>
      </c>
      <c r="AH38" s="11">
        <v>0.1336</v>
      </c>
      <c r="AI38" s="10">
        <v>62159384.060000002</v>
      </c>
      <c r="AJ38" s="11">
        <v>3.9835052753300002E-3</v>
      </c>
      <c r="AK38" s="11">
        <v>0.13500000000000001</v>
      </c>
      <c r="AL38" s="11">
        <v>0.13100000000000001</v>
      </c>
      <c r="AM38" s="10" t="s">
        <v>26</v>
      </c>
      <c r="AN38" s="11" t="s">
        <v>26</v>
      </c>
      <c r="AO38" s="11" t="s">
        <v>26</v>
      </c>
      <c r="AP38" s="11" t="s">
        <v>26</v>
      </c>
      <c r="AQ38" s="10">
        <v>62159384.060000002</v>
      </c>
      <c r="AR38" s="11">
        <v>1.6192746124999999E-3</v>
      </c>
      <c r="AS38" s="11">
        <v>0.13500000000000001</v>
      </c>
      <c r="AT38" s="11">
        <v>0.13339999999999999</v>
      </c>
      <c r="AU38" s="10">
        <v>26589695.73</v>
      </c>
      <c r="AV38" s="11">
        <v>6.7075099254999999E-4</v>
      </c>
      <c r="AW38" s="11">
        <v>0.13500000000000001</v>
      </c>
      <c r="AX38" s="11">
        <v>0.1343</v>
      </c>
      <c r="AY38" s="10">
        <v>862277007.42999995</v>
      </c>
      <c r="AZ38" s="11">
        <v>1.3429417348499999E-3</v>
      </c>
      <c r="BA38" s="11">
        <v>0.13500000000000001</v>
      </c>
      <c r="BB38" s="11">
        <v>0.13370000000000001</v>
      </c>
    </row>
    <row r="39" spans="1:54" s="7" customFormat="1">
      <c r="A39" s="3" t="s">
        <v>38</v>
      </c>
      <c r="B39" s="24" t="s">
        <v>43</v>
      </c>
      <c r="C39" s="2" t="s">
        <v>26</v>
      </c>
      <c r="D39" s="1" t="s">
        <v>26</v>
      </c>
      <c r="E39" s="1" t="s">
        <v>26</v>
      </c>
      <c r="F39" s="1" t="s">
        <v>26</v>
      </c>
      <c r="G39" s="2">
        <v>252127278.49000001</v>
      </c>
      <c r="H39" s="1">
        <v>1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101605221.34999999</v>
      </c>
      <c r="P39" s="1">
        <v>1</v>
      </c>
      <c r="Q39" s="1" t="s">
        <v>26</v>
      </c>
      <c r="R39" s="1" t="s">
        <v>26</v>
      </c>
      <c r="S39" s="2">
        <v>359666525.48000002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>
        <v>60128902.32</v>
      </c>
      <c r="AB39" s="1">
        <v>1</v>
      </c>
      <c r="AC39" s="1" t="s">
        <v>26</v>
      </c>
      <c r="AD39" s="1" t="s">
        <v>26</v>
      </c>
      <c r="AE39" s="2">
        <v>773527927.63999999</v>
      </c>
      <c r="AF39" s="1">
        <v>1</v>
      </c>
      <c r="AG39" s="1" t="s">
        <v>26</v>
      </c>
      <c r="AH39" s="1" t="s">
        <v>26</v>
      </c>
      <c r="AI39" s="2">
        <v>62159384.060000002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62159384.060000002</v>
      </c>
      <c r="AR39" s="1">
        <v>1</v>
      </c>
      <c r="AS39" s="1" t="s">
        <v>26</v>
      </c>
      <c r="AT39" s="1" t="s">
        <v>26</v>
      </c>
      <c r="AU39" s="2">
        <v>26589695.73</v>
      </c>
      <c r="AV39" s="1">
        <v>1</v>
      </c>
      <c r="AW39" s="1" t="s">
        <v>26</v>
      </c>
      <c r="AX39" s="1" t="s">
        <v>26</v>
      </c>
      <c r="AY39" s="2">
        <v>862277007.42999995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51</v>
      </c>
      <c r="B40" s="24" t="s">
        <v>25</v>
      </c>
      <c r="C40" s="10">
        <v>24650017.469999999</v>
      </c>
      <c r="D40" s="11">
        <v>5.0639208014399998E-3</v>
      </c>
      <c r="E40" s="11">
        <v>0.13500000000000001</v>
      </c>
      <c r="F40" s="11">
        <v>0.12989999999999999</v>
      </c>
      <c r="G40" s="10">
        <v>5672704848.0900002</v>
      </c>
      <c r="H40" s="11">
        <v>4.2756768794919998E-2</v>
      </c>
      <c r="I40" s="11">
        <v>0.14280000000000001</v>
      </c>
      <c r="J40" s="11">
        <v>0.1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5136752047.9099998</v>
      </c>
      <c r="P40" s="11">
        <v>2.60162906418E-2</v>
      </c>
      <c r="Q40" s="11">
        <v>0.05</v>
      </c>
      <c r="R40" s="11">
        <v>2.4E-2</v>
      </c>
      <c r="S40" s="10">
        <v>4578743132.1999998</v>
      </c>
      <c r="T40" s="11">
        <v>4.6212185853619997E-2</v>
      </c>
      <c r="U40" s="11">
        <v>0.1429</v>
      </c>
      <c r="V40" s="11">
        <v>9.6699999999999994E-2</v>
      </c>
      <c r="W40" s="10">
        <v>616559566.59000003</v>
      </c>
      <c r="X40" s="11">
        <v>0.10953025400103</v>
      </c>
      <c r="Y40" s="11">
        <v>0.15</v>
      </c>
      <c r="Z40" s="11">
        <v>4.0500000000000001E-2</v>
      </c>
      <c r="AA40" s="10">
        <v>4143848214.4000001</v>
      </c>
      <c r="AB40" s="11">
        <v>3.3966425396449999E-2</v>
      </c>
      <c r="AC40" s="11">
        <v>0.13569999999999999</v>
      </c>
      <c r="AD40" s="11">
        <v>0.1017</v>
      </c>
      <c r="AE40" s="10">
        <v>20173257826.66</v>
      </c>
      <c r="AF40" s="11">
        <v>3.5764898380739998E-2</v>
      </c>
      <c r="AG40" s="11">
        <v>0.1399</v>
      </c>
      <c r="AH40" s="11">
        <v>0.1041</v>
      </c>
      <c r="AI40" s="10">
        <v>808716350.07000005</v>
      </c>
      <c r="AJ40" s="11">
        <v>5.1826862435400002E-2</v>
      </c>
      <c r="AK40" s="11">
        <v>0.14549999999999999</v>
      </c>
      <c r="AL40" s="11">
        <v>9.3700000000000006E-2</v>
      </c>
      <c r="AM40" s="10">
        <v>1017128991.1</v>
      </c>
      <c r="AN40" s="11">
        <v>4.4644235327920001E-2</v>
      </c>
      <c r="AO40" s="11">
        <v>0.15</v>
      </c>
      <c r="AP40" s="11">
        <v>0.10539999999999999</v>
      </c>
      <c r="AQ40" s="10">
        <v>1825845341.1700001</v>
      </c>
      <c r="AR40" s="11">
        <v>4.7563936676939998E-2</v>
      </c>
      <c r="AS40" s="11">
        <v>0.14799999999999999</v>
      </c>
      <c r="AT40" s="11">
        <v>0.1004</v>
      </c>
      <c r="AU40" s="10">
        <v>1810388129.98</v>
      </c>
      <c r="AV40" s="11">
        <v>4.5668805217460001E-2</v>
      </c>
      <c r="AW40" s="11">
        <v>0.14080000000000001</v>
      </c>
      <c r="AX40" s="11">
        <v>9.5100000000000004E-2</v>
      </c>
      <c r="AY40" s="10">
        <v>23809491297.810001</v>
      </c>
      <c r="AZ40" s="11">
        <v>3.7081772184369997E-2</v>
      </c>
      <c r="BA40" s="11">
        <v>0.1406</v>
      </c>
      <c r="BB40" s="11">
        <v>0.10349999999999999</v>
      </c>
    </row>
    <row r="41" spans="1:54" s="7" customFormat="1">
      <c r="A41" s="3" t="s">
        <v>36</v>
      </c>
      <c r="B41" s="24" t="s">
        <v>37</v>
      </c>
      <c r="C41" s="2">
        <v>24650017.469999999</v>
      </c>
      <c r="D41" s="1">
        <v>1</v>
      </c>
      <c r="E41" s="1" t="s">
        <v>26</v>
      </c>
      <c r="F41" s="1" t="s">
        <v>26</v>
      </c>
      <c r="G41" s="2">
        <v>2705179705</v>
      </c>
      <c r="H41" s="1">
        <v>0.47687651260594999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4699850737.4499998</v>
      </c>
      <c r="P41" s="1">
        <v>0.91494599965404999</v>
      </c>
      <c r="Q41" s="1" t="s">
        <v>26</v>
      </c>
      <c r="R41" s="1" t="s">
        <v>26</v>
      </c>
      <c r="S41" s="2">
        <v>2164673828.3800001</v>
      </c>
      <c r="T41" s="1">
        <v>0.47276594599879002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3956097890</v>
      </c>
      <c r="AB41" s="1">
        <v>0.95469179499683998</v>
      </c>
      <c r="AC41" s="1" t="s">
        <v>26</v>
      </c>
      <c r="AD41" s="1" t="s">
        <v>26</v>
      </c>
      <c r="AE41" s="2">
        <v>13550452178.299999</v>
      </c>
      <c r="AF41" s="1">
        <v>0.67170371264438999</v>
      </c>
      <c r="AG41" s="1" t="s">
        <v>26</v>
      </c>
      <c r="AH41" s="1" t="s">
        <v>26</v>
      </c>
      <c r="AI41" s="2">
        <v>240142466.59999999</v>
      </c>
      <c r="AJ41" s="1">
        <v>0.29694276192044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240142466.59999999</v>
      </c>
      <c r="AR41" s="1">
        <v>0.13152399120843</v>
      </c>
      <c r="AS41" s="1" t="s">
        <v>26</v>
      </c>
      <c r="AT41" s="1" t="s">
        <v>26</v>
      </c>
      <c r="AU41" s="2">
        <v>1110331351.4200001</v>
      </c>
      <c r="AV41" s="1">
        <v>0.61331121930868004</v>
      </c>
      <c r="AW41" s="1" t="s">
        <v>26</v>
      </c>
      <c r="AX41" s="1" t="s">
        <v>26</v>
      </c>
      <c r="AY41" s="2">
        <v>14900925996.32</v>
      </c>
      <c r="AZ41" s="1">
        <v>0.62583974642458995</v>
      </c>
      <c r="BA41" s="1" t="s">
        <v>26</v>
      </c>
      <c r="BB41" s="1" t="s">
        <v>26</v>
      </c>
    </row>
    <row r="42" spans="1:54">
      <c r="A42" s="3" t="s">
        <v>38</v>
      </c>
      <c r="B42" s="24" t="s">
        <v>39</v>
      </c>
      <c r="C42" s="2" t="s">
        <v>26</v>
      </c>
      <c r="D42" s="1" t="s">
        <v>26</v>
      </c>
      <c r="E42" s="1" t="s">
        <v>26</v>
      </c>
      <c r="F42" s="1" t="s">
        <v>26</v>
      </c>
      <c r="G42" s="2">
        <v>2967525143.0900002</v>
      </c>
      <c r="H42" s="1">
        <v>0.52312348739405001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436901310.45999998</v>
      </c>
      <c r="P42" s="1">
        <v>8.5054000345949995E-2</v>
      </c>
      <c r="Q42" s="1" t="s">
        <v>26</v>
      </c>
      <c r="R42" s="1" t="s">
        <v>26</v>
      </c>
      <c r="S42" s="2">
        <v>2414069303.8200002</v>
      </c>
      <c r="T42" s="1">
        <v>0.52723405400121004</v>
      </c>
      <c r="U42" s="1" t="s">
        <v>26</v>
      </c>
      <c r="V42" s="1" t="s">
        <v>26</v>
      </c>
      <c r="W42" s="2">
        <v>616559566.59000003</v>
      </c>
      <c r="X42" s="1">
        <v>1</v>
      </c>
      <c r="Y42" s="1" t="s">
        <v>26</v>
      </c>
      <c r="Z42" s="1" t="s">
        <v>26</v>
      </c>
      <c r="AA42" s="2">
        <v>187750324.40000001</v>
      </c>
      <c r="AB42" s="1">
        <v>4.5308205003159997E-2</v>
      </c>
      <c r="AC42" s="1" t="s">
        <v>26</v>
      </c>
      <c r="AD42" s="1" t="s">
        <v>26</v>
      </c>
      <c r="AE42" s="2">
        <v>6622805648.3599997</v>
      </c>
      <c r="AF42" s="1">
        <v>0.32829628735561001</v>
      </c>
      <c r="AG42" s="1" t="s">
        <v>26</v>
      </c>
      <c r="AH42" s="1" t="s">
        <v>26</v>
      </c>
      <c r="AI42" s="2">
        <v>568573883.47000003</v>
      </c>
      <c r="AJ42" s="1">
        <v>0.70305723807956</v>
      </c>
      <c r="AK42" s="1" t="s">
        <v>26</v>
      </c>
      <c r="AL42" s="1" t="s">
        <v>26</v>
      </c>
      <c r="AM42" s="2">
        <v>1017128991.1</v>
      </c>
      <c r="AN42" s="1">
        <v>1</v>
      </c>
      <c r="AO42" s="1" t="s">
        <v>26</v>
      </c>
      <c r="AP42" s="1" t="s">
        <v>26</v>
      </c>
      <c r="AQ42" s="2">
        <v>1585702874.5699999</v>
      </c>
      <c r="AR42" s="1">
        <v>0.86847600879157005</v>
      </c>
      <c r="AS42" s="1" t="s">
        <v>26</v>
      </c>
      <c r="AT42" s="1" t="s">
        <v>26</v>
      </c>
      <c r="AU42" s="2">
        <v>700056778.55999994</v>
      </c>
      <c r="AV42" s="1">
        <v>0.38668878069132001</v>
      </c>
      <c r="AW42" s="1" t="s">
        <v>26</v>
      </c>
      <c r="AX42" s="1" t="s">
        <v>26</v>
      </c>
      <c r="AY42" s="2">
        <v>8908565301.4899998</v>
      </c>
      <c r="AZ42" s="1">
        <v>0.37416025357541</v>
      </c>
      <c r="BA42" s="1" t="s">
        <v>26</v>
      </c>
      <c r="BB42" s="1" t="s">
        <v>26</v>
      </c>
    </row>
    <row r="43" spans="1:54" s="7" customFormat="1">
      <c r="A43" s="5" t="s">
        <v>52</v>
      </c>
      <c r="B43" s="24" t="s">
        <v>25</v>
      </c>
      <c r="C43" s="10" t="s">
        <v>26</v>
      </c>
      <c r="D43" s="11" t="s">
        <v>26</v>
      </c>
      <c r="E43" s="11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>
        <v>73104368.519999996</v>
      </c>
      <c r="L43" s="11">
        <v>3.099965443404E-2</v>
      </c>
      <c r="M43" s="11">
        <v>0.15</v>
      </c>
      <c r="N43" s="11">
        <v>0.11899999999999999</v>
      </c>
      <c r="O43" s="10" t="s">
        <v>26</v>
      </c>
      <c r="P43" s="11" t="s">
        <v>26</v>
      </c>
      <c r="Q43" s="11" t="s">
        <v>26</v>
      </c>
      <c r="R43" s="11" t="s">
        <v>26</v>
      </c>
      <c r="S43" s="10" t="s">
        <v>26</v>
      </c>
      <c r="T43" s="11" t="s">
        <v>26</v>
      </c>
      <c r="U43" s="11" t="s">
        <v>26</v>
      </c>
      <c r="V43" s="11" t="s">
        <v>26</v>
      </c>
      <c r="W43" s="10" t="s">
        <v>26</v>
      </c>
      <c r="X43" s="11" t="s">
        <v>26</v>
      </c>
      <c r="Y43" s="11" t="s">
        <v>26</v>
      </c>
      <c r="Z43" s="11" t="s">
        <v>26</v>
      </c>
      <c r="AA43" s="10">
        <v>339051763.31</v>
      </c>
      <c r="AB43" s="11">
        <v>2.7791501590200001E-3</v>
      </c>
      <c r="AC43" s="11">
        <v>0.15</v>
      </c>
      <c r="AD43" s="11">
        <v>0.1472</v>
      </c>
      <c r="AE43" s="10">
        <v>412156131.82999998</v>
      </c>
      <c r="AF43" s="11">
        <v>7.3070608122000004E-4</v>
      </c>
      <c r="AG43" s="11">
        <v>0.15</v>
      </c>
      <c r="AH43" s="11">
        <v>0.14929999999999999</v>
      </c>
      <c r="AI43" s="10" t="s">
        <v>26</v>
      </c>
      <c r="AJ43" s="11" t="s">
        <v>26</v>
      </c>
      <c r="AK43" s="11" t="s">
        <v>26</v>
      </c>
      <c r="AL43" s="11" t="s">
        <v>26</v>
      </c>
      <c r="AM43" s="10">
        <v>113709293.79000001</v>
      </c>
      <c r="AN43" s="11">
        <v>4.9909741196600002E-3</v>
      </c>
      <c r="AO43" s="11">
        <v>0.15</v>
      </c>
      <c r="AP43" s="11">
        <v>0.14499999999999999</v>
      </c>
      <c r="AQ43" s="10">
        <v>113709293.79000001</v>
      </c>
      <c r="AR43" s="11">
        <v>2.9621685514399998E-3</v>
      </c>
      <c r="AS43" s="11">
        <v>0.15</v>
      </c>
      <c r="AT43" s="11">
        <v>0.14699999999999999</v>
      </c>
      <c r="AU43" s="10" t="s">
        <v>26</v>
      </c>
      <c r="AV43" s="11" t="s">
        <v>26</v>
      </c>
      <c r="AW43" s="11" t="s">
        <v>26</v>
      </c>
      <c r="AX43" s="11" t="s">
        <v>26</v>
      </c>
      <c r="AY43" s="10">
        <v>525865425.62</v>
      </c>
      <c r="AZ43" s="11">
        <v>8.1900203866E-4</v>
      </c>
      <c r="BA43" s="11">
        <v>0.15</v>
      </c>
      <c r="BB43" s="11">
        <v>0.1492</v>
      </c>
    </row>
    <row r="44" spans="1:54" s="7" customFormat="1">
      <c r="A44" s="3" t="s">
        <v>38</v>
      </c>
      <c r="B44" s="24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73104368.519999996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339051763.31</v>
      </c>
      <c r="AB44" s="1">
        <v>1</v>
      </c>
      <c r="AC44" s="1" t="s">
        <v>26</v>
      </c>
      <c r="AD44" s="1" t="s">
        <v>26</v>
      </c>
      <c r="AE44" s="2">
        <v>412156131.82999998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113709293.79000001</v>
      </c>
      <c r="AN44" s="1">
        <v>1</v>
      </c>
      <c r="AO44" s="1" t="s">
        <v>26</v>
      </c>
      <c r="AP44" s="1" t="s">
        <v>26</v>
      </c>
      <c r="AQ44" s="2">
        <v>113709293.79000001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525865425.62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53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 t="s">
        <v>26</v>
      </c>
      <c r="P45" s="11" t="s">
        <v>26</v>
      </c>
      <c r="Q45" s="11" t="s">
        <v>26</v>
      </c>
      <c r="R45" s="11" t="s">
        <v>26</v>
      </c>
      <c r="S45" s="10">
        <v>965836200.05999994</v>
      </c>
      <c r="T45" s="11">
        <v>9.7479593619100007E-3</v>
      </c>
      <c r="U45" s="11">
        <v>0.15</v>
      </c>
      <c r="V45" s="11">
        <v>0.14030000000000001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 t="s">
        <v>26</v>
      </c>
      <c r="AB45" s="11" t="s">
        <v>26</v>
      </c>
      <c r="AC45" s="11" t="s">
        <v>26</v>
      </c>
      <c r="AD45" s="11" t="s">
        <v>26</v>
      </c>
      <c r="AE45" s="10">
        <v>965836200.05999994</v>
      </c>
      <c r="AF45" s="11">
        <v>1.7123180521700001E-3</v>
      </c>
      <c r="AG45" s="11">
        <v>0.15</v>
      </c>
      <c r="AH45" s="11">
        <v>0.14829999999999999</v>
      </c>
      <c r="AI45" s="10">
        <v>211439733.34999999</v>
      </c>
      <c r="AJ45" s="11">
        <v>1.355018724768E-2</v>
      </c>
      <c r="AK45" s="11">
        <v>0.15</v>
      </c>
      <c r="AL45" s="11">
        <v>0.13639999999999999</v>
      </c>
      <c r="AM45" s="10" t="s">
        <v>26</v>
      </c>
      <c r="AN45" s="11" t="s">
        <v>26</v>
      </c>
      <c r="AO45" s="11" t="s">
        <v>26</v>
      </c>
      <c r="AP45" s="11" t="s">
        <v>26</v>
      </c>
      <c r="AQ45" s="10">
        <v>211439733.34999999</v>
      </c>
      <c r="AR45" s="11">
        <v>5.5080821257300003E-3</v>
      </c>
      <c r="AS45" s="11">
        <v>0.15</v>
      </c>
      <c r="AT45" s="11">
        <v>0.14449999999999999</v>
      </c>
      <c r="AU45" s="10">
        <v>198598418.05000001</v>
      </c>
      <c r="AV45" s="11">
        <v>5.0098386750500002E-3</v>
      </c>
      <c r="AW45" s="11">
        <v>0.15</v>
      </c>
      <c r="AX45" s="11">
        <v>0.14499999999999999</v>
      </c>
      <c r="AY45" s="10">
        <v>1375874351.46</v>
      </c>
      <c r="AZ45" s="11">
        <v>2.1428370147399999E-3</v>
      </c>
      <c r="BA45" s="11">
        <v>0.15</v>
      </c>
      <c r="BB45" s="11">
        <v>0.1479</v>
      </c>
    </row>
    <row r="46" spans="1:54" s="7" customFormat="1">
      <c r="A46" s="3" t="s">
        <v>38</v>
      </c>
      <c r="B46" s="24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 t="s">
        <v>26</v>
      </c>
      <c r="P46" s="1" t="s">
        <v>26</v>
      </c>
      <c r="Q46" s="1" t="s">
        <v>26</v>
      </c>
      <c r="R46" s="1" t="s">
        <v>26</v>
      </c>
      <c r="S46" s="2">
        <v>965836200.05999994</v>
      </c>
      <c r="T46" s="1">
        <v>1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965836200.05999994</v>
      </c>
      <c r="AF46" s="1">
        <v>1</v>
      </c>
      <c r="AG46" s="1" t="s">
        <v>26</v>
      </c>
      <c r="AH46" s="1" t="s">
        <v>26</v>
      </c>
      <c r="AI46" s="2">
        <v>211439733.34999999</v>
      </c>
      <c r="AJ46" s="1">
        <v>1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>
        <v>211439733.34999999</v>
      </c>
      <c r="AR46" s="1">
        <v>1</v>
      </c>
      <c r="AS46" s="1" t="s">
        <v>26</v>
      </c>
      <c r="AT46" s="1" t="s">
        <v>26</v>
      </c>
      <c r="AU46" s="2">
        <v>198598418.05000001</v>
      </c>
      <c r="AV46" s="1">
        <v>1</v>
      </c>
      <c r="AW46" s="1" t="s">
        <v>26</v>
      </c>
      <c r="AX46" s="1" t="s">
        <v>26</v>
      </c>
      <c r="AY46" s="2">
        <v>1375874351.46</v>
      </c>
      <c r="AZ46" s="1">
        <v>1</v>
      </c>
      <c r="BA46" s="1" t="s">
        <v>26</v>
      </c>
      <c r="BB46" s="1" t="s">
        <v>26</v>
      </c>
    </row>
    <row r="47" spans="1:54" s="7" customFormat="1">
      <c r="A47" s="13" t="s">
        <v>54</v>
      </c>
      <c r="B47" s="25" t="s">
        <v>25</v>
      </c>
      <c r="C47" s="55">
        <v>74191913.670000002</v>
      </c>
      <c r="D47" s="56">
        <v>1.524144862735E-2</v>
      </c>
      <c r="E47" s="56" t="s">
        <v>26</v>
      </c>
      <c r="F47" s="56" t="s">
        <v>26</v>
      </c>
      <c r="G47" s="55">
        <v>1552647766.4400001</v>
      </c>
      <c r="H47" s="56">
        <v>1.1702742051169999E-2</v>
      </c>
      <c r="I47" s="56" t="s">
        <v>26</v>
      </c>
      <c r="J47" s="56" t="s">
        <v>26</v>
      </c>
      <c r="K47" s="55">
        <v>87974453.310000002</v>
      </c>
      <c r="L47" s="56">
        <v>3.730526241926E-2</v>
      </c>
      <c r="M47" s="56" t="s">
        <v>26</v>
      </c>
      <c r="N47" s="56" t="s">
        <v>26</v>
      </c>
      <c r="O47" s="55">
        <v>3731283593.54</v>
      </c>
      <c r="P47" s="56">
        <v>1.889796461482E-2</v>
      </c>
      <c r="Q47" s="56" t="s">
        <v>26</v>
      </c>
      <c r="R47" s="56" t="s">
        <v>26</v>
      </c>
      <c r="S47" s="55">
        <v>2140293015.8199999</v>
      </c>
      <c r="T47" s="56">
        <v>2.1601477910539998E-2</v>
      </c>
      <c r="U47" s="56" t="s">
        <v>26</v>
      </c>
      <c r="V47" s="56" t="s">
        <v>26</v>
      </c>
      <c r="W47" s="55">
        <v>181253683.21000001</v>
      </c>
      <c r="X47" s="56">
        <v>3.2199260276530001E-2</v>
      </c>
      <c r="Y47" s="56" t="s">
        <v>26</v>
      </c>
      <c r="Z47" s="56" t="s">
        <v>26</v>
      </c>
      <c r="AA47" s="55">
        <v>2648919829.1100001</v>
      </c>
      <c r="AB47" s="56">
        <v>2.171274938208E-2</v>
      </c>
      <c r="AC47" s="56" t="s">
        <v>26</v>
      </c>
      <c r="AD47" s="56" t="s">
        <v>26</v>
      </c>
      <c r="AE47" s="55">
        <v>10416564255.1</v>
      </c>
      <c r="AF47" s="56">
        <v>1.8467387135050001E-2</v>
      </c>
      <c r="AG47" s="56" t="s">
        <v>26</v>
      </c>
      <c r="AH47" s="56" t="s">
        <v>26</v>
      </c>
      <c r="AI47" s="55">
        <v>222448633.94999999</v>
      </c>
      <c r="AJ47" s="56">
        <v>1.425569638807E-2</v>
      </c>
      <c r="AK47" s="56" t="s">
        <v>26</v>
      </c>
      <c r="AL47" s="56" t="s">
        <v>26</v>
      </c>
      <c r="AM47" s="55">
        <v>662313073.25999999</v>
      </c>
      <c r="AN47" s="56">
        <v>2.907051215933E-2</v>
      </c>
      <c r="AO47" s="56" t="s">
        <v>26</v>
      </c>
      <c r="AP47" s="56" t="s">
        <v>26</v>
      </c>
      <c r="AQ47" s="55">
        <v>884761707.21000004</v>
      </c>
      <c r="AR47" s="56">
        <v>2.304836497759E-2</v>
      </c>
      <c r="AS47" s="56" t="s">
        <v>26</v>
      </c>
      <c r="AT47" s="56" t="s">
        <v>26</v>
      </c>
      <c r="AU47" s="55">
        <v>568494340.49000001</v>
      </c>
      <c r="AV47" s="56">
        <v>1.434082386707E-2</v>
      </c>
      <c r="AW47" s="56" t="s">
        <v>26</v>
      </c>
      <c r="AX47" s="56" t="s">
        <v>26</v>
      </c>
      <c r="AY47" s="55">
        <v>11869820302.799999</v>
      </c>
      <c r="AZ47" s="56">
        <v>1.8486492081340001E-2</v>
      </c>
      <c r="BA47" s="56" t="s">
        <v>26</v>
      </c>
      <c r="BB47" s="56" t="s">
        <v>26</v>
      </c>
    </row>
    <row r="48" spans="1:54" s="7" customFormat="1">
      <c r="A48" s="5" t="s">
        <v>55</v>
      </c>
      <c r="B48" s="24" t="s">
        <v>25</v>
      </c>
      <c r="C48" s="10">
        <v>35752221.049999997</v>
      </c>
      <c r="D48" s="11">
        <v>7.3446769801800002E-3</v>
      </c>
      <c r="E48" s="11">
        <v>0.12</v>
      </c>
      <c r="F48" s="11">
        <v>0.11269999999999999</v>
      </c>
      <c r="G48" s="10" t="s">
        <v>26</v>
      </c>
      <c r="H48" s="11" t="s">
        <v>26</v>
      </c>
      <c r="I48" s="11" t="s">
        <v>26</v>
      </c>
      <c r="J48" s="11" t="s">
        <v>26</v>
      </c>
      <c r="K48" s="10">
        <v>30644760.899999999</v>
      </c>
      <c r="L48" s="11">
        <v>1.299480478863E-2</v>
      </c>
      <c r="M48" s="11">
        <v>0.12</v>
      </c>
      <c r="N48" s="11">
        <v>0.107</v>
      </c>
      <c r="O48" s="10">
        <v>820258100.09000003</v>
      </c>
      <c r="P48" s="11">
        <v>4.15439034904E-3</v>
      </c>
      <c r="Q48" s="11">
        <v>0.12</v>
      </c>
      <c r="R48" s="11">
        <v>0.1158</v>
      </c>
      <c r="S48" s="10">
        <v>306447609</v>
      </c>
      <c r="T48" s="11">
        <v>3.0929041993899998E-3</v>
      </c>
      <c r="U48" s="11">
        <v>0.12</v>
      </c>
      <c r="V48" s="11">
        <v>0.1169</v>
      </c>
      <c r="W48" s="10" t="s">
        <v>26</v>
      </c>
      <c r="X48" s="11" t="s">
        <v>26</v>
      </c>
      <c r="Y48" s="11" t="s">
        <v>26</v>
      </c>
      <c r="Z48" s="11" t="s">
        <v>26</v>
      </c>
      <c r="AA48" s="10">
        <v>898912986.39999998</v>
      </c>
      <c r="AB48" s="11">
        <v>7.36823824395E-3</v>
      </c>
      <c r="AC48" s="11">
        <v>0.12</v>
      </c>
      <c r="AD48" s="11">
        <v>0.11260000000000001</v>
      </c>
      <c r="AE48" s="10">
        <v>2092015677.4400001</v>
      </c>
      <c r="AF48" s="11">
        <v>3.7089065513099999E-3</v>
      </c>
      <c r="AG48" s="11">
        <v>0.12</v>
      </c>
      <c r="AH48" s="11">
        <v>0.1163</v>
      </c>
      <c r="AI48" s="10" t="s">
        <v>26</v>
      </c>
      <c r="AJ48" s="11" t="s">
        <v>26</v>
      </c>
      <c r="AK48" s="11" t="s">
        <v>26</v>
      </c>
      <c r="AL48" s="11" t="s">
        <v>26</v>
      </c>
      <c r="AM48" s="10" t="s">
        <v>26</v>
      </c>
      <c r="AN48" s="11" t="s">
        <v>26</v>
      </c>
      <c r="AO48" s="11" t="s">
        <v>26</v>
      </c>
      <c r="AP48" s="11" t="s">
        <v>26</v>
      </c>
      <c r="AQ48" s="10" t="s">
        <v>26</v>
      </c>
      <c r="AR48" s="11" t="s">
        <v>26</v>
      </c>
      <c r="AS48" s="11" t="s">
        <v>26</v>
      </c>
      <c r="AT48" s="11" t="s">
        <v>26</v>
      </c>
      <c r="AU48" s="10">
        <v>204298406</v>
      </c>
      <c r="AV48" s="11">
        <v>5.1536264270299996E-3</v>
      </c>
      <c r="AW48" s="11">
        <v>0.12</v>
      </c>
      <c r="AX48" s="11">
        <v>0.1148</v>
      </c>
      <c r="AY48" s="10">
        <v>2296314083.4400001</v>
      </c>
      <c r="AZ48" s="11">
        <v>3.5763635031400001E-3</v>
      </c>
      <c r="BA48" s="11">
        <v>0.12</v>
      </c>
      <c r="BB48" s="11">
        <v>0.1164</v>
      </c>
    </row>
    <row r="49" spans="1:54">
      <c r="A49" s="3" t="s">
        <v>36</v>
      </c>
      <c r="B49" s="24" t="s">
        <v>56</v>
      </c>
      <c r="C49" s="2">
        <v>35752221.049999997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30644760.899999999</v>
      </c>
      <c r="L49" s="1">
        <v>1</v>
      </c>
      <c r="M49" s="1" t="s">
        <v>26</v>
      </c>
      <c r="N49" s="1" t="s">
        <v>26</v>
      </c>
      <c r="O49" s="2">
        <v>820258100.09000003</v>
      </c>
      <c r="P49" s="1">
        <v>1</v>
      </c>
      <c r="Q49" s="1" t="s">
        <v>26</v>
      </c>
      <c r="R49" s="1" t="s">
        <v>26</v>
      </c>
      <c r="S49" s="2">
        <v>306447609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898912986.39999998</v>
      </c>
      <c r="AB49" s="1">
        <v>1</v>
      </c>
      <c r="AC49" s="1" t="s">
        <v>26</v>
      </c>
      <c r="AD49" s="1" t="s">
        <v>26</v>
      </c>
      <c r="AE49" s="2">
        <v>2092015677.4400001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204298406</v>
      </c>
      <c r="AV49" s="1">
        <v>1</v>
      </c>
      <c r="AW49" s="1" t="s">
        <v>26</v>
      </c>
      <c r="AX49" s="1" t="s">
        <v>26</v>
      </c>
      <c r="AY49" s="2">
        <v>2296314083.4400001</v>
      </c>
      <c r="AZ49" s="1">
        <v>1</v>
      </c>
      <c r="BA49" s="1" t="s">
        <v>26</v>
      </c>
      <c r="BB49" s="1" t="s">
        <v>26</v>
      </c>
    </row>
    <row r="50" spans="1:54" s="8" customFormat="1">
      <c r="A50" s="5" t="s">
        <v>57</v>
      </c>
      <c r="B50" s="24" t="s">
        <v>25</v>
      </c>
      <c r="C50" s="10">
        <v>33427330.969999999</v>
      </c>
      <c r="D50" s="11">
        <v>6.8670684246700002E-3</v>
      </c>
      <c r="E50" s="11">
        <v>0.09</v>
      </c>
      <c r="F50" s="11">
        <v>8.3099999999999993E-2</v>
      </c>
      <c r="G50" s="10" t="s">
        <v>26</v>
      </c>
      <c r="H50" s="11" t="s">
        <v>26</v>
      </c>
      <c r="I50" s="11" t="s">
        <v>26</v>
      </c>
      <c r="J50" s="11" t="s">
        <v>26</v>
      </c>
      <c r="K50" s="10">
        <v>6153139.9100000001</v>
      </c>
      <c r="L50" s="11">
        <v>2.6092176809099999E-3</v>
      </c>
      <c r="M50" s="11">
        <v>0.09</v>
      </c>
      <c r="N50" s="11">
        <v>8.7400000000000005E-2</v>
      </c>
      <c r="O50" s="10">
        <v>386814360.25</v>
      </c>
      <c r="P50" s="11">
        <v>1.9591124365799998E-3</v>
      </c>
      <c r="Q50" s="11">
        <v>0.09</v>
      </c>
      <c r="R50" s="11">
        <v>8.7999999999999995E-2</v>
      </c>
      <c r="S50" s="10">
        <v>292803580.80000001</v>
      </c>
      <c r="T50" s="11">
        <v>2.9551982069899998E-3</v>
      </c>
      <c r="U50" s="11">
        <v>0.09</v>
      </c>
      <c r="V50" s="11">
        <v>8.6999999999999994E-2</v>
      </c>
      <c r="W50" s="10" t="s">
        <v>26</v>
      </c>
      <c r="X50" s="11" t="s">
        <v>26</v>
      </c>
      <c r="Y50" s="11" t="s">
        <v>26</v>
      </c>
      <c r="Z50" s="11" t="s">
        <v>26</v>
      </c>
      <c r="AA50" s="10">
        <v>105792638.63</v>
      </c>
      <c r="AB50" s="11">
        <v>8.6716442822999998E-4</v>
      </c>
      <c r="AC50" s="11">
        <v>0.09</v>
      </c>
      <c r="AD50" s="11">
        <v>8.9099999999999999E-2</v>
      </c>
      <c r="AE50" s="10">
        <v>824991050.55999994</v>
      </c>
      <c r="AF50" s="11">
        <v>1.4626155746300001E-3</v>
      </c>
      <c r="AG50" s="11">
        <v>0.09</v>
      </c>
      <c r="AH50" s="11">
        <v>8.8499999999999995E-2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10" t="s">
        <v>26</v>
      </c>
      <c r="AV50" s="11" t="s">
        <v>26</v>
      </c>
      <c r="AW50" s="11" t="s">
        <v>26</v>
      </c>
      <c r="AX50" s="11" t="s">
        <v>26</v>
      </c>
      <c r="AY50" s="10">
        <v>824991050.55999994</v>
      </c>
      <c r="AZ50" s="11">
        <v>1.2848712224999999E-3</v>
      </c>
      <c r="BA50" s="11">
        <v>0.09</v>
      </c>
      <c r="BB50" s="11">
        <v>8.8700000000000001E-2</v>
      </c>
    </row>
    <row r="51" spans="1:54" s="8" customFormat="1">
      <c r="A51" s="3" t="s">
        <v>36</v>
      </c>
      <c r="B51" s="24" t="s">
        <v>46</v>
      </c>
      <c r="C51" s="2">
        <v>33427330.969999999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6153139.9100000001</v>
      </c>
      <c r="L51" s="1">
        <v>1</v>
      </c>
      <c r="M51" s="1" t="s">
        <v>26</v>
      </c>
      <c r="N51" s="1" t="s">
        <v>26</v>
      </c>
      <c r="O51" s="2">
        <v>386814360.25</v>
      </c>
      <c r="P51" s="1">
        <v>1</v>
      </c>
      <c r="Q51" s="1" t="s">
        <v>26</v>
      </c>
      <c r="R51" s="1" t="s">
        <v>26</v>
      </c>
      <c r="S51" s="2">
        <v>292803580.80000001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105792638.63</v>
      </c>
      <c r="AB51" s="1">
        <v>1</v>
      </c>
      <c r="AC51" s="1" t="s">
        <v>26</v>
      </c>
      <c r="AD51" s="1" t="s">
        <v>26</v>
      </c>
      <c r="AE51" s="2">
        <v>824991050.55999994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824991050.55999994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4" t="s">
        <v>25</v>
      </c>
      <c r="C52" s="10">
        <v>5012361.6500000004</v>
      </c>
      <c r="D52" s="11">
        <v>1.0297032225100001E-3</v>
      </c>
      <c r="E52" s="11">
        <v>0.12</v>
      </c>
      <c r="F52" s="11">
        <v>0.11899999999999999</v>
      </c>
      <c r="G52" s="10">
        <v>80197785.599999994</v>
      </c>
      <c r="H52" s="11">
        <v>6.0447322195999998E-4</v>
      </c>
      <c r="I52" s="11">
        <v>0.12</v>
      </c>
      <c r="J52" s="11">
        <v>0.11940000000000001</v>
      </c>
      <c r="K52" s="10" t="s">
        <v>26</v>
      </c>
      <c r="L52" s="11" t="s">
        <v>26</v>
      </c>
      <c r="M52" s="11" t="s">
        <v>26</v>
      </c>
      <c r="N52" s="11" t="s">
        <v>26</v>
      </c>
      <c r="O52" s="10">
        <v>260642803.19999999</v>
      </c>
      <c r="P52" s="11">
        <v>1.32008686783E-3</v>
      </c>
      <c r="Q52" s="11">
        <v>0.12</v>
      </c>
      <c r="R52" s="11">
        <v>0.1187</v>
      </c>
      <c r="S52" s="10">
        <v>139343653.03</v>
      </c>
      <c r="T52" s="11">
        <v>1.4063629702400001E-3</v>
      </c>
      <c r="U52" s="11">
        <v>0.12</v>
      </c>
      <c r="V52" s="11">
        <v>0.1186</v>
      </c>
      <c r="W52" s="10" t="s">
        <v>26</v>
      </c>
      <c r="X52" s="11" t="s">
        <v>26</v>
      </c>
      <c r="Y52" s="11" t="s">
        <v>26</v>
      </c>
      <c r="Z52" s="11" t="s">
        <v>26</v>
      </c>
      <c r="AA52" s="10">
        <v>133629560.76000001</v>
      </c>
      <c r="AB52" s="11">
        <v>1.0953389872099999E-3</v>
      </c>
      <c r="AC52" s="11">
        <v>0.12</v>
      </c>
      <c r="AD52" s="11">
        <v>0.11890000000000001</v>
      </c>
      <c r="AE52" s="10">
        <v>618826164.24000001</v>
      </c>
      <c r="AF52" s="11">
        <v>1.09710861129E-3</v>
      </c>
      <c r="AG52" s="11">
        <v>0.12</v>
      </c>
      <c r="AH52" s="11">
        <v>0.11890000000000001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10">
        <v>618826164.24000001</v>
      </c>
      <c r="AZ52" s="11">
        <v>9.6378249149000001E-4</v>
      </c>
      <c r="BA52" s="11">
        <v>0.12</v>
      </c>
      <c r="BB52" s="11">
        <v>0.11899999999999999</v>
      </c>
    </row>
    <row r="53" spans="1:54" s="7" customFormat="1">
      <c r="A53" s="3" t="s">
        <v>36</v>
      </c>
      <c r="B53" s="24" t="s">
        <v>56</v>
      </c>
      <c r="C53" s="2">
        <v>5012361.6500000004</v>
      </c>
      <c r="D53" s="1">
        <v>1</v>
      </c>
      <c r="E53" s="1" t="s">
        <v>26</v>
      </c>
      <c r="F53" s="1" t="s">
        <v>26</v>
      </c>
      <c r="G53" s="2">
        <v>80197785.599999994</v>
      </c>
      <c r="H53" s="1">
        <v>1</v>
      </c>
      <c r="I53" s="1" t="s">
        <v>26</v>
      </c>
      <c r="J53" s="1" t="s">
        <v>26</v>
      </c>
      <c r="K53" s="2" t="s">
        <v>26</v>
      </c>
      <c r="L53" s="1" t="s">
        <v>26</v>
      </c>
      <c r="M53" s="1" t="s">
        <v>26</v>
      </c>
      <c r="N53" s="1" t="s">
        <v>26</v>
      </c>
      <c r="O53" s="2">
        <v>260642803.19999999</v>
      </c>
      <c r="P53" s="1">
        <v>1</v>
      </c>
      <c r="Q53" s="1" t="s">
        <v>26</v>
      </c>
      <c r="R53" s="1" t="s">
        <v>26</v>
      </c>
      <c r="S53" s="2">
        <v>139343653.03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133629560.76000001</v>
      </c>
      <c r="AB53" s="1">
        <v>1</v>
      </c>
      <c r="AC53" s="1" t="s">
        <v>26</v>
      </c>
      <c r="AD53" s="1" t="s">
        <v>26</v>
      </c>
      <c r="AE53" s="2">
        <v>618826164.24000001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618826164.24000001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59</v>
      </c>
      <c r="B54" s="24" t="s">
        <v>25</v>
      </c>
      <c r="C54" s="10" t="s">
        <v>26</v>
      </c>
      <c r="D54" s="11" t="s">
        <v>26</v>
      </c>
      <c r="E54" s="11" t="s">
        <v>26</v>
      </c>
      <c r="F54" s="11" t="s">
        <v>26</v>
      </c>
      <c r="G54" s="10">
        <v>1472449980.8399999</v>
      </c>
      <c r="H54" s="11">
        <v>1.1098268829210001E-2</v>
      </c>
      <c r="I54" s="11">
        <v>0.14369999999999999</v>
      </c>
      <c r="J54" s="11">
        <v>0.1326</v>
      </c>
      <c r="K54" s="10">
        <v>51176552.5</v>
      </c>
      <c r="L54" s="11">
        <v>2.1701239949720001E-2</v>
      </c>
      <c r="M54" s="11">
        <v>0.12</v>
      </c>
      <c r="N54" s="11">
        <v>9.8299999999999998E-2</v>
      </c>
      <c r="O54" s="10">
        <v>2263568330</v>
      </c>
      <c r="P54" s="11">
        <v>1.1464374961379999E-2</v>
      </c>
      <c r="Q54" s="11">
        <v>0.12</v>
      </c>
      <c r="R54" s="11">
        <v>0.1085</v>
      </c>
      <c r="S54" s="10">
        <v>1401698172.99</v>
      </c>
      <c r="T54" s="11">
        <v>1.414701253393E-2</v>
      </c>
      <c r="U54" s="11">
        <v>0.13819999999999999</v>
      </c>
      <c r="V54" s="11">
        <v>0.1241</v>
      </c>
      <c r="W54" s="10">
        <v>181253683.21000001</v>
      </c>
      <c r="X54" s="11">
        <v>3.2199260276530001E-2</v>
      </c>
      <c r="Y54" s="11">
        <v>0.1421</v>
      </c>
      <c r="Z54" s="11">
        <v>0.1099</v>
      </c>
      <c r="AA54" s="10">
        <v>1510584643.3199999</v>
      </c>
      <c r="AB54" s="11">
        <v>1.238200772269E-2</v>
      </c>
      <c r="AC54" s="11">
        <v>0.12089999999999999</v>
      </c>
      <c r="AD54" s="11">
        <v>0.1085</v>
      </c>
      <c r="AE54" s="10">
        <v>6880731362.8599997</v>
      </c>
      <c r="AF54" s="11">
        <v>1.2198756397820001E-2</v>
      </c>
      <c r="AG54" s="11">
        <v>0.1295</v>
      </c>
      <c r="AH54" s="11">
        <v>0.1173</v>
      </c>
      <c r="AI54" s="10">
        <v>222448633.94999999</v>
      </c>
      <c r="AJ54" s="11">
        <v>1.425569638807E-2</v>
      </c>
      <c r="AK54" s="11">
        <v>0.12239999999999999</v>
      </c>
      <c r="AL54" s="11">
        <v>0.1081</v>
      </c>
      <c r="AM54" s="10">
        <v>662313073.25999999</v>
      </c>
      <c r="AN54" s="11">
        <v>2.907051215933E-2</v>
      </c>
      <c r="AO54" s="11">
        <v>0.14000000000000001</v>
      </c>
      <c r="AP54" s="11">
        <v>0.1109</v>
      </c>
      <c r="AQ54" s="10">
        <v>884761707.21000004</v>
      </c>
      <c r="AR54" s="11">
        <v>2.304836497759E-2</v>
      </c>
      <c r="AS54" s="11">
        <v>0.13550000000000001</v>
      </c>
      <c r="AT54" s="11">
        <v>0.1125</v>
      </c>
      <c r="AU54" s="10">
        <v>364195934.49000001</v>
      </c>
      <c r="AV54" s="11">
        <v>9.1871974400299997E-3</v>
      </c>
      <c r="AW54" s="11">
        <v>0.12470000000000001</v>
      </c>
      <c r="AX54" s="11">
        <v>0.11550000000000001</v>
      </c>
      <c r="AY54" s="10">
        <v>8129689004.5600004</v>
      </c>
      <c r="AZ54" s="11">
        <v>1.2661474864209999E-2</v>
      </c>
      <c r="BA54" s="11">
        <v>0.13</v>
      </c>
      <c r="BB54" s="11">
        <v>0.1173</v>
      </c>
    </row>
    <row r="55" spans="1:54" s="7" customFormat="1">
      <c r="A55" s="3" t="s">
        <v>36</v>
      </c>
      <c r="B55" s="24" t="s">
        <v>56</v>
      </c>
      <c r="C55" s="2" t="s">
        <v>26</v>
      </c>
      <c r="D55" s="1" t="s">
        <v>26</v>
      </c>
      <c r="E55" s="1" t="s">
        <v>26</v>
      </c>
      <c r="F55" s="1" t="s">
        <v>26</v>
      </c>
      <c r="G55" s="2">
        <v>310940577</v>
      </c>
      <c r="H55" s="1">
        <v>0.2111722510415</v>
      </c>
      <c r="I55" s="1" t="s">
        <v>26</v>
      </c>
      <c r="J55" s="1" t="s">
        <v>26</v>
      </c>
      <c r="K55" s="2">
        <v>51176552.5</v>
      </c>
      <c r="L55" s="1">
        <v>1</v>
      </c>
      <c r="M55" s="1" t="s">
        <v>26</v>
      </c>
      <c r="N55" s="1" t="s">
        <v>26</v>
      </c>
      <c r="O55" s="2">
        <v>2263568330</v>
      </c>
      <c r="P55" s="1">
        <v>1</v>
      </c>
      <c r="Q55" s="1" t="s">
        <v>26</v>
      </c>
      <c r="R55" s="1" t="s">
        <v>26</v>
      </c>
      <c r="S55" s="2">
        <v>552706767</v>
      </c>
      <c r="T55" s="1">
        <v>0.39431225469960002</v>
      </c>
      <c r="U55" s="1" t="s">
        <v>26</v>
      </c>
      <c r="V55" s="1" t="s">
        <v>26</v>
      </c>
      <c r="W55" s="2">
        <v>47703868.25</v>
      </c>
      <c r="X55" s="1">
        <v>0.26318840756869</v>
      </c>
      <c r="Y55" s="1" t="s">
        <v>26</v>
      </c>
      <c r="Z55" s="1" t="s">
        <v>26</v>
      </c>
      <c r="AA55" s="2">
        <v>1465054001.0599999</v>
      </c>
      <c r="AB55" s="1">
        <v>0.96985892683250996</v>
      </c>
      <c r="AC55" s="1" t="s">
        <v>26</v>
      </c>
      <c r="AD55" s="1" t="s">
        <v>26</v>
      </c>
      <c r="AE55" s="2">
        <v>4691150095.8100004</v>
      </c>
      <c r="AF55" s="1">
        <v>0.68178073643906001</v>
      </c>
      <c r="AG55" s="1" t="s">
        <v>26</v>
      </c>
      <c r="AH55" s="1" t="s">
        <v>26</v>
      </c>
      <c r="AI55" s="2">
        <v>204706210</v>
      </c>
      <c r="AJ55" s="1">
        <v>0.92024035556007</v>
      </c>
      <c r="AK55" s="1" t="s">
        <v>26</v>
      </c>
      <c r="AL55" s="1" t="s">
        <v>26</v>
      </c>
      <c r="AM55" s="2">
        <v>221799178.53999999</v>
      </c>
      <c r="AN55" s="1">
        <v>0.33488570208689</v>
      </c>
      <c r="AO55" s="1" t="s">
        <v>26</v>
      </c>
      <c r="AP55" s="1" t="s">
        <v>26</v>
      </c>
      <c r="AQ55" s="2">
        <v>426505388.54000002</v>
      </c>
      <c r="AR55" s="1">
        <v>0.48205679005360003</v>
      </c>
      <c r="AS55" s="1" t="s">
        <v>26</v>
      </c>
      <c r="AT55" s="1" t="s">
        <v>26</v>
      </c>
      <c r="AU55" s="2">
        <v>307059315</v>
      </c>
      <c r="AV55" s="1">
        <v>0.84311571305701005</v>
      </c>
      <c r="AW55" s="1" t="s">
        <v>26</v>
      </c>
      <c r="AX55" s="1" t="s">
        <v>26</v>
      </c>
      <c r="AY55" s="2">
        <v>5424714799.3500004</v>
      </c>
      <c r="AZ55" s="1">
        <v>0.66727211782729001</v>
      </c>
      <c r="BA55" s="1" t="s">
        <v>26</v>
      </c>
      <c r="BB55" s="1" t="s">
        <v>26</v>
      </c>
    </row>
    <row r="56" spans="1:54" s="7" customFormat="1">
      <c r="A56" s="3" t="s">
        <v>38</v>
      </c>
      <c r="B56" s="24" t="s">
        <v>39</v>
      </c>
      <c r="C56" s="2" t="s">
        <v>26</v>
      </c>
      <c r="D56" s="1" t="s">
        <v>26</v>
      </c>
      <c r="E56" s="1" t="s">
        <v>26</v>
      </c>
      <c r="F56" s="1" t="s">
        <v>26</v>
      </c>
      <c r="G56" s="2">
        <v>1161509403.8399999</v>
      </c>
      <c r="H56" s="1">
        <v>0.78882774895850005</v>
      </c>
      <c r="I56" s="1" t="s">
        <v>26</v>
      </c>
      <c r="J56" s="1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>
        <v>848991405.99000001</v>
      </c>
      <c r="T56" s="1">
        <v>0.60568774530040004</v>
      </c>
      <c r="U56" s="1" t="s">
        <v>26</v>
      </c>
      <c r="V56" s="1" t="s">
        <v>26</v>
      </c>
      <c r="W56" s="2">
        <v>133549814.95999999</v>
      </c>
      <c r="X56" s="1">
        <v>0.73681159243131</v>
      </c>
      <c r="Y56" s="1" t="s">
        <v>26</v>
      </c>
      <c r="Z56" s="1" t="s">
        <v>26</v>
      </c>
      <c r="AA56" s="2">
        <v>45530642.259999998</v>
      </c>
      <c r="AB56" s="1">
        <v>3.0141073167489998E-2</v>
      </c>
      <c r="AC56" s="1" t="s">
        <v>26</v>
      </c>
      <c r="AD56" s="1" t="s">
        <v>26</v>
      </c>
      <c r="AE56" s="2">
        <v>2189581267.0500002</v>
      </c>
      <c r="AF56" s="1">
        <v>0.31821926356093999</v>
      </c>
      <c r="AG56" s="1" t="s">
        <v>26</v>
      </c>
      <c r="AH56" s="1" t="s">
        <v>26</v>
      </c>
      <c r="AI56" s="2">
        <v>17742423.949999999</v>
      </c>
      <c r="AJ56" s="1">
        <v>7.975964443993E-2</v>
      </c>
      <c r="AK56" s="1" t="s">
        <v>26</v>
      </c>
      <c r="AL56" s="1" t="s">
        <v>26</v>
      </c>
      <c r="AM56" s="2">
        <v>440513894.72000003</v>
      </c>
      <c r="AN56" s="1">
        <v>0.66511429791311005</v>
      </c>
      <c r="AO56" s="1" t="s">
        <v>26</v>
      </c>
      <c r="AP56" s="1" t="s">
        <v>26</v>
      </c>
      <c r="AQ56" s="2">
        <v>458256318.67000002</v>
      </c>
      <c r="AR56" s="1">
        <v>0.51794320994639997</v>
      </c>
      <c r="AS56" s="1" t="s">
        <v>26</v>
      </c>
      <c r="AT56" s="1" t="s">
        <v>26</v>
      </c>
      <c r="AU56" s="2">
        <v>57136619.490000002</v>
      </c>
      <c r="AV56" s="1">
        <v>0.15688428694299</v>
      </c>
      <c r="AW56" s="1" t="s">
        <v>26</v>
      </c>
      <c r="AX56" s="1" t="s">
        <v>26</v>
      </c>
      <c r="AY56" s="2">
        <v>2704974205.21</v>
      </c>
      <c r="AZ56" s="1">
        <v>0.33272788217270999</v>
      </c>
      <c r="BA56" s="1" t="s">
        <v>26</v>
      </c>
      <c r="BB56" s="1" t="s">
        <v>26</v>
      </c>
    </row>
    <row r="57" spans="1:54" s="7" customFormat="1">
      <c r="A57" s="13" t="s">
        <v>60</v>
      </c>
      <c r="B57" s="25" t="s">
        <v>25</v>
      </c>
      <c r="C57" s="55">
        <v>91926011.689999998</v>
      </c>
      <c r="D57" s="56">
        <v>1.8884613098440001E-2</v>
      </c>
      <c r="E57" s="56" t="s">
        <v>26</v>
      </c>
      <c r="F57" s="56" t="s">
        <v>26</v>
      </c>
      <c r="G57" s="55">
        <v>30397434.190000001</v>
      </c>
      <c r="H57" s="56">
        <v>2.2911399418999999E-4</v>
      </c>
      <c r="I57" s="56" t="s">
        <v>26</v>
      </c>
      <c r="J57" s="56" t="s">
        <v>26</v>
      </c>
      <c r="K57" s="55">
        <v>65251032.719999999</v>
      </c>
      <c r="L57" s="56">
        <v>2.766947457087E-2</v>
      </c>
      <c r="M57" s="56" t="s">
        <v>26</v>
      </c>
      <c r="N57" s="56" t="s">
        <v>26</v>
      </c>
      <c r="O57" s="55">
        <v>58210811.740000002</v>
      </c>
      <c r="P57" s="56">
        <v>2.9482236685999998E-4</v>
      </c>
      <c r="Q57" s="56" t="s">
        <v>26</v>
      </c>
      <c r="R57" s="56" t="s">
        <v>26</v>
      </c>
      <c r="S57" s="55">
        <v>26390148.859999999</v>
      </c>
      <c r="T57" s="56">
        <v>2.6634961355000001E-4</v>
      </c>
      <c r="U57" s="56" t="s">
        <v>26</v>
      </c>
      <c r="V57" s="56" t="s">
        <v>26</v>
      </c>
      <c r="W57" s="55" t="s">
        <v>26</v>
      </c>
      <c r="X57" s="56" t="s">
        <v>26</v>
      </c>
      <c r="Y57" s="56" t="s">
        <v>26</v>
      </c>
      <c r="Z57" s="56" t="s">
        <v>26</v>
      </c>
      <c r="AA57" s="55">
        <v>214379281.66999999</v>
      </c>
      <c r="AB57" s="56">
        <v>1.7572308397000001E-3</v>
      </c>
      <c r="AC57" s="56" t="s">
        <v>26</v>
      </c>
      <c r="AD57" s="56" t="s">
        <v>26</v>
      </c>
      <c r="AE57" s="55">
        <v>486554720.87</v>
      </c>
      <c r="AF57" s="56">
        <v>8.6260634242000004E-4</v>
      </c>
      <c r="AG57" s="56" t="s">
        <v>26</v>
      </c>
      <c r="AH57" s="56" t="s">
        <v>26</v>
      </c>
      <c r="AI57" s="55">
        <v>9158356.5399999991</v>
      </c>
      <c r="AJ57" s="56">
        <v>5.8691639472E-4</v>
      </c>
      <c r="AK57" s="56" t="s">
        <v>26</v>
      </c>
      <c r="AL57" s="56" t="s">
        <v>26</v>
      </c>
      <c r="AM57" s="55" t="s">
        <v>26</v>
      </c>
      <c r="AN57" s="56" t="s">
        <v>26</v>
      </c>
      <c r="AO57" s="56" t="s">
        <v>26</v>
      </c>
      <c r="AP57" s="56" t="s">
        <v>26</v>
      </c>
      <c r="AQ57" s="55">
        <v>9158356.5399999991</v>
      </c>
      <c r="AR57" s="56">
        <v>2.3857852617999999E-4</v>
      </c>
      <c r="AS57" s="56" t="s">
        <v>26</v>
      </c>
      <c r="AT57" s="56" t="s">
        <v>26</v>
      </c>
      <c r="AU57" s="55">
        <v>88079577.790000007</v>
      </c>
      <c r="AV57" s="56">
        <v>2.2218932035199999E-3</v>
      </c>
      <c r="AW57" s="56" t="s">
        <v>26</v>
      </c>
      <c r="AX57" s="56" t="s">
        <v>26</v>
      </c>
      <c r="AY57" s="55">
        <v>583792655.20000005</v>
      </c>
      <c r="AZ57" s="56">
        <v>9.0922002373999995E-4</v>
      </c>
      <c r="BA57" s="56" t="s">
        <v>26</v>
      </c>
      <c r="BB57" s="56" t="s">
        <v>26</v>
      </c>
    </row>
    <row r="58" spans="1:54" s="7" customFormat="1">
      <c r="A58" s="5" t="s">
        <v>61</v>
      </c>
      <c r="B58" s="24" t="s">
        <v>25</v>
      </c>
      <c r="C58" s="10">
        <v>49285256.32</v>
      </c>
      <c r="D58" s="11">
        <v>1.0124805590380001E-2</v>
      </c>
      <c r="E58" s="11">
        <v>0.09</v>
      </c>
      <c r="F58" s="11">
        <v>7.9899999999999999E-2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10" t="s">
        <v>26</v>
      </c>
      <c r="P58" s="11" t="s">
        <v>26</v>
      </c>
      <c r="Q58" s="11" t="s">
        <v>26</v>
      </c>
      <c r="R58" s="11" t="s">
        <v>26</v>
      </c>
      <c r="S58" s="10" t="s">
        <v>26</v>
      </c>
      <c r="T58" s="11" t="s">
        <v>26</v>
      </c>
      <c r="U58" s="11" t="s">
        <v>26</v>
      </c>
      <c r="V58" s="11" t="s">
        <v>26</v>
      </c>
      <c r="W58" s="10" t="s">
        <v>26</v>
      </c>
      <c r="X58" s="11" t="s">
        <v>26</v>
      </c>
      <c r="Y58" s="11" t="s">
        <v>26</v>
      </c>
      <c r="Z58" s="11" t="s">
        <v>26</v>
      </c>
      <c r="AA58" s="10" t="s">
        <v>26</v>
      </c>
      <c r="AB58" s="11" t="s">
        <v>26</v>
      </c>
      <c r="AC58" s="11" t="s">
        <v>26</v>
      </c>
      <c r="AD58" s="11" t="s">
        <v>26</v>
      </c>
      <c r="AE58" s="10">
        <v>49285256.32</v>
      </c>
      <c r="AF58" s="11">
        <v>8.7377170270000004E-5</v>
      </c>
      <c r="AG58" s="11">
        <v>0.09</v>
      </c>
      <c r="AH58" s="11">
        <v>8.9899999999999994E-2</v>
      </c>
      <c r="AI58" s="10" t="s">
        <v>26</v>
      </c>
      <c r="AJ58" s="11" t="s">
        <v>26</v>
      </c>
      <c r="AK58" s="11" t="s">
        <v>26</v>
      </c>
      <c r="AL58" s="11" t="s">
        <v>26</v>
      </c>
      <c r="AM58" s="10" t="s">
        <v>26</v>
      </c>
      <c r="AN58" s="11" t="s">
        <v>26</v>
      </c>
      <c r="AO58" s="11" t="s">
        <v>26</v>
      </c>
      <c r="AP58" s="11" t="s">
        <v>26</v>
      </c>
      <c r="AQ58" s="10" t="s">
        <v>26</v>
      </c>
      <c r="AR58" s="11" t="s">
        <v>26</v>
      </c>
      <c r="AS58" s="11" t="s">
        <v>26</v>
      </c>
      <c r="AT58" s="11" t="s">
        <v>26</v>
      </c>
      <c r="AU58" s="10" t="s">
        <v>26</v>
      </c>
      <c r="AV58" s="11" t="s">
        <v>26</v>
      </c>
      <c r="AW58" s="11" t="s">
        <v>26</v>
      </c>
      <c r="AX58" s="11" t="s">
        <v>26</v>
      </c>
      <c r="AY58" s="10">
        <v>49285256.32</v>
      </c>
      <c r="AZ58" s="11">
        <v>7.6758659979999998E-5</v>
      </c>
      <c r="BA58" s="11">
        <v>0.09</v>
      </c>
      <c r="BB58" s="11">
        <v>8.9899999999999994E-2</v>
      </c>
    </row>
    <row r="59" spans="1:54" s="7" customFormat="1">
      <c r="A59" s="3" t="s">
        <v>36</v>
      </c>
      <c r="B59" s="24" t="s">
        <v>46</v>
      </c>
      <c r="C59" s="2">
        <v>49285256.32</v>
      </c>
      <c r="D59" s="1">
        <v>1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49285256.32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49285256.32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62</v>
      </c>
      <c r="B60" s="24" t="s">
        <v>25</v>
      </c>
      <c r="C60" s="10">
        <v>17867417.969999999</v>
      </c>
      <c r="D60" s="11">
        <v>3.6705527546399999E-3</v>
      </c>
      <c r="E60" s="11">
        <v>0.12</v>
      </c>
      <c r="F60" s="11">
        <v>0.1163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>
        <v>2543987.9300000002</v>
      </c>
      <c r="T60" s="11">
        <v>2.5675876469999999E-5</v>
      </c>
      <c r="U60" s="11">
        <v>0.13500000000000001</v>
      </c>
      <c r="V60" s="11">
        <v>0.13500000000000001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>
        <v>80452605.510000005</v>
      </c>
      <c r="AB60" s="11">
        <v>6.5945644763000001E-4</v>
      </c>
      <c r="AC60" s="11">
        <v>0.13500000000000001</v>
      </c>
      <c r="AD60" s="11">
        <v>0.1343</v>
      </c>
      <c r="AE60" s="10">
        <v>100864011.41</v>
      </c>
      <c r="AF60" s="11">
        <v>1.7882045376000001E-4</v>
      </c>
      <c r="AG60" s="11">
        <v>0.1323</v>
      </c>
      <c r="AH60" s="11">
        <v>0.1321</v>
      </c>
      <c r="AI60" s="10">
        <v>9158356.5399999991</v>
      </c>
      <c r="AJ60" s="11">
        <v>5.8691639472E-4</v>
      </c>
      <c r="AK60" s="11">
        <v>0.13500000000000001</v>
      </c>
      <c r="AL60" s="11">
        <v>0.13439999999999999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>
        <v>9158356.5399999991</v>
      </c>
      <c r="AR60" s="11">
        <v>2.3857852617999999E-4</v>
      </c>
      <c r="AS60" s="11">
        <v>0.13500000000000001</v>
      </c>
      <c r="AT60" s="11">
        <v>0.1348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110022367.95</v>
      </c>
      <c r="AZ60" s="11">
        <v>1.7135285809000001E-4</v>
      </c>
      <c r="BA60" s="11">
        <v>0.1326</v>
      </c>
      <c r="BB60" s="11">
        <v>0.13239999999999999</v>
      </c>
    </row>
    <row r="61" spans="1:54" s="7" customFormat="1">
      <c r="A61" s="3" t="s">
        <v>36</v>
      </c>
      <c r="B61" s="24" t="s">
        <v>56</v>
      </c>
      <c r="C61" s="2">
        <v>17867417.969999999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17867417.969999999</v>
      </c>
      <c r="AF61" s="1">
        <v>0.17714363845169001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17867417.969999999</v>
      </c>
      <c r="AZ61" s="1">
        <v>0.16239804962314</v>
      </c>
      <c r="BA61" s="1" t="s">
        <v>26</v>
      </c>
      <c r="BB61" s="1" t="s">
        <v>26</v>
      </c>
    </row>
    <row r="62" spans="1:54" s="7" customFormat="1">
      <c r="A62" s="3" t="s">
        <v>38</v>
      </c>
      <c r="B62" s="24" t="s">
        <v>43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>
        <v>2543987.9300000002</v>
      </c>
      <c r="T62" s="1">
        <v>1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80452605.510000005</v>
      </c>
      <c r="AB62" s="1">
        <v>1</v>
      </c>
      <c r="AC62" s="1" t="s">
        <v>26</v>
      </c>
      <c r="AD62" s="1" t="s">
        <v>26</v>
      </c>
      <c r="AE62" s="2">
        <v>82996593.439999998</v>
      </c>
      <c r="AF62" s="1">
        <v>0.82285636154830999</v>
      </c>
      <c r="AG62" s="1" t="s">
        <v>26</v>
      </c>
      <c r="AH62" s="1" t="s">
        <v>26</v>
      </c>
      <c r="AI62" s="2">
        <v>9158356.5399999991</v>
      </c>
      <c r="AJ62" s="1">
        <v>1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>
        <v>9158356.5399999991</v>
      </c>
      <c r="AR62" s="1">
        <v>1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92154949.980000004</v>
      </c>
      <c r="AZ62" s="1">
        <v>0.83760195037686003</v>
      </c>
      <c r="BA62" s="1" t="s">
        <v>26</v>
      </c>
      <c r="BB62" s="1" t="s">
        <v>26</v>
      </c>
    </row>
    <row r="63" spans="1:54" s="7" customFormat="1">
      <c r="A63" s="5" t="s">
        <v>63</v>
      </c>
      <c r="B63" s="24" t="s">
        <v>25</v>
      </c>
      <c r="C63" s="10">
        <v>22079449.699999999</v>
      </c>
      <c r="D63" s="11">
        <v>4.53584200321E-3</v>
      </c>
      <c r="E63" s="11">
        <v>0.12</v>
      </c>
      <c r="F63" s="11">
        <v>0.11550000000000001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10">
        <v>22079449.699999999</v>
      </c>
      <c r="AF63" s="11">
        <v>3.9144360400000001E-5</v>
      </c>
      <c r="AG63" s="11">
        <v>0.12</v>
      </c>
      <c r="AH63" s="11">
        <v>0.12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10">
        <v>22079449.699999999</v>
      </c>
      <c r="AZ63" s="11">
        <v>3.4387342149999997E-5</v>
      </c>
      <c r="BA63" s="11">
        <v>0.12</v>
      </c>
      <c r="BB63" s="11">
        <v>0.12</v>
      </c>
    </row>
    <row r="64" spans="1:54" s="7" customFormat="1">
      <c r="A64" s="3" t="s">
        <v>36</v>
      </c>
      <c r="B64" s="24" t="s">
        <v>56</v>
      </c>
      <c r="C64" s="2">
        <v>22079449.699999999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22079449.699999999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22079449.699999999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64</v>
      </c>
      <c r="B65" s="24" t="s">
        <v>25</v>
      </c>
      <c r="C65" s="10">
        <v>2693887.7</v>
      </c>
      <c r="D65" s="11">
        <v>5.5341275021E-4</v>
      </c>
      <c r="E65" s="11">
        <v>0.12</v>
      </c>
      <c r="F65" s="11">
        <v>0.11940000000000001</v>
      </c>
      <c r="G65" s="10">
        <v>30397434.190000001</v>
      </c>
      <c r="H65" s="11">
        <v>2.2911399418999999E-4</v>
      </c>
      <c r="I65" s="11">
        <v>0.13500000000000001</v>
      </c>
      <c r="J65" s="11">
        <v>0.1348</v>
      </c>
      <c r="K65" s="10">
        <v>65251032.719999999</v>
      </c>
      <c r="L65" s="11">
        <v>2.766947457087E-2</v>
      </c>
      <c r="M65" s="11">
        <v>0.13500000000000001</v>
      </c>
      <c r="N65" s="11">
        <v>0.10730000000000001</v>
      </c>
      <c r="O65" s="10">
        <v>58210811.740000002</v>
      </c>
      <c r="P65" s="11">
        <v>2.9482236685999998E-4</v>
      </c>
      <c r="Q65" s="11">
        <v>0.13289999999999999</v>
      </c>
      <c r="R65" s="11">
        <v>0.1326</v>
      </c>
      <c r="S65" s="10">
        <v>23846160.93</v>
      </c>
      <c r="T65" s="11">
        <v>2.4067373708999999E-4</v>
      </c>
      <c r="U65" s="11">
        <v>0.13500000000000001</v>
      </c>
      <c r="V65" s="11">
        <v>0.1348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>
        <v>133926676.16</v>
      </c>
      <c r="AB65" s="11">
        <v>1.0977743920700001E-3</v>
      </c>
      <c r="AC65" s="11">
        <v>0.13159999999999999</v>
      </c>
      <c r="AD65" s="11">
        <v>0.1305</v>
      </c>
      <c r="AE65" s="10">
        <v>314326003.44</v>
      </c>
      <c r="AF65" s="11">
        <v>5.57264358E-4</v>
      </c>
      <c r="AG65" s="11">
        <v>0.13300000000000001</v>
      </c>
      <c r="AH65" s="11">
        <v>0.13239999999999999</v>
      </c>
      <c r="AI65" s="10" t="s">
        <v>26</v>
      </c>
      <c r="AJ65" s="11" t="s">
        <v>26</v>
      </c>
      <c r="AK65" s="11" t="s">
        <v>26</v>
      </c>
      <c r="AL65" s="11" t="s">
        <v>26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 t="s">
        <v>26</v>
      </c>
      <c r="AR65" s="11" t="s">
        <v>26</v>
      </c>
      <c r="AS65" s="11" t="s">
        <v>26</v>
      </c>
      <c r="AT65" s="11" t="s">
        <v>26</v>
      </c>
      <c r="AU65" s="10">
        <v>88079577.790000007</v>
      </c>
      <c r="AV65" s="11">
        <v>2.2218932035199999E-3</v>
      </c>
      <c r="AW65" s="11">
        <v>0.13500000000000001</v>
      </c>
      <c r="AX65" s="11">
        <v>0.1328</v>
      </c>
      <c r="AY65" s="10">
        <v>402405581.23000002</v>
      </c>
      <c r="AZ65" s="11">
        <v>6.2672116351999995E-4</v>
      </c>
      <c r="BA65" s="11">
        <v>0.13350000000000001</v>
      </c>
      <c r="BB65" s="11">
        <v>0.13289999999999999</v>
      </c>
    </row>
    <row r="66" spans="1:54" s="7" customFormat="1">
      <c r="A66" s="3" t="s">
        <v>36</v>
      </c>
      <c r="B66" s="24" t="s">
        <v>56</v>
      </c>
      <c r="C66" s="2">
        <v>2693887.7</v>
      </c>
      <c r="D66" s="1">
        <v>1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8195562.2800000003</v>
      </c>
      <c r="P66" s="1">
        <v>0.14079106672839001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30200181.899999999</v>
      </c>
      <c r="AB66" s="1">
        <v>0.22549788261691001</v>
      </c>
      <c r="AC66" s="1" t="s">
        <v>26</v>
      </c>
      <c r="AD66" s="1" t="s">
        <v>26</v>
      </c>
      <c r="AE66" s="2">
        <v>41089631.880000003</v>
      </c>
      <c r="AF66" s="1">
        <v>0.13072298005992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41089631.880000003</v>
      </c>
      <c r="AZ66" s="1">
        <v>0.10210999498169</v>
      </c>
      <c r="BA66" s="1" t="s">
        <v>26</v>
      </c>
      <c r="BB66" s="1" t="s">
        <v>26</v>
      </c>
    </row>
    <row r="67" spans="1:54" s="7" customFormat="1">
      <c r="A67" s="3" t="s">
        <v>38</v>
      </c>
      <c r="B67" s="24" t="s">
        <v>43</v>
      </c>
      <c r="C67" s="2" t="s">
        <v>26</v>
      </c>
      <c r="D67" s="1" t="s">
        <v>26</v>
      </c>
      <c r="E67" s="1" t="s">
        <v>26</v>
      </c>
      <c r="F67" s="1" t="s">
        <v>26</v>
      </c>
      <c r="G67" s="2">
        <v>30397434.190000001</v>
      </c>
      <c r="H67" s="1">
        <v>1</v>
      </c>
      <c r="I67" s="1" t="s">
        <v>26</v>
      </c>
      <c r="J67" s="1" t="s">
        <v>26</v>
      </c>
      <c r="K67" s="2">
        <v>65251032.719999999</v>
      </c>
      <c r="L67" s="1">
        <v>1</v>
      </c>
      <c r="M67" s="1" t="s">
        <v>26</v>
      </c>
      <c r="N67" s="1" t="s">
        <v>26</v>
      </c>
      <c r="O67" s="2">
        <v>50015249.460000001</v>
      </c>
      <c r="P67" s="1">
        <v>0.85920893327160996</v>
      </c>
      <c r="Q67" s="1" t="s">
        <v>26</v>
      </c>
      <c r="R67" s="1" t="s">
        <v>26</v>
      </c>
      <c r="S67" s="2">
        <v>23846160.93</v>
      </c>
      <c r="T67" s="1">
        <v>1</v>
      </c>
      <c r="U67" s="1" t="s">
        <v>26</v>
      </c>
      <c r="V67" s="1" t="s">
        <v>26</v>
      </c>
      <c r="W67" s="2" t="s">
        <v>26</v>
      </c>
      <c r="X67" s="1" t="s">
        <v>26</v>
      </c>
      <c r="Y67" s="1" t="s">
        <v>26</v>
      </c>
      <c r="Z67" s="1" t="s">
        <v>26</v>
      </c>
      <c r="AA67" s="2">
        <v>103726494.26000001</v>
      </c>
      <c r="AB67" s="1">
        <v>0.77450211738309005</v>
      </c>
      <c r="AC67" s="1" t="s">
        <v>26</v>
      </c>
      <c r="AD67" s="1" t="s">
        <v>26</v>
      </c>
      <c r="AE67" s="2">
        <v>273236371.56</v>
      </c>
      <c r="AF67" s="1">
        <v>0.86927701994008</v>
      </c>
      <c r="AG67" s="1" t="s">
        <v>26</v>
      </c>
      <c r="AH67" s="1" t="s">
        <v>26</v>
      </c>
      <c r="AI67" s="2" t="s">
        <v>26</v>
      </c>
      <c r="AJ67" s="1" t="s">
        <v>26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 t="s">
        <v>26</v>
      </c>
      <c r="AR67" s="1" t="s">
        <v>26</v>
      </c>
      <c r="AS67" s="1" t="s">
        <v>26</v>
      </c>
      <c r="AT67" s="1" t="s">
        <v>26</v>
      </c>
      <c r="AU67" s="2">
        <v>88079577.790000007</v>
      </c>
      <c r="AV67" s="1">
        <v>1</v>
      </c>
      <c r="AW67" s="1" t="s">
        <v>26</v>
      </c>
      <c r="AX67" s="1" t="s">
        <v>26</v>
      </c>
      <c r="AY67" s="2">
        <v>361315949.35000002</v>
      </c>
      <c r="AZ67" s="1">
        <v>0.89789000501830996</v>
      </c>
      <c r="BA67" s="1" t="s">
        <v>26</v>
      </c>
      <c r="BB67" s="1" t="s">
        <v>26</v>
      </c>
    </row>
    <row r="68" spans="1:54" s="7" customFormat="1">
      <c r="A68" s="13" t="s">
        <v>65</v>
      </c>
      <c r="B68" s="25" t="s">
        <v>25</v>
      </c>
      <c r="C68" s="55">
        <v>607060893.74000001</v>
      </c>
      <c r="D68" s="56">
        <v>0.12471018697224</v>
      </c>
      <c r="E68" s="56" t="s">
        <v>26</v>
      </c>
      <c r="F68" s="56" t="s">
        <v>26</v>
      </c>
      <c r="G68" s="55">
        <v>4706270782.5600004</v>
      </c>
      <c r="H68" s="56">
        <v>3.5472483960450003E-2</v>
      </c>
      <c r="I68" s="56" t="s">
        <v>26</v>
      </c>
      <c r="J68" s="56" t="s">
        <v>26</v>
      </c>
      <c r="K68" s="55">
        <v>463060771.13999999</v>
      </c>
      <c r="L68" s="56">
        <v>0.19635931720510999</v>
      </c>
      <c r="M68" s="56" t="s">
        <v>26</v>
      </c>
      <c r="N68" s="56" t="s">
        <v>26</v>
      </c>
      <c r="O68" s="55">
        <v>10277139138.67</v>
      </c>
      <c r="P68" s="56">
        <v>5.20509918143E-2</v>
      </c>
      <c r="Q68" s="56" t="s">
        <v>26</v>
      </c>
      <c r="R68" s="56" t="s">
        <v>26</v>
      </c>
      <c r="S68" s="55">
        <v>5351694363.5200005</v>
      </c>
      <c r="T68" s="56">
        <v>5.4013402241219997E-2</v>
      </c>
      <c r="U68" s="56" t="s">
        <v>26</v>
      </c>
      <c r="V68" s="56" t="s">
        <v>26</v>
      </c>
      <c r="W68" s="55" t="s">
        <v>26</v>
      </c>
      <c r="X68" s="56" t="s">
        <v>26</v>
      </c>
      <c r="Y68" s="56" t="s">
        <v>26</v>
      </c>
      <c r="Z68" s="56" t="s">
        <v>26</v>
      </c>
      <c r="AA68" s="55">
        <v>5462602036.7799997</v>
      </c>
      <c r="AB68" s="56">
        <v>4.4776028211649999E-2</v>
      </c>
      <c r="AC68" s="56" t="s">
        <v>26</v>
      </c>
      <c r="AD68" s="56" t="s">
        <v>26</v>
      </c>
      <c r="AE68" s="55">
        <v>26867827986.41</v>
      </c>
      <c r="AF68" s="56">
        <v>4.7633612077029999E-2</v>
      </c>
      <c r="AG68" s="56" t="s">
        <v>26</v>
      </c>
      <c r="AH68" s="56" t="s">
        <v>26</v>
      </c>
      <c r="AI68" s="55">
        <v>1121273125.46</v>
      </c>
      <c r="AJ68" s="56">
        <v>7.1857169724220002E-2</v>
      </c>
      <c r="AK68" s="56" t="s">
        <v>26</v>
      </c>
      <c r="AL68" s="56" t="s">
        <v>26</v>
      </c>
      <c r="AM68" s="55">
        <v>2178698234.6599998</v>
      </c>
      <c r="AN68" s="56">
        <v>9.5628300390380006E-2</v>
      </c>
      <c r="AO68" s="56" t="s">
        <v>26</v>
      </c>
      <c r="AP68" s="56" t="s">
        <v>26</v>
      </c>
      <c r="AQ68" s="55">
        <v>3299971360.1199999</v>
      </c>
      <c r="AR68" s="56">
        <v>8.5965456804719995E-2</v>
      </c>
      <c r="AS68" s="56" t="s">
        <v>26</v>
      </c>
      <c r="AT68" s="56" t="s">
        <v>26</v>
      </c>
      <c r="AU68" s="55">
        <v>1419133668.76</v>
      </c>
      <c r="AV68" s="56">
        <v>3.5799030065920001E-2</v>
      </c>
      <c r="AW68" s="56" t="s">
        <v>26</v>
      </c>
      <c r="AX68" s="56" t="s">
        <v>26</v>
      </c>
      <c r="AY68" s="55">
        <v>31586933015.290001</v>
      </c>
      <c r="AZ68" s="56">
        <v>4.9194644246079999E-2</v>
      </c>
      <c r="BA68" s="56" t="s">
        <v>26</v>
      </c>
      <c r="BB68" s="56" t="s">
        <v>26</v>
      </c>
    </row>
    <row r="69" spans="1:54" s="7" customFormat="1">
      <c r="A69" s="5" t="s">
        <v>66</v>
      </c>
      <c r="B69" s="24" t="s">
        <v>25</v>
      </c>
      <c r="C69" s="10">
        <v>10670341.24</v>
      </c>
      <c r="D69" s="11">
        <v>2.1920375119199999E-3</v>
      </c>
      <c r="E69" s="11">
        <v>0.06</v>
      </c>
      <c r="F69" s="11">
        <v>5.7799999999999997E-2</v>
      </c>
      <c r="G69" s="10">
        <v>278218210.38999999</v>
      </c>
      <c r="H69" s="11">
        <v>2.0970087488699999E-3</v>
      </c>
      <c r="I69" s="11">
        <v>7.4800000000000005E-2</v>
      </c>
      <c r="J69" s="11">
        <v>7.2700000000000001E-2</v>
      </c>
      <c r="K69" s="10">
        <v>82165426.980000004</v>
      </c>
      <c r="L69" s="11">
        <v>3.4841964910870001E-2</v>
      </c>
      <c r="M69" s="11">
        <v>0.08</v>
      </c>
      <c r="N69" s="11">
        <v>4.5199999999999997E-2</v>
      </c>
      <c r="O69" s="10">
        <v>166520920</v>
      </c>
      <c r="P69" s="11">
        <v>8.4338442118000003E-4</v>
      </c>
      <c r="Q69" s="11">
        <v>0.08</v>
      </c>
      <c r="R69" s="11">
        <v>7.9200000000000007E-2</v>
      </c>
      <c r="S69" s="10">
        <v>71819604.5</v>
      </c>
      <c r="T69" s="11">
        <v>7.2485850708000005E-4</v>
      </c>
      <c r="U69" s="11">
        <v>0.06</v>
      </c>
      <c r="V69" s="11">
        <v>5.9299999999999999E-2</v>
      </c>
      <c r="W69" s="10" t="s">
        <v>26</v>
      </c>
      <c r="X69" s="11" t="s">
        <v>26</v>
      </c>
      <c r="Y69" s="11" t="s">
        <v>26</v>
      </c>
      <c r="Z69" s="11" t="s">
        <v>26</v>
      </c>
      <c r="AA69" s="10">
        <v>78736450.859999999</v>
      </c>
      <c r="AB69" s="11">
        <v>6.4538941720999996E-4</v>
      </c>
      <c r="AC69" s="11">
        <v>7.1099999999999997E-2</v>
      </c>
      <c r="AD69" s="11">
        <v>7.0499999999999993E-2</v>
      </c>
      <c r="AE69" s="10">
        <v>688130953.97000003</v>
      </c>
      <c r="AF69" s="11">
        <v>1.21997814398E-3</v>
      </c>
      <c r="AG69" s="11">
        <v>7.4499999999999997E-2</v>
      </c>
      <c r="AH69" s="11">
        <v>7.3300000000000004E-2</v>
      </c>
      <c r="AI69" s="10" t="s">
        <v>26</v>
      </c>
      <c r="AJ69" s="11" t="s">
        <v>26</v>
      </c>
      <c r="AK69" s="11" t="s">
        <v>26</v>
      </c>
      <c r="AL69" s="11" t="s">
        <v>26</v>
      </c>
      <c r="AM69" s="10" t="s">
        <v>26</v>
      </c>
      <c r="AN69" s="11" t="s">
        <v>26</v>
      </c>
      <c r="AO69" s="11" t="s">
        <v>26</v>
      </c>
      <c r="AP69" s="11" t="s">
        <v>26</v>
      </c>
      <c r="AQ69" s="10" t="s">
        <v>26</v>
      </c>
      <c r="AR69" s="11" t="s">
        <v>26</v>
      </c>
      <c r="AS69" s="11" t="s">
        <v>26</v>
      </c>
      <c r="AT69" s="11" t="s">
        <v>26</v>
      </c>
      <c r="AU69" s="10" t="s">
        <v>26</v>
      </c>
      <c r="AV69" s="11" t="s">
        <v>26</v>
      </c>
      <c r="AW69" s="11" t="s">
        <v>26</v>
      </c>
      <c r="AX69" s="11" t="s">
        <v>26</v>
      </c>
      <c r="AY69" s="10">
        <v>688130953.97000003</v>
      </c>
      <c r="AZ69" s="11">
        <v>1.07172030469E-3</v>
      </c>
      <c r="BA69" s="11">
        <v>7.4499999999999997E-2</v>
      </c>
      <c r="BB69" s="11">
        <v>7.3400000000000007E-2</v>
      </c>
    </row>
    <row r="70" spans="1:54" s="7" customFormat="1">
      <c r="A70" s="3" t="s">
        <v>67</v>
      </c>
      <c r="B70" s="24" t="s">
        <v>56</v>
      </c>
      <c r="C70" s="2" t="s">
        <v>26</v>
      </c>
      <c r="D70" s="1" t="s">
        <v>26</v>
      </c>
      <c r="E70" s="1" t="s">
        <v>26</v>
      </c>
      <c r="F70" s="1" t="s">
        <v>26</v>
      </c>
      <c r="G70" s="2">
        <v>206398605.88999999</v>
      </c>
      <c r="H70" s="1">
        <v>0.74185872161522004</v>
      </c>
      <c r="I70" s="1" t="s">
        <v>26</v>
      </c>
      <c r="J70" s="1" t="s">
        <v>26</v>
      </c>
      <c r="K70" s="2">
        <v>82165426.980000004</v>
      </c>
      <c r="L70" s="1">
        <v>1</v>
      </c>
      <c r="M70" s="1" t="s">
        <v>26</v>
      </c>
      <c r="N70" s="1" t="s">
        <v>26</v>
      </c>
      <c r="O70" s="2">
        <v>166520920</v>
      </c>
      <c r="P70" s="1">
        <v>1</v>
      </c>
      <c r="Q70" s="1" t="s">
        <v>26</v>
      </c>
      <c r="R70" s="1" t="s">
        <v>26</v>
      </c>
      <c r="S70" s="2" t="s">
        <v>26</v>
      </c>
      <c r="T70" s="1" t="s">
        <v>26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>
        <v>43606404.32</v>
      </c>
      <c r="AB70" s="1">
        <v>0.55382740577849998</v>
      </c>
      <c r="AC70" s="1" t="s">
        <v>26</v>
      </c>
      <c r="AD70" s="1" t="s">
        <v>26</v>
      </c>
      <c r="AE70" s="2">
        <v>498691357.19</v>
      </c>
      <c r="AF70" s="1">
        <v>0.72470414869861999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498691357.19</v>
      </c>
      <c r="AZ70" s="1">
        <v>0.72470414869861999</v>
      </c>
      <c r="BA70" s="1" t="s">
        <v>26</v>
      </c>
      <c r="BB70" s="1" t="s">
        <v>26</v>
      </c>
    </row>
    <row r="71" spans="1:54" s="7" customFormat="1">
      <c r="A71" s="3" t="s">
        <v>67</v>
      </c>
      <c r="B71" s="24" t="s">
        <v>46</v>
      </c>
      <c r="C71" s="2">
        <v>10670341.24</v>
      </c>
      <c r="D71" s="1">
        <v>1</v>
      </c>
      <c r="E71" s="1" t="s">
        <v>26</v>
      </c>
      <c r="F71" s="1" t="s">
        <v>26</v>
      </c>
      <c r="G71" s="2">
        <v>71819604.5</v>
      </c>
      <c r="H71" s="1">
        <v>0.25814127838478002</v>
      </c>
      <c r="I71" s="1" t="s">
        <v>26</v>
      </c>
      <c r="J71" s="1" t="s">
        <v>26</v>
      </c>
      <c r="K71" s="2" t="s">
        <v>26</v>
      </c>
      <c r="L71" s="1" t="s">
        <v>26</v>
      </c>
      <c r="M71" s="1" t="s">
        <v>26</v>
      </c>
      <c r="N71" s="1" t="s">
        <v>26</v>
      </c>
      <c r="O71" s="2" t="s">
        <v>26</v>
      </c>
      <c r="P71" s="1" t="s">
        <v>26</v>
      </c>
      <c r="Q71" s="1" t="s">
        <v>26</v>
      </c>
      <c r="R71" s="1" t="s">
        <v>26</v>
      </c>
      <c r="S71" s="2">
        <v>71819604.5</v>
      </c>
      <c r="T71" s="1">
        <v>1</v>
      </c>
      <c r="U71" s="1" t="s">
        <v>26</v>
      </c>
      <c r="V71" s="1" t="s">
        <v>26</v>
      </c>
      <c r="W71" s="2" t="s">
        <v>26</v>
      </c>
      <c r="X71" s="1" t="s">
        <v>26</v>
      </c>
      <c r="Y71" s="1" t="s">
        <v>26</v>
      </c>
      <c r="Z71" s="1" t="s">
        <v>26</v>
      </c>
      <c r="AA71" s="2">
        <v>35130046.539999999</v>
      </c>
      <c r="AB71" s="1">
        <v>0.44617259422150002</v>
      </c>
      <c r="AC71" s="1" t="s">
        <v>26</v>
      </c>
      <c r="AD71" s="1" t="s">
        <v>26</v>
      </c>
      <c r="AE71" s="2">
        <v>189439596.78</v>
      </c>
      <c r="AF71" s="1">
        <v>0.27529585130138001</v>
      </c>
      <c r="AG71" s="1" t="s">
        <v>26</v>
      </c>
      <c r="AH71" s="1" t="s">
        <v>26</v>
      </c>
      <c r="AI71" s="2" t="s">
        <v>26</v>
      </c>
      <c r="AJ71" s="1" t="s">
        <v>26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 t="s">
        <v>26</v>
      </c>
      <c r="AR71" s="1" t="s">
        <v>26</v>
      </c>
      <c r="AS71" s="1" t="s">
        <v>26</v>
      </c>
      <c r="AT71" s="1" t="s">
        <v>26</v>
      </c>
      <c r="AU71" s="2" t="s">
        <v>26</v>
      </c>
      <c r="AV71" s="1" t="s">
        <v>26</v>
      </c>
      <c r="AW71" s="1" t="s">
        <v>26</v>
      </c>
      <c r="AX71" s="1" t="s">
        <v>26</v>
      </c>
      <c r="AY71" s="2">
        <v>189439596.78</v>
      </c>
      <c r="AZ71" s="1">
        <v>0.27529585130138001</v>
      </c>
      <c r="BA71" s="1" t="s">
        <v>26</v>
      </c>
      <c r="BB71" s="1" t="s">
        <v>26</v>
      </c>
    </row>
    <row r="72" spans="1:54" s="7" customFormat="1">
      <c r="A72" s="5" t="s">
        <v>68</v>
      </c>
      <c r="B72" s="24" t="s">
        <v>25</v>
      </c>
      <c r="C72" s="10" t="s">
        <v>26</v>
      </c>
      <c r="D72" s="11" t="s">
        <v>26</v>
      </c>
      <c r="E72" s="11" t="s">
        <v>26</v>
      </c>
      <c r="F72" s="11" t="s">
        <v>26</v>
      </c>
      <c r="G72" s="10">
        <v>479136883.02999997</v>
      </c>
      <c r="H72" s="11">
        <v>3.6113891833700002E-3</v>
      </c>
      <c r="I72" s="11">
        <v>0.09</v>
      </c>
      <c r="J72" s="11">
        <v>8.6400000000000005E-2</v>
      </c>
      <c r="K72" s="10" t="s">
        <v>26</v>
      </c>
      <c r="L72" s="11" t="s">
        <v>26</v>
      </c>
      <c r="M72" s="11" t="s">
        <v>26</v>
      </c>
      <c r="N72" s="11" t="s">
        <v>26</v>
      </c>
      <c r="O72" s="10">
        <v>1057003056.97</v>
      </c>
      <c r="P72" s="11">
        <v>5.3534409453499998E-3</v>
      </c>
      <c r="Q72" s="11">
        <v>0.09</v>
      </c>
      <c r="R72" s="11">
        <v>8.4599999999999995E-2</v>
      </c>
      <c r="S72" s="10">
        <v>482957700.25</v>
      </c>
      <c r="T72" s="11">
        <v>4.8743793567400003E-3</v>
      </c>
      <c r="U72" s="11">
        <v>0.09</v>
      </c>
      <c r="V72" s="11">
        <v>8.5099999999999995E-2</v>
      </c>
      <c r="W72" s="10" t="s">
        <v>26</v>
      </c>
      <c r="X72" s="11" t="s">
        <v>26</v>
      </c>
      <c r="Y72" s="11" t="s">
        <v>26</v>
      </c>
      <c r="Z72" s="11" t="s">
        <v>26</v>
      </c>
      <c r="AA72" s="10">
        <v>1287197054.1600001</v>
      </c>
      <c r="AB72" s="11">
        <v>1.055093730478E-2</v>
      </c>
      <c r="AC72" s="11">
        <v>0.09</v>
      </c>
      <c r="AD72" s="11">
        <v>7.9399999999999998E-2</v>
      </c>
      <c r="AE72" s="10">
        <v>3306294694.4099998</v>
      </c>
      <c r="AF72" s="11">
        <v>5.8616855432300002E-3</v>
      </c>
      <c r="AG72" s="11">
        <v>0.09</v>
      </c>
      <c r="AH72" s="11">
        <v>8.4099999999999994E-2</v>
      </c>
      <c r="AI72" s="10">
        <v>90091319.950000003</v>
      </c>
      <c r="AJ72" s="11">
        <v>5.7735328898300001E-3</v>
      </c>
      <c r="AK72" s="11">
        <v>0.09</v>
      </c>
      <c r="AL72" s="11">
        <v>8.4199999999999997E-2</v>
      </c>
      <c r="AM72" s="10">
        <v>12686394.23</v>
      </c>
      <c r="AN72" s="11">
        <v>5.5683632501000004E-4</v>
      </c>
      <c r="AO72" s="11">
        <v>0.09</v>
      </c>
      <c r="AP72" s="11">
        <v>8.9399999999999993E-2</v>
      </c>
      <c r="AQ72" s="10">
        <v>102777714.18000001</v>
      </c>
      <c r="AR72" s="11">
        <v>2.6773969179300001E-3</v>
      </c>
      <c r="AS72" s="11">
        <v>0.09</v>
      </c>
      <c r="AT72" s="11">
        <v>8.7300000000000003E-2</v>
      </c>
      <c r="AU72" s="10">
        <v>174159911.72</v>
      </c>
      <c r="AV72" s="11">
        <v>4.3933535319399999E-3</v>
      </c>
      <c r="AW72" s="11">
        <v>0.09</v>
      </c>
      <c r="AX72" s="11">
        <v>8.5599999999999996E-2</v>
      </c>
      <c r="AY72" s="10">
        <v>3583232320.3099999</v>
      </c>
      <c r="AZ72" s="11">
        <v>5.5806570129300001E-3</v>
      </c>
      <c r="BA72" s="11">
        <v>0.09</v>
      </c>
      <c r="BB72" s="11">
        <v>8.4400000000000003E-2</v>
      </c>
    </row>
    <row r="73" spans="1:54" s="7" customFormat="1">
      <c r="A73" s="3" t="s">
        <v>67</v>
      </c>
      <c r="B73" s="24" t="s">
        <v>37</v>
      </c>
      <c r="C73" s="2" t="s">
        <v>26</v>
      </c>
      <c r="D73" s="1" t="s">
        <v>26</v>
      </c>
      <c r="E73" s="1" t="s">
        <v>26</v>
      </c>
      <c r="F73" s="1" t="s">
        <v>26</v>
      </c>
      <c r="G73" s="2">
        <v>479136883.02999997</v>
      </c>
      <c r="H73" s="1">
        <v>1</v>
      </c>
      <c r="I73" s="1" t="s">
        <v>26</v>
      </c>
      <c r="J73" s="1" t="s">
        <v>26</v>
      </c>
      <c r="K73" s="2" t="s">
        <v>26</v>
      </c>
      <c r="L73" s="1" t="s">
        <v>26</v>
      </c>
      <c r="M73" s="1" t="s">
        <v>26</v>
      </c>
      <c r="N73" s="1" t="s">
        <v>26</v>
      </c>
      <c r="O73" s="2">
        <v>1057003056.97</v>
      </c>
      <c r="P73" s="1">
        <v>1</v>
      </c>
      <c r="Q73" s="1" t="s">
        <v>26</v>
      </c>
      <c r="R73" s="1" t="s">
        <v>26</v>
      </c>
      <c r="S73" s="2">
        <v>482957700.25</v>
      </c>
      <c r="T73" s="1">
        <v>1</v>
      </c>
      <c r="U73" s="1" t="s">
        <v>26</v>
      </c>
      <c r="V73" s="1" t="s">
        <v>26</v>
      </c>
      <c r="W73" s="2" t="s">
        <v>26</v>
      </c>
      <c r="X73" s="1" t="s">
        <v>26</v>
      </c>
      <c r="Y73" s="1" t="s">
        <v>26</v>
      </c>
      <c r="Z73" s="1" t="s">
        <v>26</v>
      </c>
      <c r="AA73" s="2">
        <v>1287197054.1600001</v>
      </c>
      <c r="AB73" s="1">
        <v>1</v>
      </c>
      <c r="AC73" s="1" t="s">
        <v>26</v>
      </c>
      <c r="AD73" s="1" t="s">
        <v>26</v>
      </c>
      <c r="AE73" s="2">
        <v>3306294694.4099998</v>
      </c>
      <c r="AF73" s="1">
        <v>1</v>
      </c>
      <c r="AG73" s="1" t="s">
        <v>26</v>
      </c>
      <c r="AH73" s="1" t="s">
        <v>26</v>
      </c>
      <c r="AI73" s="2">
        <v>90091319.950000003</v>
      </c>
      <c r="AJ73" s="1">
        <v>1</v>
      </c>
      <c r="AK73" s="1" t="s">
        <v>26</v>
      </c>
      <c r="AL73" s="1" t="s">
        <v>26</v>
      </c>
      <c r="AM73" s="2">
        <v>12686394.23</v>
      </c>
      <c r="AN73" s="1">
        <v>1</v>
      </c>
      <c r="AO73" s="1" t="s">
        <v>26</v>
      </c>
      <c r="AP73" s="1" t="s">
        <v>26</v>
      </c>
      <c r="AQ73" s="2">
        <v>102777714.18000001</v>
      </c>
      <c r="AR73" s="1">
        <v>1</v>
      </c>
      <c r="AS73" s="1" t="s">
        <v>26</v>
      </c>
      <c r="AT73" s="1" t="s">
        <v>26</v>
      </c>
      <c r="AU73" s="2">
        <v>174159911.72</v>
      </c>
      <c r="AV73" s="1">
        <v>1</v>
      </c>
      <c r="AW73" s="1" t="s">
        <v>26</v>
      </c>
      <c r="AX73" s="1" t="s">
        <v>26</v>
      </c>
      <c r="AY73" s="2">
        <v>3583232320.3099999</v>
      </c>
      <c r="AZ73" s="1">
        <v>1</v>
      </c>
      <c r="BA73" s="1" t="s">
        <v>26</v>
      </c>
      <c r="BB73" s="1" t="s">
        <v>26</v>
      </c>
    </row>
    <row r="74" spans="1:54" s="7" customFormat="1">
      <c r="A74" s="5" t="s">
        <v>69</v>
      </c>
      <c r="B74" s="24" t="s">
        <v>25</v>
      </c>
      <c r="C74" s="10">
        <v>314575857.95999998</v>
      </c>
      <c r="D74" s="11">
        <v>6.4624182627630006E-2</v>
      </c>
      <c r="E74" s="11">
        <v>0.08</v>
      </c>
      <c r="F74" s="11">
        <v>1.54E-2</v>
      </c>
      <c r="G74" s="10">
        <v>409969040</v>
      </c>
      <c r="H74" s="11">
        <v>3.0900517347100002E-3</v>
      </c>
      <c r="I74" s="11">
        <v>0.08</v>
      </c>
      <c r="J74" s="11">
        <v>7.6899999999999996E-2</v>
      </c>
      <c r="K74" s="10">
        <v>160919225.75999999</v>
      </c>
      <c r="L74" s="11">
        <v>6.823724069223E-2</v>
      </c>
      <c r="M74" s="11">
        <v>0.08</v>
      </c>
      <c r="N74" s="11">
        <v>1.18E-2</v>
      </c>
      <c r="O74" s="10">
        <v>1462439301.98</v>
      </c>
      <c r="P74" s="11">
        <v>7.4068683034400002E-3</v>
      </c>
      <c r="Q74" s="11">
        <v>0.08</v>
      </c>
      <c r="R74" s="11">
        <v>7.2599999999999998E-2</v>
      </c>
      <c r="S74" s="10">
        <v>315602025.16000003</v>
      </c>
      <c r="T74" s="11">
        <v>3.1852975852500001E-3</v>
      </c>
      <c r="U74" s="11">
        <v>0.08</v>
      </c>
      <c r="V74" s="11">
        <v>7.6799999999999993E-2</v>
      </c>
      <c r="W74" s="10" t="s">
        <v>26</v>
      </c>
      <c r="X74" s="11" t="s">
        <v>26</v>
      </c>
      <c r="Y74" s="11" t="s">
        <v>26</v>
      </c>
      <c r="Z74" s="11" t="s">
        <v>26</v>
      </c>
      <c r="AA74" s="10" t="s">
        <v>26</v>
      </c>
      <c r="AB74" s="11" t="s">
        <v>26</v>
      </c>
      <c r="AC74" s="11" t="s">
        <v>26</v>
      </c>
      <c r="AD74" s="11" t="s">
        <v>26</v>
      </c>
      <c r="AE74" s="10">
        <v>2663505450.8600001</v>
      </c>
      <c r="AF74" s="11">
        <v>4.7220931098499999E-3</v>
      </c>
      <c r="AG74" s="11">
        <v>0.08</v>
      </c>
      <c r="AH74" s="11">
        <v>7.5300000000000006E-2</v>
      </c>
      <c r="AI74" s="10" t="s">
        <v>26</v>
      </c>
      <c r="AJ74" s="11" t="s">
        <v>26</v>
      </c>
      <c r="AK74" s="11" t="s">
        <v>26</v>
      </c>
      <c r="AL74" s="11" t="s">
        <v>26</v>
      </c>
      <c r="AM74" s="10" t="s">
        <v>26</v>
      </c>
      <c r="AN74" s="11" t="s">
        <v>26</v>
      </c>
      <c r="AO74" s="11" t="s">
        <v>26</v>
      </c>
      <c r="AP74" s="11" t="s">
        <v>26</v>
      </c>
      <c r="AQ74" s="10" t="s">
        <v>26</v>
      </c>
      <c r="AR74" s="11" t="s">
        <v>26</v>
      </c>
      <c r="AS74" s="11" t="s">
        <v>26</v>
      </c>
      <c r="AT74" s="11" t="s">
        <v>26</v>
      </c>
      <c r="AU74" s="10" t="s">
        <v>26</v>
      </c>
      <c r="AV74" s="11" t="s">
        <v>26</v>
      </c>
      <c r="AW74" s="11" t="s">
        <v>26</v>
      </c>
      <c r="AX74" s="11" t="s">
        <v>26</v>
      </c>
      <c r="AY74" s="10">
        <v>2663505450.8600001</v>
      </c>
      <c r="AZ74" s="11">
        <v>4.1482407626999996E-3</v>
      </c>
      <c r="BA74" s="11">
        <v>0.08</v>
      </c>
      <c r="BB74" s="11">
        <v>7.5899999999999995E-2</v>
      </c>
    </row>
    <row r="75" spans="1:54" s="7" customFormat="1">
      <c r="A75" s="3" t="s">
        <v>67</v>
      </c>
      <c r="B75" s="24" t="s">
        <v>56</v>
      </c>
      <c r="C75" s="2">
        <v>314575857.95999998</v>
      </c>
      <c r="D75" s="1">
        <v>1</v>
      </c>
      <c r="E75" s="1" t="s">
        <v>26</v>
      </c>
      <c r="F75" s="1" t="s">
        <v>26</v>
      </c>
      <c r="G75" s="2">
        <v>409969040</v>
      </c>
      <c r="H75" s="1">
        <v>1</v>
      </c>
      <c r="I75" s="1" t="s">
        <v>26</v>
      </c>
      <c r="J75" s="1" t="s">
        <v>26</v>
      </c>
      <c r="K75" s="2">
        <v>160919225.75999999</v>
      </c>
      <c r="L75" s="1">
        <v>1</v>
      </c>
      <c r="M75" s="1" t="s">
        <v>26</v>
      </c>
      <c r="N75" s="1" t="s">
        <v>26</v>
      </c>
      <c r="O75" s="2">
        <v>1462439301.98</v>
      </c>
      <c r="P75" s="1">
        <v>1</v>
      </c>
      <c r="Q75" s="1" t="s">
        <v>26</v>
      </c>
      <c r="R75" s="1" t="s">
        <v>26</v>
      </c>
      <c r="S75" s="2">
        <v>315602025.16000003</v>
      </c>
      <c r="T75" s="1">
        <v>1</v>
      </c>
      <c r="U75" s="1" t="s">
        <v>26</v>
      </c>
      <c r="V75" s="1" t="s">
        <v>26</v>
      </c>
      <c r="W75" s="2" t="s">
        <v>26</v>
      </c>
      <c r="X75" s="1" t="s">
        <v>26</v>
      </c>
      <c r="Y75" s="1" t="s">
        <v>26</v>
      </c>
      <c r="Z75" s="1" t="s">
        <v>26</v>
      </c>
      <c r="AA75" s="2" t="s">
        <v>26</v>
      </c>
      <c r="AB75" s="1" t="s">
        <v>26</v>
      </c>
      <c r="AC75" s="1" t="s">
        <v>26</v>
      </c>
      <c r="AD75" s="1" t="s">
        <v>26</v>
      </c>
      <c r="AE75" s="2">
        <v>2663505450.8600001</v>
      </c>
      <c r="AF75" s="1">
        <v>1</v>
      </c>
      <c r="AG75" s="1" t="s">
        <v>26</v>
      </c>
      <c r="AH75" s="1" t="s">
        <v>26</v>
      </c>
      <c r="AI75" s="2" t="s">
        <v>26</v>
      </c>
      <c r="AJ75" s="1" t="s">
        <v>26</v>
      </c>
      <c r="AK75" s="1" t="s">
        <v>26</v>
      </c>
      <c r="AL75" s="1" t="s">
        <v>26</v>
      </c>
      <c r="AM75" s="2" t="s">
        <v>26</v>
      </c>
      <c r="AN75" s="1" t="s">
        <v>26</v>
      </c>
      <c r="AO75" s="1" t="s">
        <v>26</v>
      </c>
      <c r="AP75" s="1" t="s">
        <v>26</v>
      </c>
      <c r="AQ75" s="2" t="s">
        <v>26</v>
      </c>
      <c r="AR75" s="1" t="s">
        <v>26</v>
      </c>
      <c r="AS75" s="1" t="s">
        <v>26</v>
      </c>
      <c r="AT75" s="1" t="s">
        <v>26</v>
      </c>
      <c r="AU75" s="2" t="s">
        <v>26</v>
      </c>
      <c r="AV75" s="1" t="s">
        <v>26</v>
      </c>
      <c r="AW75" s="1" t="s">
        <v>26</v>
      </c>
      <c r="AX75" s="1" t="s">
        <v>26</v>
      </c>
      <c r="AY75" s="2">
        <v>2663505450.8600001</v>
      </c>
      <c r="AZ75" s="1">
        <v>1</v>
      </c>
      <c r="BA75" s="1" t="s">
        <v>26</v>
      </c>
      <c r="BB75" s="1" t="s">
        <v>26</v>
      </c>
    </row>
    <row r="76" spans="1:54" s="7" customFormat="1">
      <c r="A76" s="5" t="s">
        <v>70</v>
      </c>
      <c r="B76" s="24" t="s">
        <v>25</v>
      </c>
      <c r="C76" s="10" t="s">
        <v>26</v>
      </c>
      <c r="D76" s="11" t="s">
        <v>26</v>
      </c>
      <c r="E76" s="11" t="s">
        <v>26</v>
      </c>
      <c r="F76" s="11" t="s">
        <v>26</v>
      </c>
      <c r="G76" s="10">
        <v>2156521912.1599998</v>
      </c>
      <c r="H76" s="11">
        <v>1.625431099777E-2</v>
      </c>
      <c r="I76" s="11">
        <v>0.09</v>
      </c>
      <c r="J76" s="11">
        <v>7.3700000000000002E-2</v>
      </c>
      <c r="K76" s="10" t="s">
        <v>26</v>
      </c>
      <c r="L76" s="11" t="s">
        <v>26</v>
      </c>
      <c r="M76" s="11" t="s">
        <v>26</v>
      </c>
      <c r="N76" s="11" t="s">
        <v>26</v>
      </c>
      <c r="O76" s="10">
        <v>2057085663.1800001</v>
      </c>
      <c r="P76" s="11">
        <v>1.0418594860959999E-2</v>
      </c>
      <c r="Q76" s="11">
        <v>0.09</v>
      </c>
      <c r="R76" s="11">
        <v>7.9600000000000004E-2</v>
      </c>
      <c r="S76" s="10">
        <v>1287789715.2</v>
      </c>
      <c r="T76" s="11">
        <v>1.2997361053229999E-2</v>
      </c>
      <c r="U76" s="11">
        <v>0.09</v>
      </c>
      <c r="V76" s="11">
        <v>7.6999999999999999E-2</v>
      </c>
      <c r="W76" s="10" t="s">
        <v>26</v>
      </c>
      <c r="X76" s="11" t="s">
        <v>26</v>
      </c>
      <c r="Y76" s="11" t="s">
        <v>26</v>
      </c>
      <c r="Z76" s="11" t="s">
        <v>26</v>
      </c>
      <c r="AA76" s="10">
        <v>1718581867.8800001</v>
      </c>
      <c r="AB76" s="11">
        <v>1.4086925915910001E-2</v>
      </c>
      <c r="AC76" s="11">
        <v>0.09</v>
      </c>
      <c r="AD76" s="11">
        <v>7.5899999999999995E-2</v>
      </c>
      <c r="AE76" s="10">
        <v>7219979158.4200001</v>
      </c>
      <c r="AF76" s="11">
        <v>1.280020426699E-2</v>
      </c>
      <c r="AG76" s="11">
        <v>0.09</v>
      </c>
      <c r="AH76" s="11">
        <v>7.7200000000000005E-2</v>
      </c>
      <c r="AI76" s="10">
        <v>15296027.6</v>
      </c>
      <c r="AJ76" s="11">
        <v>9.8025113274999992E-4</v>
      </c>
      <c r="AK76" s="11">
        <v>0.09</v>
      </c>
      <c r="AL76" s="11">
        <v>8.8999999999999996E-2</v>
      </c>
      <c r="AM76" s="10">
        <v>109649078.38</v>
      </c>
      <c r="AN76" s="11">
        <v>4.8127615096200003E-3</v>
      </c>
      <c r="AO76" s="11">
        <v>0.09</v>
      </c>
      <c r="AP76" s="11">
        <v>8.5199999999999998E-2</v>
      </c>
      <c r="AQ76" s="10">
        <v>124945105.98</v>
      </c>
      <c r="AR76" s="11">
        <v>3.2548655545599999E-3</v>
      </c>
      <c r="AS76" s="11">
        <v>0.09</v>
      </c>
      <c r="AT76" s="11">
        <v>8.6699999999999999E-2</v>
      </c>
      <c r="AU76" s="10">
        <v>449917876.94999999</v>
      </c>
      <c r="AV76" s="11">
        <v>1.1349616994289999E-2</v>
      </c>
      <c r="AW76" s="11">
        <v>0.09</v>
      </c>
      <c r="AX76" s="11">
        <v>7.8700000000000006E-2</v>
      </c>
      <c r="AY76" s="10">
        <v>7794842141.3500004</v>
      </c>
      <c r="AZ76" s="11">
        <v>1.213997211798E-2</v>
      </c>
      <c r="BA76" s="11">
        <v>0.09</v>
      </c>
      <c r="BB76" s="11">
        <v>7.7899999999999997E-2</v>
      </c>
    </row>
    <row r="77" spans="1:54" s="7" customFormat="1">
      <c r="A77" s="3" t="s">
        <v>67</v>
      </c>
      <c r="B77" s="24" t="s">
        <v>37</v>
      </c>
      <c r="C77" s="2" t="s">
        <v>26</v>
      </c>
      <c r="D77" s="1" t="s">
        <v>26</v>
      </c>
      <c r="E77" s="1" t="s">
        <v>26</v>
      </c>
      <c r="F77" s="1" t="s">
        <v>26</v>
      </c>
      <c r="G77" s="2">
        <v>2156521912.1599998</v>
      </c>
      <c r="H77" s="1">
        <v>1</v>
      </c>
      <c r="I77" s="1" t="s">
        <v>26</v>
      </c>
      <c r="J77" s="1" t="s">
        <v>26</v>
      </c>
      <c r="K77" s="2" t="s">
        <v>26</v>
      </c>
      <c r="L77" s="1" t="s">
        <v>26</v>
      </c>
      <c r="M77" s="1" t="s">
        <v>26</v>
      </c>
      <c r="N77" s="1" t="s">
        <v>26</v>
      </c>
      <c r="O77" s="2">
        <v>2057085663.1800001</v>
      </c>
      <c r="P77" s="1">
        <v>1</v>
      </c>
      <c r="Q77" s="1" t="s">
        <v>26</v>
      </c>
      <c r="R77" s="1" t="s">
        <v>26</v>
      </c>
      <c r="S77" s="2">
        <v>1287789715.2</v>
      </c>
      <c r="T77" s="1">
        <v>1</v>
      </c>
      <c r="U77" s="1" t="s">
        <v>26</v>
      </c>
      <c r="V77" s="1" t="s">
        <v>26</v>
      </c>
      <c r="W77" s="2" t="s">
        <v>26</v>
      </c>
      <c r="X77" s="1" t="s">
        <v>26</v>
      </c>
      <c r="Y77" s="1" t="s">
        <v>26</v>
      </c>
      <c r="Z77" s="1" t="s">
        <v>26</v>
      </c>
      <c r="AA77" s="2">
        <v>1718581867.8800001</v>
      </c>
      <c r="AB77" s="1">
        <v>1</v>
      </c>
      <c r="AC77" s="1" t="s">
        <v>26</v>
      </c>
      <c r="AD77" s="1" t="s">
        <v>26</v>
      </c>
      <c r="AE77" s="2">
        <v>7219979158.4200001</v>
      </c>
      <c r="AF77" s="1">
        <v>1</v>
      </c>
      <c r="AG77" s="1" t="s">
        <v>26</v>
      </c>
      <c r="AH77" s="1" t="s">
        <v>26</v>
      </c>
      <c r="AI77" s="2">
        <v>15296027.6</v>
      </c>
      <c r="AJ77" s="1">
        <v>1</v>
      </c>
      <c r="AK77" s="1" t="s">
        <v>26</v>
      </c>
      <c r="AL77" s="1" t="s">
        <v>26</v>
      </c>
      <c r="AM77" s="2">
        <v>109649078.38</v>
      </c>
      <c r="AN77" s="1">
        <v>1</v>
      </c>
      <c r="AO77" s="1" t="s">
        <v>26</v>
      </c>
      <c r="AP77" s="1" t="s">
        <v>26</v>
      </c>
      <c r="AQ77" s="2">
        <v>124945105.98</v>
      </c>
      <c r="AR77" s="1">
        <v>1</v>
      </c>
      <c r="AS77" s="1" t="s">
        <v>26</v>
      </c>
      <c r="AT77" s="1" t="s">
        <v>26</v>
      </c>
      <c r="AU77" s="2">
        <v>449917876.94999999</v>
      </c>
      <c r="AV77" s="1">
        <v>1</v>
      </c>
      <c r="AW77" s="1" t="s">
        <v>26</v>
      </c>
      <c r="AX77" s="1" t="s">
        <v>26</v>
      </c>
      <c r="AY77" s="2">
        <v>7794842141.3500004</v>
      </c>
      <c r="AZ77" s="1">
        <v>1</v>
      </c>
      <c r="BA77" s="1" t="s">
        <v>26</v>
      </c>
      <c r="BB77" s="1" t="s">
        <v>26</v>
      </c>
    </row>
    <row r="78" spans="1:54" s="7" customFormat="1">
      <c r="A78" s="5" t="s">
        <v>71</v>
      </c>
      <c r="B78" s="24" t="s">
        <v>25</v>
      </c>
      <c r="C78" s="10">
        <v>87913363.579999998</v>
      </c>
      <c r="D78" s="11">
        <v>1.806028377462E-2</v>
      </c>
      <c r="E78" s="11">
        <v>0.08</v>
      </c>
      <c r="F78" s="11">
        <v>6.1899999999999997E-2</v>
      </c>
      <c r="G78" s="10">
        <v>389104305.38</v>
      </c>
      <c r="H78" s="11">
        <v>2.9327883730500002E-3</v>
      </c>
      <c r="I78" s="11">
        <v>0.08</v>
      </c>
      <c r="J78" s="11">
        <v>7.7100000000000002E-2</v>
      </c>
      <c r="K78" s="10">
        <v>105842921.06</v>
      </c>
      <c r="L78" s="11">
        <v>4.4882324320349998E-2</v>
      </c>
      <c r="M78" s="11">
        <v>0.08</v>
      </c>
      <c r="N78" s="11">
        <v>3.5099999999999999E-2</v>
      </c>
      <c r="O78" s="10">
        <v>2991655260.1300001</v>
      </c>
      <c r="P78" s="11">
        <v>1.5151942710429999E-2</v>
      </c>
      <c r="Q78" s="11">
        <v>0.08</v>
      </c>
      <c r="R78" s="11">
        <v>6.4799999999999996E-2</v>
      </c>
      <c r="S78" s="10">
        <v>2957549600.21</v>
      </c>
      <c r="T78" s="11">
        <v>2.9849857886770002E-2</v>
      </c>
      <c r="U78" s="11">
        <v>0.08</v>
      </c>
      <c r="V78" s="11">
        <v>5.0200000000000002E-2</v>
      </c>
      <c r="W78" s="10" t="s">
        <v>26</v>
      </c>
      <c r="X78" s="11" t="s">
        <v>26</v>
      </c>
      <c r="Y78" s="11" t="s">
        <v>26</v>
      </c>
      <c r="Z78" s="11" t="s">
        <v>26</v>
      </c>
      <c r="AA78" s="10">
        <v>2059127963.73</v>
      </c>
      <c r="AB78" s="11">
        <v>1.68783248669E-2</v>
      </c>
      <c r="AC78" s="11">
        <v>0.08</v>
      </c>
      <c r="AD78" s="11">
        <v>6.3100000000000003E-2</v>
      </c>
      <c r="AE78" s="10">
        <v>8591193414.0900002</v>
      </c>
      <c r="AF78" s="11">
        <v>1.5231211639900001E-2</v>
      </c>
      <c r="AG78" s="11">
        <v>0.08</v>
      </c>
      <c r="AH78" s="11">
        <v>6.4799999999999996E-2</v>
      </c>
      <c r="AI78" s="10">
        <v>638469755.38999999</v>
      </c>
      <c r="AJ78" s="11">
        <v>4.0916551494099999E-2</v>
      </c>
      <c r="AK78" s="11">
        <v>0.08</v>
      </c>
      <c r="AL78" s="11">
        <v>3.9100000000000003E-2</v>
      </c>
      <c r="AM78" s="10">
        <v>1683110028.54</v>
      </c>
      <c r="AN78" s="11">
        <v>7.3875743248310005E-2</v>
      </c>
      <c r="AO78" s="11">
        <v>0.08</v>
      </c>
      <c r="AP78" s="11">
        <v>6.1000000000000004E-3</v>
      </c>
      <c r="AQ78" s="10">
        <v>2321579783.9299998</v>
      </c>
      <c r="AR78" s="11">
        <v>6.0477999611150003E-2</v>
      </c>
      <c r="AS78" s="11">
        <v>0.08</v>
      </c>
      <c r="AT78" s="11">
        <v>1.95E-2</v>
      </c>
      <c r="AU78" s="10">
        <v>795055880.09000003</v>
      </c>
      <c r="AV78" s="11">
        <v>2.0056059539689999E-2</v>
      </c>
      <c r="AW78" s="11">
        <v>0.08</v>
      </c>
      <c r="AX78" s="11">
        <v>5.9900000000000002E-2</v>
      </c>
      <c r="AY78" s="10">
        <v>11707829078.110001</v>
      </c>
      <c r="AZ78" s="11">
        <v>1.8234201025869999E-2</v>
      </c>
      <c r="BA78" s="11">
        <v>0.08</v>
      </c>
      <c r="BB78" s="11">
        <v>6.1800000000000001E-2</v>
      </c>
    </row>
    <row r="79" spans="1:54" s="7" customFormat="1">
      <c r="A79" s="3" t="s">
        <v>67</v>
      </c>
      <c r="B79" s="24" t="s">
        <v>56</v>
      </c>
      <c r="C79" s="2">
        <v>87913363.579999998</v>
      </c>
      <c r="D79" s="1">
        <v>1</v>
      </c>
      <c r="E79" s="1" t="s">
        <v>26</v>
      </c>
      <c r="F79" s="1" t="s">
        <v>26</v>
      </c>
      <c r="G79" s="2">
        <v>389104305.38</v>
      </c>
      <c r="H79" s="1">
        <v>1</v>
      </c>
      <c r="I79" s="1" t="s">
        <v>26</v>
      </c>
      <c r="J79" s="1" t="s">
        <v>26</v>
      </c>
      <c r="K79" s="2">
        <v>105842921.06</v>
      </c>
      <c r="L79" s="1">
        <v>1</v>
      </c>
      <c r="M79" s="1" t="s">
        <v>26</v>
      </c>
      <c r="N79" s="1" t="s">
        <v>26</v>
      </c>
      <c r="O79" s="2">
        <v>2991655260.1300001</v>
      </c>
      <c r="P79" s="1">
        <v>1</v>
      </c>
      <c r="Q79" s="1" t="s">
        <v>26</v>
      </c>
      <c r="R79" s="1" t="s">
        <v>26</v>
      </c>
      <c r="S79" s="2">
        <v>2957549600.21</v>
      </c>
      <c r="T79" s="1">
        <v>1</v>
      </c>
      <c r="U79" s="1" t="s">
        <v>26</v>
      </c>
      <c r="V79" s="1" t="s">
        <v>26</v>
      </c>
      <c r="W79" s="2" t="s">
        <v>26</v>
      </c>
      <c r="X79" s="1" t="s">
        <v>26</v>
      </c>
      <c r="Y79" s="1" t="s">
        <v>26</v>
      </c>
      <c r="Z79" s="1" t="s">
        <v>26</v>
      </c>
      <c r="AA79" s="2">
        <v>2059127963.73</v>
      </c>
      <c r="AB79" s="1">
        <v>1</v>
      </c>
      <c r="AC79" s="1" t="s">
        <v>26</v>
      </c>
      <c r="AD79" s="1" t="s">
        <v>26</v>
      </c>
      <c r="AE79" s="2">
        <v>8591193414.0900002</v>
      </c>
      <c r="AF79" s="1">
        <v>1</v>
      </c>
      <c r="AG79" s="1" t="s">
        <v>26</v>
      </c>
      <c r="AH79" s="1" t="s">
        <v>26</v>
      </c>
      <c r="AI79" s="2">
        <v>638469755.38999999</v>
      </c>
      <c r="AJ79" s="1">
        <v>1</v>
      </c>
      <c r="AK79" s="1" t="s">
        <v>26</v>
      </c>
      <c r="AL79" s="1" t="s">
        <v>26</v>
      </c>
      <c r="AM79" s="2">
        <v>1683110028.54</v>
      </c>
      <c r="AN79" s="1">
        <v>1</v>
      </c>
      <c r="AO79" s="1" t="s">
        <v>26</v>
      </c>
      <c r="AP79" s="1" t="s">
        <v>26</v>
      </c>
      <c r="AQ79" s="2">
        <v>2321579783.9299998</v>
      </c>
      <c r="AR79" s="1">
        <v>1</v>
      </c>
      <c r="AS79" s="1" t="s">
        <v>26</v>
      </c>
      <c r="AT79" s="1" t="s">
        <v>26</v>
      </c>
      <c r="AU79" s="2">
        <v>795055880.09000003</v>
      </c>
      <c r="AV79" s="1">
        <v>1</v>
      </c>
      <c r="AW79" s="1" t="s">
        <v>26</v>
      </c>
      <c r="AX79" s="1" t="s">
        <v>26</v>
      </c>
      <c r="AY79" s="2">
        <v>11707829078.110001</v>
      </c>
      <c r="AZ79" s="1">
        <v>1</v>
      </c>
      <c r="BA79" s="1" t="s">
        <v>26</v>
      </c>
      <c r="BB79" s="1" t="s">
        <v>26</v>
      </c>
    </row>
    <row r="80" spans="1:54" s="7" customFormat="1">
      <c r="A80" s="5" t="s">
        <v>72</v>
      </c>
      <c r="B80" s="24" t="s">
        <v>25</v>
      </c>
      <c r="C80" s="10">
        <v>91802404.609999999</v>
      </c>
      <c r="D80" s="11">
        <v>1.8859220156450002E-2</v>
      </c>
      <c r="E80" s="11">
        <v>0.08</v>
      </c>
      <c r="F80" s="11">
        <v>6.1100000000000002E-2</v>
      </c>
      <c r="G80" s="10" t="s">
        <v>26</v>
      </c>
      <c r="H80" s="11" t="s">
        <v>26</v>
      </c>
      <c r="I80" s="11" t="s">
        <v>26</v>
      </c>
      <c r="J80" s="11" t="s">
        <v>26</v>
      </c>
      <c r="K80" s="10">
        <v>105188155.72</v>
      </c>
      <c r="L80" s="11">
        <v>4.4604673344269999E-2</v>
      </c>
      <c r="M80" s="11">
        <v>0.08</v>
      </c>
      <c r="N80" s="11">
        <v>3.5400000000000001E-2</v>
      </c>
      <c r="O80" s="10">
        <v>1765789658.8</v>
      </c>
      <c r="P80" s="11">
        <v>8.9432576357900001E-3</v>
      </c>
      <c r="Q80" s="11">
        <v>0.08</v>
      </c>
      <c r="R80" s="11">
        <v>7.1099999999999997E-2</v>
      </c>
      <c r="S80" s="10" t="s">
        <v>26</v>
      </c>
      <c r="T80" s="11" t="s">
        <v>26</v>
      </c>
      <c r="U80" s="11" t="s">
        <v>26</v>
      </c>
      <c r="V80" s="11" t="s">
        <v>26</v>
      </c>
      <c r="W80" s="10" t="s">
        <v>26</v>
      </c>
      <c r="X80" s="11" t="s">
        <v>26</v>
      </c>
      <c r="Y80" s="11" t="s">
        <v>26</v>
      </c>
      <c r="Z80" s="11" t="s">
        <v>26</v>
      </c>
      <c r="AA80" s="10" t="s">
        <v>26</v>
      </c>
      <c r="AB80" s="11" t="s">
        <v>26</v>
      </c>
      <c r="AC80" s="11" t="s">
        <v>26</v>
      </c>
      <c r="AD80" s="11" t="s">
        <v>26</v>
      </c>
      <c r="AE80" s="10">
        <v>1962780219.1300001</v>
      </c>
      <c r="AF80" s="11">
        <v>3.4797867396599998E-3</v>
      </c>
      <c r="AG80" s="11">
        <v>0.08</v>
      </c>
      <c r="AH80" s="11">
        <v>7.6499999999999999E-2</v>
      </c>
      <c r="AI80" s="10" t="s">
        <v>26</v>
      </c>
      <c r="AJ80" s="11" t="s">
        <v>26</v>
      </c>
      <c r="AK80" s="11" t="s">
        <v>26</v>
      </c>
      <c r="AL80" s="11" t="s">
        <v>26</v>
      </c>
      <c r="AM80" s="10">
        <v>373252733.50999999</v>
      </c>
      <c r="AN80" s="11">
        <v>1.638295930744E-2</v>
      </c>
      <c r="AO80" s="11">
        <v>0.08</v>
      </c>
      <c r="AP80" s="11">
        <v>6.3600000000000004E-2</v>
      </c>
      <c r="AQ80" s="10">
        <v>373252733.50999999</v>
      </c>
      <c r="AR80" s="11">
        <v>9.7233697624100005E-3</v>
      </c>
      <c r="AS80" s="11">
        <v>0.08</v>
      </c>
      <c r="AT80" s="11">
        <v>7.0300000000000001E-2</v>
      </c>
      <c r="AU80" s="10" t="s">
        <v>26</v>
      </c>
      <c r="AV80" s="11" t="s">
        <v>26</v>
      </c>
      <c r="AW80" s="11" t="s">
        <v>26</v>
      </c>
      <c r="AX80" s="11" t="s">
        <v>26</v>
      </c>
      <c r="AY80" s="10">
        <v>2336032952.6399999</v>
      </c>
      <c r="AZ80" s="11">
        <v>3.6382231220899999E-3</v>
      </c>
      <c r="BA80" s="11">
        <v>0.08</v>
      </c>
      <c r="BB80" s="11">
        <v>7.6399999999999996E-2</v>
      </c>
    </row>
    <row r="81" spans="1:54" s="7" customFormat="1">
      <c r="A81" s="3" t="s">
        <v>67</v>
      </c>
      <c r="B81" s="24" t="s">
        <v>56</v>
      </c>
      <c r="C81" s="2">
        <v>91802404.609999999</v>
      </c>
      <c r="D81" s="1">
        <v>1</v>
      </c>
      <c r="E81" s="1" t="s">
        <v>26</v>
      </c>
      <c r="F81" s="1" t="s">
        <v>26</v>
      </c>
      <c r="G81" s="2" t="s">
        <v>26</v>
      </c>
      <c r="H81" s="1" t="s">
        <v>26</v>
      </c>
      <c r="I81" s="1" t="s">
        <v>26</v>
      </c>
      <c r="J81" s="1" t="s">
        <v>26</v>
      </c>
      <c r="K81" s="2">
        <v>105188155.72</v>
      </c>
      <c r="L81" s="1">
        <v>1</v>
      </c>
      <c r="M81" s="1" t="s">
        <v>26</v>
      </c>
      <c r="N81" s="1" t="s">
        <v>26</v>
      </c>
      <c r="O81" s="2">
        <v>1765789658.8</v>
      </c>
      <c r="P81" s="1">
        <v>1</v>
      </c>
      <c r="Q81" s="1" t="s">
        <v>26</v>
      </c>
      <c r="R81" s="1" t="s">
        <v>26</v>
      </c>
      <c r="S81" s="2" t="s">
        <v>26</v>
      </c>
      <c r="T81" s="1" t="s">
        <v>26</v>
      </c>
      <c r="U81" s="1" t="s">
        <v>26</v>
      </c>
      <c r="V81" s="1" t="s">
        <v>26</v>
      </c>
      <c r="W81" s="2" t="s">
        <v>26</v>
      </c>
      <c r="X81" s="1" t="s">
        <v>26</v>
      </c>
      <c r="Y81" s="1" t="s">
        <v>26</v>
      </c>
      <c r="Z81" s="1" t="s">
        <v>26</v>
      </c>
      <c r="AA81" s="2" t="s">
        <v>26</v>
      </c>
      <c r="AB81" s="1" t="s">
        <v>26</v>
      </c>
      <c r="AC81" s="1" t="s">
        <v>26</v>
      </c>
      <c r="AD81" s="1" t="s">
        <v>26</v>
      </c>
      <c r="AE81" s="2">
        <v>1962780219.1300001</v>
      </c>
      <c r="AF81" s="1">
        <v>1</v>
      </c>
      <c r="AG81" s="1" t="s">
        <v>26</v>
      </c>
      <c r="AH81" s="1" t="s">
        <v>26</v>
      </c>
      <c r="AI81" s="2" t="s">
        <v>26</v>
      </c>
      <c r="AJ81" s="1" t="s">
        <v>26</v>
      </c>
      <c r="AK81" s="1" t="s">
        <v>26</v>
      </c>
      <c r="AL81" s="1" t="s">
        <v>26</v>
      </c>
      <c r="AM81" s="2">
        <v>373252733.50999999</v>
      </c>
      <c r="AN81" s="1">
        <v>1</v>
      </c>
      <c r="AO81" s="1" t="s">
        <v>26</v>
      </c>
      <c r="AP81" s="1" t="s">
        <v>26</v>
      </c>
      <c r="AQ81" s="2">
        <v>373252733.50999999</v>
      </c>
      <c r="AR81" s="1">
        <v>1</v>
      </c>
      <c r="AS81" s="1" t="s">
        <v>26</v>
      </c>
      <c r="AT81" s="1" t="s">
        <v>26</v>
      </c>
      <c r="AU81" s="2" t="s">
        <v>26</v>
      </c>
      <c r="AV81" s="1" t="s">
        <v>26</v>
      </c>
      <c r="AW81" s="1" t="s">
        <v>26</v>
      </c>
      <c r="AX81" s="1" t="s">
        <v>26</v>
      </c>
      <c r="AY81" s="2">
        <v>2336032952.6399999</v>
      </c>
      <c r="AZ81" s="1">
        <v>1</v>
      </c>
      <c r="BA81" s="1" t="s">
        <v>26</v>
      </c>
      <c r="BB81" s="1" t="s">
        <v>26</v>
      </c>
    </row>
    <row r="82" spans="1:54" s="7" customFormat="1">
      <c r="A82" s="5" t="s">
        <v>73</v>
      </c>
      <c r="B82" s="24" t="s">
        <v>25</v>
      </c>
      <c r="C82" s="10">
        <v>89777830.560000002</v>
      </c>
      <c r="D82" s="11">
        <v>1.8443306347939999E-2</v>
      </c>
      <c r="E82" s="11">
        <v>0.06</v>
      </c>
      <c r="F82" s="11">
        <v>4.1599999999999998E-2</v>
      </c>
      <c r="G82" s="10">
        <v>416069487.10000002</v>
      </c>
      <c r="H82" s="11">
        <v>3.1360325169300001E-3</v>
      </c>
      <c r="I82" s="11">
        <v>0.06</v>
      </c>
      <c r="J82" s="11">
        <v>5.6899999999999999E-2</v>
      </c>
      <c r="K82" s="10">
        <v>8945041.6199999992</v>
      </c>
      <c r="L82" s="11">
        <v>3.7931139373999999E-3</v>
      </c>
      <c r="M82" s="11">
        <v>0.06</v>
      </c>
      <c r="N82" s="11">
        <v>5.62E-2</v>
      </c>
      <c r="O82" s="10">
        <v>405212512.43000001</v>
      </c>
      <c r="P82" s="11">
        <v>2.0522942117400002E-3</v>
      </c>
      <c r="Q82" s="11">
        <v>0.06</v>
      </c>
      <c r="R82" s="11">
        <v>5.79E-2</v>
      </c>
      <c r="S82" s="10">
        <v>129703108.98</v>
      </c>
      <c r="T82" s="11">
        <v>1.30906320903E-3</v>
      </c>
      <c r="U82" s="11">
        <v>0.06</v>
      </c>
      <c r="V82" s="11">
        <v>5.8700000000000002E-2</v>
      </c>
      <c r="W82" s="10" t="s">
        <v>26</v>
      </c>
      <c r="X82" s="11" t="s">
        <v>26</v>
      </c>
      <c r="Y82" s="11" t="s">
        <v>26</v>
      </c>
      <c r="Z82" s="11" t="s">
        <v>26</v>
      </c>
      <c r="AA82" s="10">
        <v>167457629.15000001</v>
      </c>
      <c r="AB82" s="11">
        <v>1.37262196232E-3</v>
      </c>
      <c r="AC82" s="11">
        <v>0.06</v>
      </c>
      <c r="AD82" s="11">
        <v>5.8599999999999999E-2</v>
      </c>
      <c r="AE82" s="10">
        <v>1217165609.8399999</v>
      </c>
      <c r="AF82" s="11">
        <v>2.1578965937200001E-3</v>
      </c>
      <c r="AG82" s="11">
        <v>0.06</v>
      </c>
      <c r="AH82" s="11">
        <v>5.7799999999999997E-2</v>
      </c>
      <c r="AI82" s="10">
        <v>269106336.51999998</v>
      </c>
      <c r="AJ82" s="11">
        <v>1.7245771131140002E-2</v>
      </c>
      <c r="AK82" s="11">
        <v>0.06</v>
      </c>
      <c r="AL82" s="11">
        <v>4.2799999999999998E-2</v>
      </c>
      <c r="AM82" s="10" t="s">
        <v>26</v>
      </c>
      <c r="AN82" s="11" t="s">
        <v>26</v>
      </c>
      <c r="AO82" s="11" t="s">
        <v>26</v>
      </c>
      <c r="AP82" s="11" t="s">
        <v>26</v>
      </c>
      <c r="AQ82" s="10">
        <v>269106336.51999998</v>
      </c>
      <c r="AR82" s="11">
        <v>7.0103181583799998E-3</v>
      </c>
      <c r="AS82" s="11">
        <v>0.06</v>
      </c>
      <c r="AT82" s="11">
        <v>5.2999999999999999E-2</v>
      </c>
      <c r="AU82" s="10" t="s">
        <v>26</v>
      </c>
      <c r="AV82" s="11" t="s">
        <v>26</v>
      </c>
      <c r="AW82" s="11" t="s">
        <v>26</v>
      </c>
      <c r="AX82" s="11" t="s">
        <v>26</v>
      </c>
      <c r="AY82" s="10">
        <v>1486271946.3599999</v>
      </c>
      <c r="AZ82" s="11">
        <v>2.3147742650000002E-3</v>
      </c>
      <c r="BA82" s="11">
        <v>0.06</v>
      </c>
      <c r="BB82" s="11">
        <v>5.7700000000000001E-2</v>
      </c>
    </row>
    <row r="83" spans="1:54" s="7" customFormat="1">
      <c r="A83" s="3" t="s">
        <v>67</v>
      </c>
      <c r="B83" s="24" t="s">
        <v>46</v>
      </c>
      <c r="C83" s="2">
        <v>89777830.560000002</v>
      </c>
      <c r="D83" s="1">
        <v>1</v>
      </c>
      <c r="E83" s="1" t="s">
        <v>26</v>
      </c>
      <c r="F83" s="1" t="s">
        <v>26</v>
      </c>
      <c r="G83" s="2">
        <v>416069487.10000002</v>
      </c>
      <c r="H83" s="1">
        <v>1</v>
      </c>
      <c r="I83" s="1" t="s">
        <v>26</v>
      </c>
      <c r="J83" s="1" t="s">
        <v>26</v>
      </c>
      <c r="K83" s="2">
        <v>8945041.6199999992</v>
      </c>
      <c r="L83" s="1">
        <v>1</v>
      </c>
      <c r="M83" s="1" t="s">
        <v>26</v>
      </c>
      <c r="N83" s="1" t="s">
        <v>26</v>
      </c>
      <c r="O83" s="2">
        <v>405212512.43000001</v>
      </c>
      <c r="P83" s="1">
        <v>1</v>
      </c>
      <c r="Q83" s="1" t="s">
        <v>26</v>
      </c>
      <c r="R83" s="1" t="s">
        <v>26</v>
      </c>
      <c r="S83" s="2">
        <v>129703108.98</v>
      </c>
      <c r="T83" s="1">
        <v>1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>
        <v>167457629.15000001</v>
      </c>
      <c r="AB83" s="1">
        <v>1</v>
      </c>
      <c r="AC83" s="1" t="s">
        <v>26</v>
      </c>
      <c r="AD83" s="1" t="s">
        <v>26</v>
      </c>
      <c r="AE83" s="2">
        <v>1217165609.8399999</v>
      </c>
      <c r="AF83" s="1">
        <v>1</v>
      </c>
      <c r="AG83" s="1" t="s">
        <v>26</v>
      </c>
      <c r="AH83" s="1" t="s">
        <v>26</v>
      </c>
      <c r="AI83" s="2">
        <v>269106336.51999998</v>
      </c>
      <c r="AJ83" s="1">
        <v>1</v>
      </c>
      <c r="AK83" s="1" t="s">
        <v>26</v>
      </c>
      <c r="AL83" s="1" t="s">
        <v>26</v>
      </c>
      <c r="AM83" s="2" t="s">
        <v>26</v>
      </c>
      <c r="AN83" s="1" t="s">
        <v>26</v>
      </c>
      <c r="AO83" s="1" t="s">
        <v>26</v>
      </c>
      <c r="AP83" s="1" t="s">
        <v>26</v>
      </c>
      <c r="AQ83" s="2">
        <v>269106336.51999998</v>
      </c>
      <c r="AR83" s="1">
        <v>1</v>
      </c>
      <c r="AS83" s="1" t="s">
        <v>26</v>
      </c>
      <c r="AT83" s="1" t="s">
        <v>26</v>
      </c>
      <c r="AU83" s="2" t="s">
        <v>26</v>
      </c>
      <c r="AV83" s="1" t="s">
        <v>26</v>
      </c>
      <c r="AW83" s="1" t="s">
        <v>26</v>
      </c>
      <c r="AX83" s="1" t="s">
        <v>26</v>
      </c>
      <c r="AY83" s="2">
        <v>1486271946.3599999</v>
      </c>
      <c r="AZ83" s="1">
        <v>1</v>
      </c>
      <c r="BA83" s="1" t="s">
        <v>26</v>
      </c>
      <c r="BB83" s="1" t="s">
        <v>26</v>
      </c>
    </row>
    <row r="84" spans="1:54" s="7" customFormat="1">
      <c r="A84" s="5" t="s">
        <v>74</v>
      </c>
      <c r="B84" s="24" t="s">
        <v>25</v>
      </c>
      <c r="C84" s="10">
        <v>12321095.789999999</v>
      </c>
      <c r="D84" s="11">
        <v>2.53115655368E-3</v>
      </c>
      <c r="E84" s="11">
        <v>0.06</v>
      </c>
      <c r="F84" s="11">
        <v>5.7500000000000002E-2</v>
      </c>
      <c r="G84" s="10">
        <v>577250944.5</v>
      </c>
      <c r="H84" s="11">
        <v>4.3509024057499998E-3</v>
      </c>
      <c r="I84" s="11">
        <v>0.06</v>
      </c>
      <c r="J84" s="11">
        <v>5.5599999999999997E-2</v>
      </c>
      <c r="K84" s="10" t="s">
        <v>26</v>
      </c>
      <c r="L84" s="11" t="s">
        <v>26</v>
      </c>
      <c r="M84" s="11" t="s">
        <v>26</v>
      </c>
      <c r="N84" s="11" t="s">
        <v>26</v>
      </c>
      <c r="O84" s="10">
        <v>371432765.18000001</v>
      </c>
      <c r="P84" s="11">
        <v>1.88120872541E-3</v>
      </c>
      <c r="Q84" s="11">
        <v>0.06</v>
      </c>
      <c r="R84" s="11">
        <v>5.8099999999999999E-2</v>
      </c>
      <c r="S84" s="10">
        <v>106272609.22</v>
      </c>
      <c r="T84" s="11">
        <v>1.0725846431299999E-3</v>
      </c>
      <c r="U84" s="11">
        <v>0.06</v>
      </c>
      <c r="V84" s="11">
        <v>5.8900000000000001E-2</v>
      </c>
      <c r="W84" s="10" t="s">
        <v>26</v>
      </c>
      <c r="X84" s="11" t="s">
        <v>26</v>
      </c>
      <c r="Y84" s="11" t="s">
        <v>26</v>
      </c>
      <c r="Z84" s="11" t="s">
        <v>26</v>
      </c>
      <c r="AA84" s="10">
        <v>151501071</v>
      </c>
      <c r="AB84" s="11">
        <v>1.2418287445300001E-3</v>
      </c>
      <c r="AC84" s="11">
        <v>0.06</v>
      </c>
      <c r="AD84" s="11">
        <v>5.8799999999999998E-2</v>
      </c>
      <c r="AE84" s="10">
        <v>1218778485.6900001</v>
      </c>
      <c r="AF84" s="11">
        <v>2.1607560397E-3</v>
      </c>
      <c r="AG84" s="11">
        <v>0.06</v>
      </c>
      <c r="AH84" s="11">
        <v>5.7799999999999997E-2</v>
      </c>
      <c r="AI84" s="10">
        <v>108309686</v>
      </c>
      <c r="AJ84" s="11">
        <v>6.9410630763900001E-3</v>
      </c>
      <c r="AK84" s="11">
        <v>0.06</v>
      </c>
      <c r="AL84" s="11">
        <v>5.3100000000000001E-2</v>
      </c>
      <c r="AM84" s="10" t="s">
        <v>26</v>
      </c>
      <c r="AN84" s="11" t="s">
        <v>26</v>
      </c>
      <c r="AO84" s="11" t="s">
        <v>26</v>
      </c>
      <c r="AP84" s="11" t="s">
        <v>26</v>
      </c>
      <c r="AQ84" s="10">
        <v>108309686</v>
      </c>
      <c r="AR84" s="11">
        <v>2.8215068003E-3</v>
      </c>
      <c r="AS84" s="11">
        <v>0.06</v>
      </c>
      <c r="AT84" s="11">
        <v>5.7200000000000001E-2</v>
      </c>
      <c r="AU84" s="10" t="s">
        <v>26</v>
      </c>
      <c r="AV84" s="11" t="s">
        <v>26</v>
      </c>
      <c r="AW84" s="11" t="s">
        <v>26</v>
      </c>
      <c r="AX84" s="11" t="s">
        <v>26</v>
      </c>
      <c r="AY84" s="10">
        <v>1327088171.6900001</v>
      </c>
      <c r="AZ84" s="11">
        <v>2.0668556348200002E-3</v>
      </c>
      <c r="BA84" s="11">
        <v>0.06</v>
      </c>
      <c r="BB84" s="11">
        <v>5.79E-2</v>
      </c>
    </row>
    <row r="85" spans="1:54" s="7" customFormat="1">
      <c r="A85" s="3" t="s">
        <v>67</v>
      </c>
      <c r="B85" s="24" t="s">
        <v>46</v>
      </c>
      <c r="C85" s="2">
        <v>12321095.789999999</v>
      </c>
      <c r="D85" s="1">
        <v>1</v>
      </c>
      <c r="E85" s="1" t="s">
        <v>26</v>
      </c>
      <c r="F85" s="1" t="s">
        <v>26</v>
      </c>
      <c r="G85" s="2">
        <v>577250944.5</v>
      </c>
      <c r="H85" s="1">
        <v>1</v>
      </c>
      <c r="I85" s="1" t="s">
        <v>26</v>
      </c>
      <c r="J85" s="1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>
        <v>371432765.18000001</v>
      </c>
      <c r="P85" s="1">
        <v>1</v>
      </c>
      <c r="Q85" s="1" t="s">
        <v>26</v>
      </c>
      <c r="R85" s="1" t="s">
        <v>26</v>
      </c>
      <c r="S85" s="2">
        <v>106272609.22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>
        <v>151501071</v>
      </c>
      <c r="AB85" s="1">
        <v>1</v>
      </c>
      <c r="AC85" s="1" t="s">
        <v>26</v>
      </c>
      <c r="AD85" s="1" t="s">
        <v>26</v>
      </c>
      <c r="AE85" s="2">
        <v>1218778485.6900001</v>
      </c>
      <c r="AF85" s="1">
        <v>1</v>
      </c>
      <c r="AG85" s="1" t="s">
        <v>26</v>
      </c>
      <c r="AH85" s="1" t="s">
        <v>26</v>
      </c>
      <c r="AI85" s="2">
        <v>108309686</v>
      </c>
      <c r="AJ85" s="1">
        <v>1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108309686</v>
      </c>
      <c r="AR85" s="1">
        <v>1</v>
      </c>
      <c r="AS85" s="1" t="s">
        <v>26</v>
      </c>
      <c r="AT85" s="1" t="s">
        <v>26</v>
      </c>
      <c r="AU85" s="2" t="s">
        <v>26</v>
      </c>
      <c r="AV85" s="1" t="s">
        <v>26</v>
      </c>
      <c r="AW85" s="1" t="s">
        <v>26</v>
      </c>
      <c r="AX85" s="1" t="s">
        <v>26</v>
      </c>
      <c r="AY85" s="2">
        <v>1327088171.6900001</v>
      </c>
      <c r="AZ85" s="1">
        <v>1</v>
      </c>
      <c r="BA85" s="1" t="s">
        <v>26</v>
      </c>
      <c r="BB85" s="1" t="s">
        <v>26</v>
      </c>
    </row>
    <row r="86" spans="1:54" s="7" customFormat="1">
      <c r="A86" s="13" t="s">
        <v>75</v>
      </c>
      <c r="B86" s="25" t="s">
        <v>25</v>
      </c>
      <c r="C86" s="55" t="s">
        <v>26</v>
      </c>
      <c r="D86" s="56" t="s">
        <v>26</v>
      </c>
      <c r="E86" s="56" t="s">
        <v>26</v>
      </c>
      <c r="F86" s="56" t="s">
        <v>26</v>
      </c>
      <c r="G86" s="55" t="s">
        <v>26</v>
      </c>
      <c r="H86" s="56" t="s">
        <v>26</v>
      </c>
      <c r="I86" s="56" t="s">
        <v>26</v>
      </c>
      <c r="J86" s="56" t="s">
        <v>26</v>
      </c>
      <c r="K86" s="55" t="s">
        <v>26</v>
      </c>
      <c r="L86" s="56" t="s">
        <v>26</v>
      </c>
      <c r="M86" s="56" t="s">
        <v>26</v>
      </c>
      <c r="N86" s="56" t="s">
        <v>26</v>
      </c>
      <c r="O86" s="55">
        <v>128824563.75</v>
      </c>
      <c r="P86" s="56">
        <v>6.5246234606000002E-4</v>
      </c>
      <c r="Q86" s="56" t="s">
        <v>26</v>
      </c>
      <c r="R86" s="56" t="s">
        <v>26</v>
      </c>
      <c r="S86" s="55">
        <v>257691712.84</v>
      </c>
      <c r="T86" s="56">
        <v>2.6008223180200001E-3</v>
      </c>
      <c r="U86" s="56" t="s">
        <v>26</v>
      </c>
      <c r="V86" s="56" t="s">
        <v>26</v>
      </c>
      <c r="W86" s="55" t="s">
        <v>26</v>
      </c>
      <c r="X86" s="56" t="s">
        <v>26</v>
      </c>
      <c r="Y86" s="56" t="s">
        <v>26</v>
      </c>
      <c r="Z86" s="56" t="s">
        <v>26</v>
      </c>
      <c r="AA86" s="55">
        <v>143252914.88999999</v>
      </c>
      <c r="AB86" s="56">
        <v>1.1742199990600001E-3</v>
      </c>
      <c r="AC86" s="56" t="s">
        <v>26</v>
      </c>
      <c r="AD86" s="56" t="s">
        <v>26</v>
      </c>
      <c r="AE86" s="55">
        <v>529769191.48000002</v>
      </c>
      <c r="AF86" s="56">
        <v>9.3922069808E-4</v>
      </c>
      <c r="AG86" s="56" t="s">
        <v>26</v>
      </c>
      <c r="AH86" s="56" t="s">
        <v>26</v>
      </c>
      <c r="AI86" s="55">
        <v>12887779.539999999</v>
      </c>
      <c r="AJ86" s="56">
        <v>8.259177365E-4</v>
      </c>
      <c r="AK86" s="56" t="s">
        <v>26</v>
      </c>
      <c r="AL86" s="56" t="s">
        <v>26</v>
      </c>
      <c r="AM86" s="55" t="s">
        <v>26</v>
      </c>
      <c r="AN86" s="56" t="s">
        <v>26</v>
      </c>
      <c r="AO86" s="56" t="s">
        <v>26</v>
      </c>
      <c r="AP86" s="56" t="s">
        <v>26</v>
      </c>
      <c r="AQ86" s="55">
        <v>12887779.539999999</v>
      </c>
      <c r="AR86" s="56">
        <v>3.3573135475000002E-4</v>
      </c>
      <c r="AS86" s="56" t="s">
        <v>26</v>
      </c>
      <c r="AT86" s="56" t="s">
        <v>26</v>
      </c>
      <c r="AU86" s="55">
        <v>38663338.630000003</v>
      </c>
      <c r="AV86" s="56">
        <v>9.7532040323999999E-4</v>
      </c>
      <c r="AW86" s="56" t="s">
        <v>26</v>
      </c>
      <c r="AX86" s="56" t="s">
        <v>26</v>
      </c>
      <c r="AY86" s="55">
        <v>581320309.64999998</v>
      </c>
      <c r="AZ86" s="56">
        <v>9.0536950240000002E-4</v>
      </c>
      <c r="BA86" s="56" t="s">
        <v>26</v>
      </c>
      <c r="BB86" s="56" t="s">
        <v>26</v>
      </c>
    </row>
    <row r="87" spans="1:54" s="7" customFormat="1">
      <c r="A87" s="5" t="s">
        <v>76</v>
      </c>
      <c r="B87" s="24" t="s">
        <v>25</v>
      </c>
      <c r="C87" s="10" t="s">
        <v>26</v>
      </c>
      <c r="D87" s="11" t="s">
        <v>26</v>
      </c>
      <c r="E87" s="11" t="s">
        <v>26</v>
      </c>
      <c r="F87" s="11" t="s">
        <v>26</v>
      </c>
      <c r="G87" s="10" t="s">
        <v>26</v>
      </c>
      <c r="H87" s="11" t="s">
        <v>26</v>
      </c>
      <c r="I87" s="11" t="s">
        <v>26</v>
      </c>
      <c r="J87" s="11" t="s">
        <v>26</v>
      </c>
      <c r="K87" s="10" t="s">
        <v>26</v>
      </c>
      <c r="L87" s="11" t="s">
        <v>26</v>
      </c>
      <c r="M87" s="11" t="s">
        <v>26</v>
      </c>
      <c r="N87" s="11" t="s">
        <v>26</v>
      </c>
      <c r="O87" s="10" t="s">
        <v>26</v>
      </c>
      <c r="P87" s="11" t="s">
        <v>26</v>
      </c>
      <c r="Q87" s="11" t="s">
        <v>26</v>
      </c>
      <c r="R87" s="11" t="s">
        <v>26</v>
      </c>
      <c r="S87" s="10">
        <v>103102236.34</v>
      </c>
      <c r="T87" s="11">
        <v>1.04058680955E-3</v>
      </c>
      <c r="U87" s="11">
        <v>0.1</v>
      </c>
      <c r="V87" s="11">
        <v>9.9000000000000005E-2</v>
      </c>
      <c r="W87" s="10" t="s">
        <v>26</v>
      </c>
      <c r="X87" s="11" t="s">
        <v>26</v>
      </c>
      <c r="Y87" s="11" t="s">
        <v>26</v>
      </c>
      <c r="Z87" s="11" t="s">
        <v>26</v>
      </c>
      <c r="AA87" s="10" t="s">
        <v>26</v>
      </c>
      <c r="AB87" s="11" t="s">
        <v>26</v>
      </c>
      <c r="AC87" s="11" t="s">
        <v>26</v>
      </c>
      <c r="AD87" s="11" t="s">
        <v>26</v>
      </c>
      <c r="AE87" s="10">
        <v>103102236.34</v>
      </c>
      <c r="AF87" s="11">
        <v>1.8278857273000001E-4</v>
      </c>
      <c r="AG87" s="11">
        <v>0.1</v>
      </c>
      <c r="AH87" s="11">
        <v>9.98E-2</v>
      </c>
      <c r="AI87" s="10">
        <v>12887779.539999999</v>
      </c>
      <c r="AJ87" s="11">
        <v>8.259177365E-4</v>
      </c>
      <c r="AK87" s="11">
        <v>0.1</v>
      </c>
      <c r="AL87" s="11">
        <v>9.9199999999999997E-2</v>
      </c>
      <c r="AM87" s="10" t="s">
        <v>26</v>
      </c>
      <c r="AN87" s="11" t="s">
        <v>26</v>
      </c>
      <c r="AO87" s="11" t="s">
        <v>26</v>
      </c>
      <c r="AP87" s="11" t="s">
        <v>26</v>
      </c>
      <c r="AQ87" s="10">
        <v>12887779.539999999</v>
      </c>
      <c r="AR87" s="11">
        <v>3.3573135475000002E-4</v>
      </c>
      <c r="AS87" s="11">
        <v>0.1</v>
      </c>
      <c r="AT87" s="11">
        <v>9.9699999999999997E-2</v>
      </c>
      <c r="AU87" s="10">
        <v>38663338.630000003</v>
      </c>
      <c r="AV87" s="11">
        <v>9.7532040323999999E-4</v>
      </c>
      <c r="AW87" s="11">
        <v>0.1</v>
      </c>
      <c r="AX87" s="11">
        <v>9.9000000000000005E-2</v>
      </c>
      <c r="AY87" s="10">
        <v>154653354.50999999</v>
      </c>
      <c r="AZ87" s="11">
        <v>2.4086278819E-4</v>
      </c>
      <c r="BA87" s="11">
        <v>0.1</v>
      </c>
      <c r="BB87" s="11">
        <v>9.98E-2</v>
      </c>
    </row>
    <row r="88" spans="1:54" s="7" customFormat="1">
      <c r="A88" s="3" t="s">
        <v>77</v>
      </c>
      <c r="B88" s="24" t="s">
        <v>29</v>
      </c>
      <c r="C88" s="2" t="s">
        <v>26</v>
      </c>
      <c r="D88" s="1" t="s">
        <v>26</v>
      </c>
      <c r="E88" s="1" t="s">
        <v>26</v>
      </c>
      <c r="F88" s="1" t="s">
        <v>26</v>
      </c>
      <c r="G88" s="2" t="s">
        <v>26</v>
      </c>
      <c r="H88" s="1" t="s">
        <v>26</v>
      </c>
      <c r="I88" s="1" t="s">
        <v>26</v>
      </c>
      <c r="J88" s="1" t="s">
        <v>26</v>
      </c>
      <c r="K88" s="2" t="s">
        <v>26</v>
      </c>
      <c r="L88" s="1" t="s">
        <v>26</v>
      </c>
      <c r="M88" s="1" t="s">
        <v>26</v>
      </c>
      <c r="N88" s="1" t="s">
        <v>26</v>
      </c>
      <c r="O88" s="2" t="s">
        <v>26</v>
      </c>
      <c r="P88" s="1" t="s">
        <v>26</v>
      </c>
      <c r="Q88" s="1" t="s">
        <v>26</v>
      </c>
      <c r="R88" s="1" t="s">
        <v>26</v>
      </c>
      <c r="S88" s="2">
        <v>103102236.34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 t="s">
        <v>26</v>
      </c>
      <c r="AB88" s="1" t="s">
        <v>26</v>
      </c>
      <c r="AC88" s="1" t="s">
        <v>26</v>
      </c>
      <c r="AD88" s="1" t="s">
        <v>26</v>
      </c>
      <c r="AE88" s="2">
        <v>103102236.34</v>
      </c>
      <c r="AF88" s="1">
        <v>1</v>
      </c>
      <c r="AG88" s="1" t="s">
        <v>26</v>
      </c>
      <c r="AH88" s="1" t="s">
        <v>26</v>
      </c>
      <c r="AI88" s="2">
        <v>12887779.539999999</v>
      </c>
      <c r="AJ88" s="1">
        <v>1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>
        <v>12887779.539999999</v>
      </c>
      <c r="AR88" s="1">
        <v>1</v>
      </c>
      <c r="AS88" s="1" t="s">
        <v>26</v>
      </c>
      <c r="AT88" s="1" t="s">
        <v>26</v>
      </c>
      <c r="AU88" s="2">
        <v>38663338.630000003</v>
      </c>
      <c r="AV88" s="1">
        <v>1</v>
      </c>
      <c r="AW88" s="1" t="s">
        <v>26</v>
      </c>
      <c r="AX88" s="1" t="s">
        <v>26</v>
      </c>
      <c r="AY88" s="2">
        <v>154653354.50999999</v>
      </c>
      <c r="AZ88" s="1">
        <v>1</v>
      </c>
      <c r="BA88" s="1" t="s">
        <v>26</v>
      </c>
      <c r="BB88" s="1" t="s">
        <v>26</v>
      </c>
    </row>
    <row r="89" spans="1:54" s="7" customFormat="1">
      <c r="A89" s="5" t="s">
        <v>78</v>
      </c>
      <c r="B89" s="24" t="s">
        <v>25</v>
      </c>
      <c r="C89" s="10" t="s">
        <v>26</v>
      </c>
      <c r="D89" s="11" t="s">
        <v>26</v>
      </c>
      <c r="E89" s="11" t="s">
        <v>26</v>
      </c>
      <c r="F89" s="11" t="s">
        <v>26</v>
      </c>
      <c r="G89" s="10" t="s">
        <v>26</v>
      </c>
      <c r="H89" s="11" t="s">
        <v>26</v>
      </c>
      <c r="I89" s="11" t="s">
        <v>26</v>
      </c>
      <c r="J89" s="11" t="s">
        <v>26</v>
      </c>
      <c r="K89" s="10" t="s">
        <v>26</v>
      </c>
      <c r="L89" s="11" t="s">
        <v>26</v>
      </c>
      <c r="M89" s="11" t="s">
        <v>26</v>
      </c>
      <c r="N89" s="11" t="s">
        <v>26</v>
      </c>
      <c r="O89" s="10">
        <v>128824563.75</v>
      </c>
      <c r="P89" s="11">
        <v>6.5246234606000002E-4</v>
      </c>
      <c r="Q89" s="11">
        <v>0.09</v>
      </c>
      <c r="R89" s="11">
        <v>8.9300000000000004E-2</v>
      </c>
      <c r="S89" s="10">
        <v>154589476.5</v>
      </c>
      <c r="T89" s="11">
        <v>1.5602355084699999E-3</v>
      </c>
      <c r="U89" s="11">
        <v>0.09</v>
      </c>
      <c r="V89" s="11">
        <v>8.8400000000000006E-2</v>
      </c>
      <c r="W89" s="10" t="s">
        <v>26</v>
      </c>
      <c r="X89" s="11" t="s">
        <v>26</v>
      </c>
      <c r="Y89" s="11" t="s">
        <v>26</v>
      </c>
      <c r="Z89" s="11" t="s">
        <v>26</v>
      </c>
      <c r="AA89" s="10">
        <v>143252914.88999999</v>
      </c>
      <c r="AB89" s="11">
        <v>1.1742199990600001E-3</v>
      </c>
      <c r="AC89" s="11">
        <v>0.09</v>
      </c>
      <c r="AD89" s="11">
        <v>8.8800000000000004E-2</v>
      </c>
      <c r="AE89" s="10">
        <v>426666955.13999999</v>
      </c>
      <c r="AF89" s="11">
        <v>7.5643212535000004E-4</v>
      </c>
      <c r="AG89" s="11">
        <v>0.09</v>
      </c>
      <c r="AH89" s="11">
        <v>8.9200000000000002E-2</v>
      </c>
      <c r="AI89" s="10" t="s">
        <v>26</v>
      </c>
      <c r="AJ89" s="11" t="s">
        <v>26</v>
      </c>
      <c r="AK89" s="11" t="s">
        <v>26</v>
      </c>
      <c r="AL89" s="11" t="s">
        <v>26</v>
      </c>
      <c r="AM89" s="10" t="s">
        <v>26</v>
      </c>
      <c r="AN89" s="11" t="s">
        <v>26</v>
      </c>
      <c r="AO89" s="11" t="s">
        <v>26</v>
      </c>
      <c r="AP89" s="11" t="s">
        <v>26</v>
      </c>
      <c r="AQ89" s="10" t="s">
        <v>26</v>
      </c>
      <c r="AR89" s="11" t="s">
        <v>26</v>
      </c>
      <c r="AS89" s="11" t="s">
        <v>26</v>
      </c>
      <c r="AT89" s="11" t="s">
        <v>26</v>
      </c>
      <c r="AU89" s="10" t="s">
        <v>26</v>
      </c>
      <c r="AV89" s="11" t="s">
        <v>26</v>
      </c>
      <c r="AW89" s="11" t="s">
        <v>26</v>
      </c>
      <c r="AX89" s="11" t="s">
        <v>26</v>
      </c>
      <c r="AY89" s="10">
        <v>426666955.13999999</v>
      </c>
      <c r="AZ89" s="11">
        <v>6.6450671419999996E-4</v>
      </c>
      <c r="BA89" s="11">
        <v>0.09</v>
      </c>
      <c r="BB89" s="11">
        <v>8.9300000000000004E-2</v>
      </c>
    </row>
    <row r="90" spans="1:54" s="7" customFormat="1">
      <c r="A90" s="3" t="s">
        <v>77</v>
      </c>
      <c r="B90" s="24" t="s">
        <v>37</v>
      </c>
      <c r="C90" s="2" t="s">
        <v>26</v>
      </c>
      <c r="D90" s="1" t="s">
        <v>26</v>
      </c>
      <c r="E90" s="1" t="s">
        <v>26</v>
      </c>
      <c r="F90" s="1" t="s">
        <v>26</v>
      </c>
      <c r="G90" s="2" t="s">
        <v>26</v>
      </c>
      <c r="H90" s="1" t="s">
        <v>26</v>
      </c>
      <c r="I90" s="1" t="s">
        <v>26</v>
      </c>
      <c r="J90" s="1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>
        <v>128824563.75</v>
      </c>
      <c r="P90" s="1">
        <v>1</v>
      </c>
      <c r="Q90" s="1" t="s">
        <v>26</v>
      </c>
      <c r="R90" s="1" t="s">
        <v>26</v>
      </c>
      <c r="S90" s="2">
        <v>154589476.5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>
        <v>143252914.88999999</v>
      </c>
      <c r="AB90" s="1">
        <v>1</v>
      </c>
      <c r="AC90" s="1" t="s">
        <v>26</v>
      </c>
      <c r="AD90" s="1" t="s">
        <v>26</v>
      </c>
      <c r="AE90" s="2">
        <v>426666955.13999999</v>
      </c>
      <c r="AF90" s="1">
        <v>1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 t="s">
        <v>26</v>
      </c>
      <c r="AV90" s="1" t="s">
        <v>26</v>
      </c>
      <c r="AW90" s="1" t="s">
        <v>26</v>
      </c>
      <c r="AX90" s="1" t="s">
        <v>26</v>
      </c>
      <c r="AY90" s="2">
        <v>426666955.13999999</v>
      </c>
      <c r="AZ90" s="1">
        <v>1</v>
      </c>
      <c r="BA90" s="1" t="s">
        <v>26</v>
      </c>
      <c r="BB90" s="1" t="s">
        <v>26</v>
      </c>
    </row>
    <row r="91" spans="1:54" s="7" customFormat="1">
      <c r="A91" s="13" t="s">
        <v>79</v>
      </c>
      <c r="B91" s="25" t="s">
        <v>25</v>
      </c>
      <c r="C91" s="55" t="s">
        <v>26</v>
      </c>
      <c r="D91" s="56" t="s">
        <v>26</v>
      </c>
      <c r="E91" s="56" t="s">
        <v>26</v>
      </c>
      <c r="F91" s="56" t="s">
        <v>26</v>
      </c>
      <c r="G91" s="55">
        <v>672442588.5</v>
      </c>
      <c r="H91" s="56">
        <v>5.0683885473100003E-3</v>
      </c>
      <c r="I91" s="56">
        <v>0.05</v>
      </c>
      <c r="J91" s="56">
        <f>+I91-H91</f>
        <v>4.493161145269E-2</v>
      </c>
      <c r="K91" s="55">
        <v>22610970.949999999</v>
      </c>
      <c r="L91" s="56">
        <v>9.5881039677700002E-3</v>
      </c>
      <c r="M91" s="56">
        <v>0.05</v>
      </c>
      <c r="N91" s="56">
        <f>+M91-L91</f>
        <v>4.0411896032229999E-2</v>
      </c>
      <c r="O91" s="55">
        <v>1356658257.3599999</v>
      </c>
      <c r="P91" s="56">
        <v>6.8711152876099997E-3</v>
      </c>
      <c r="Q91" s="56">
        <v>0.05</v>
      </c>
      <c r="R91" s="56">
        <f>+Q91-P91</f>
        <v>4.312888471239E-2</v>
      </c>
      <c r="S91" s="55">
        <v>1257650178.03</v>
      </c>
      <c r="T91" s="56">
        <v>1.2693169738490001E-2</v>
      </c>
      <c r="U91" s="56">
        <v>0.05</v>
      </c>
      <c r="V91" s="56">
        <f>+U91-T91</f>
        <v>3.730683026151E-2</v>
      </c>
      <c r="W91" s="55" t="s">
        <v>26</v>
      </c>
      <c r="X91" s="56" t="s">
        <v>26</v>
      </c>
      <c r="Y91" s="56" t="s">
        <v>26</v>
      </c>
      <c r="Z91" s="56" t="s">
        <v>26</v>
      </c>
      <c r="AA91" s="55">
        <v>356131610.83999997</v>
      </c>
      <c r="AB91" s="56">
        <v>2.9191507905300001E-3</v>
      </c>
      <c r="AC91" s="56">
        <v>0.05</v>
      </c>
      <c r="AD91" s="56">
        <f>+AC91-AB91</f>
        <v>4.7080849209470005E-2</v>
      </c>
      <c r="AE91" s="55">
        <v>3665493605.6799998</v>
      </c>
      <c r="AF91" s="56">
        <v>6.4985044780000003E-3</v>
      </c>
      <c r="AG91" s="56">
        <v>0.05</v>
      </c>
      <c r="AH91" s="56">
        <f>+AG91-AF91</f>
        <v>4.3501495522E-2</v>
      </c>
      <c r="AI91" s="55" t="s">
        <v>26</v>
      </c>
      <c r="AJ91" s="56" t="s">
        <v>26</v>
      </c>
      <c r="AK91" s="56" t="s">
        <v>26</v>
      </c>
      <c r="AL91" s="56" t="s">
        <v>26</v>
      </c>
      <c r="AM91" s="55" t="s">
        <v>26</v>
      </c>
      <c r="AN91" s="56" t="s">
        <v>26</v>
      </c>
      <c r="AO91" s="56" t="s">
        <v>26</v>
      </c>
      <c r="AP91" s="56" t="s">
        <v>26</v>
      </c>
      <c r="AQ91" s="55" t="s">
        <v>26</v>
      </c>
      <c r="AR91" s="56" t="s">
        <v>26</v>
      </c>
      <c r="AS91" s="56" t="s">
        <v>26</v>
      </c>
      <c r="AT91" s="56" t="s">
        <v>26</v>
      </c>
      <c r="AU91" s="55">
        <v>615208194</v>
      </c>
      <c r="AV91" s="56">
        <v>1.551922635523E-2</v>
      </c>
      <c r="AW91" s="56">
        <v>0.05</v>
      </c>
      <c r="AX91" s="56">
        <f>+AW91-AV91</f>
        <v>3.4480773644770001E-2</v>
      </c>
      <c r="AY91" s="55">
        <v>4280701799.6799998</v>
      </c>
      <c r="AZ91" s="56">
        <v>6.6669214784799997E-3</v>
      </c>
      <c r="BA91" s="56">
        <v>0.05</v>
      </c>
      <c r="BB91" s="56">
        <f>+BA91-AZ91</f>
        <v>4.3333078521520005E-2</v>
      </c>
    </row>
    <row r="92" spans="1:54" s="7" customFormat="1">
      <c r="A92" s="5" t="s">
        <v>80</v>
      </c>
      <c r="B92" s="24" t="s">
        <v>25</v>
      </c>
      <c r="C92" s="10" t="s">
        <v>26</v>
      </c>
      <c r="D92" s="11" t="s">
        <v>26</v>
      </c>
      <c r="E92" s="11" t="s">
        <v>26</v>
      </c>
      <c r="F92" s="11" t="s">
        <v>26</v>
      </c>
      <c r="G92" s="10" t="s">
        <v>26</v>
      </c>
      <c r="H92" s="11" t="s">
        <v>26</v>
      </c>
      <c r="I92" s="11" t="s">
        <v>26</v>
      </c>
      <c r="J92" s="11" t="s">
        <v>26</v>
      </c>
      <c r="K92" s="10" t="s">
        <v>26</v>
      </c>
      <c r="L92" s="11" t="s">
        <v>26</v>
      </c>
      <c r="M92" s="11" t="s">
        <v>26</v>
      </c>
      <c r="N92" s="11" t="s">
        <v>26</v>
      </c>
      <c r="O92" s="10" t="s">
        <v>26</v>
      </c>
      <c r="P92" s="11" t="s">
        <v>26</v>
      </c>
      <c r="Q92" s="11" t="s">
        <v>26</v>
      </c>
      <c r="R92" s="11" t="s">
        <v>26</v>
      </c>
      <c r="S92" s="10">
        <v>579321049.35000002</v>
      </c>
      <c r="T92" s="11">
        <v>5.8469521500800004E-3</v>
      </c>
      <c r="U92" s="1" t="s">
        <v>26</v>
      </c>
      <c r="V92" s="1" t="s">
        <v>26</v>
      </c>
      <c r="W92" s="10" t="s">
        <v>26</v>
      </c>
      <c r="X92" s="11" t="s">
        <v>26</v>
      </c>
      <c r="Y92" s="11" t="s">
        <v>26</v>
      </c>
      <c r="Z92" s="11" t="s">
        <v>26</v>
      </c>
      <c r="AA92" s="10" t="s">
        <v>26</v>
      </c>
      <c r="AB92" s="11" t="s">
        <v>26</v>
      </c>
      <c r="AC92" s="11" t="s">
        <v>26</v>
      </c>
      <c r="AD92" s="11" t="s">
        <v>26</v>
      </c>
      <c r="AE92" s="10">
        <v>579321049.35000002</v>
      </c>
      <c r="AF92" s="11">
        <v>1.0270705226600001E-3</v>
      </c>
      <c r="AG92" s="1" t="s">
        <v>26</v>
      </c>
      <c r="AH92" s="1" t="s">
        <v>26</v>
      </c>
      <c r="AI92" s="10" t="s">
        <v>26</v>
      </c>
      <c r="AJ92" s="11" t="s">
        <v>26</v>
      </c>
      <c r="AK92" s="11" t="s">
        <v>26</v>
      </c>
      <c r="AL92" s="11" t="s">
        <v>26</v>
      </c>
      <c r="AM92" s="10" t="s">
        <v>26</v>
      </c>
      <c r="AN92" s="11" t="s">
        <v>26</v>
      </c>
      <c r="AO92" s="11" t="s">
        <v>26</v>
      </c>
      <c r="AP92" s="11" t="s">
        <v>26</v>
      </c>
      <c r="AQ92" s="10" t="s">
        <v>26</v>
      </c>
      <c r="AR92" s="11" t="s">
        <v>26</v>
      </c>
      <c r="AS92" s="11" t="s">
        <v>26</v>
      </c>
      <c r="AT92" s="11" t="s">
        <v>26</v>
      </c>
      <c r="AU92" s="10">
        <v>615208194</v>
      </c>
      <c r="AV92" s="11">
        <v>1.551922635523E-2</v>
      </c>
      <c r="AW92" s="1" t="s">
        <v>26</v>
      </c>
      <c r="AX92" s="1" t="s">
        <v>26</v>
      </c>
      <c r="AY92" s="10">
        <v>1194529243.3499999</v>
      </c>
      <c r="AZ92" s="11">
        <v>1.8604035136800001E-3</v>
      </c>
      <c r="BA92" s="1" t="s">
        <v>26</v>
      </c>
      <c r="BB92" s="1" t="s">
        <v>26</v>
      </c>
    </row>
    <row r="93" spans="1:54" s="7" customFormat="1">
      <c r="A93" s="3" t="s">
        <v>81</v>
      </c>
      <c r="B93" s="24" t="s">
        <v>37</v>
      </c>
      <c r="C93" s="2" t="s">
        <v>26</v>
      </c>
      <c r="D93" s="1" t="s">
        <v>26</v>
      </c>
      <c r="E93" s="1" t="s">
        <v>26</v>
      </c>
      <c r="F93" s="1" t="s">
        <v>26</v>
      </c>
      <c r="G93" s="2" t="s">
        <v>26</v>
      </c>
      <c r="H93" s="1" t="s">
        <v>26</v>
      </c>
      <c r="I93" s="1" t="s">
        <v>26</v>
      </c>
      <c r="J93" s="1" t="s">
        <v>26</v>
      </c>
      <c r="K93" s="2" t="s">
        <v>26</v>
      </c>
      <c r="L93" s="1" t="s">
        <v>26</v>
      </c>
      <c r="M93" s="1" t="s">
        <v>26</v>
      </c>
      <c r="N93" s="1" t="s">
        <v>26</v>
      </c>
      <c r="O93" s="2" t="s">
        <v>26</v>
      </c>
      <c r="P93" s="1" t="s">
        <v>26</v>
      </c>
      <c r="Q93" s="1" t="s">
        <v>26</v>
      </c>
      <c r="R93" s="1" t="s">
        <v>26</v>
      </c>
      <c r="S93" s="2">
        <v>579321049.35000002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 t="s">
        <v>26</v>
      </c>
      <c r="AB93" s="1" t="s">
        <v>26</v>
      </c>
      <c r="AC93" s="1" t="s">
        <v>26</v>
      </c>
      <c r="AD93" s="1" t="s">
        <v>26</v>
      </c>
      <c r="AE93" s="2">
        <v>579321049.35000002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>
        <v>615208194</v>
      </c>
      <c r="AV93" s="1">
        <v>1</v>
      </c>
      <c r="AW93" s="1" t="s">
        <v>26</v>
      </c>
      <c r="AX93" s="1" t="s">
        <v>26</v>
      </c>
      <c r="AY93" s="2">
        <v>1194529243.3499999</v>
      </c>
      <c r="AZ93" s="1">
        <v>1</v>
      </c>
      <c r="BA93" s="1" t="s">
        <v>26</v>
      </c>
      <c r="BB93" s="1" t="s">
        <v>26</v>
      </c>
    </row>
    <row r="94" spans="1:54" s="7" customFormat="1">
      <c r="A94" s="5" t="s">
        <v>82</v>
      </c>
      <c r="B94" s="24" t="s">
        <v>25</v>
      </c>
      <c r="C94" s="10" t="s">
        <v>26</v>
      </c>
      <c r="D94" s="11" t="s">
        <v>26</v>
      </c>
      <c r="E94" s="11" t="s">
        <v>26</v>
      </c>
      <c r="F94" s="11" t="s">
        <v>26</v>
      </c>
      <c r="G94" s="10">
        <v>672442588.5</v>
      </c>
      <c r="H94" s="11">
        <v>5.0683885473100003E-3</v>
      </c>
      <c r="I94" s="1" t="s">
        <v>26</v>
      </c>
      <c r="J94" s="1" t="s">
        <v>26</v>
      </c>
      <c r="K94" s="10">
        <v>22610970.949999999</v>
      </c>
      <c r="L94" s="11">
        <v>9.5881039677700002E-3</v>
      </c>
      <c r="M94" s="1" t="s">
        <v>26</v>
      </c>
      <c r="N94" s="1" t="s">
        <v>26</v>
      </c>
      <c r="O94" s="10">
        <v>1356658257.3599999</v>
      </c>
      <c r="P94" s="11">
        <v>6.8711152876099997E-3</v>
      </c>
      <c r="Q94" s="1" t="s">
        <v>26</v>
      </c>
      <c r="R94" s="1" t="s">
        <v>26</v>
      </c>
      <c r="S94" s="10">
        <v>678329128.67999995</v>
      </c>
      <c r="T94" s="11">
        <v>6.8462175884100003E-3</v>
      </c>
      <c r="U94" s="1" t="s">
        <v>26</v>
      </c>
      <c r="V94" s="1" t="s">
        <v>26</v>
      </c>
      <c r="W94" s="10" t="s">
        <v>26</v>
      </c>
      <c r="X94" s="11" t="s">
        <v>26</v>
      </c>
      <c r="Y94" s="11" t="s">
        <v>26</v>
      </c>
      <c r="Z94" s="11" t="s">
        <v>26</v>
      </c>
      <c r="AA94" s="10">
        <v>356131610.83999997</v>
      </c>
      <c r="AB94" s="11">
        <v>2.9191507905300001E-3</v>
      </c>
      <c r="AC94" s="1" t="s">
        <v>26</v>
      </c>
      <c r="AD94" s="1" t="s">
        <v>26</v>
      </c>
      <c r="AE94" s="10">
        <v>3086172556.3299999</v>
      </c>
      <c r="AF94" s="11">
        <v>5.4714339553400002E-3</v>
      </c>
      <c r="AG94" s="1" t="s">
        <v>26</v>
      </c>
      <c r="AH94" s="1" t="s">
        <v>26</v>
      </c>
      <c r="AI94" s="10" t="s">
        <v>26</v>
      </c>
      <c r="AJ94" s="11" t="s">
        <v>26</v>
      </c>
      <c r="AK94" s="11" t="s">
        <v>26</v>
      </c>
      <c r="AL94" s="11" t="s">
        <v>26</v>
      </c>
      <c r="AM94" s="10" t="s">
        <v>26</v>
      </c>
      <c r="AN94" s="11" t="s">
        <v>26</v>
      </c>
      <c r="AO94" s="11" t="s">
        <v>26</v>
      </c>
      <c r="AP94" s="11" t="s">
        <v>26</v>
      </c>
      <c r="AQ94" s="10" t="s">
        <v>26</v>
      </c>
      <c r="AR94" s="11" t="s">
        <v>26</v>
      </c>
      <c r="AS94" s="11" t="s">
        <v>26</v>
      </c>
      <c r="AT94" s="11" t="s">
        <v>26</v>
      </c>
      <c r="AU94" s="10" t="s">
        <v>26</v>
      </c>
      <c r="AV94" s="11" t="s">
        <v>26</v>
      </c>
      <c r="AW94" s="11" t="s">
        <v>26</v>
      </c>
      <c r="AX94" s="11" t="s">
        <v>26</v>
      </c>
      <c r="AY94" s="10">
        <v>3086172556.3299999</v>
      </c>
      <c r="AZ94" s="11">
        <v>4.8065179647900002E-3</v>
      </c>
      <c r="BA94" s="1" t="s">
        <v>26</v>
      </c>
      <c r="BB94" s="1" t="s">
        <v>26</v>
      </c>
    </row>
    <row r="95" spans="1:54" s="7" customFormat="1">
      <c r="A95" s="3" t="s">
        <v>83</v>
      </c>
      <c r="B95" s="24" t="s">
        <v>37</v>
      </c>
      <c r="C95" s="2" t="s">
        <v>26</v>
      </c>
      <c r="D95" s="1" t="s">
        <v>26</v>
      </c>
      <c r="E95" s="1" t="s">
        <v>26</v>
      </c>
      <c r="F95" s="1" t="s">
        <v>26</v>
      </c>
      <c r="G95" s="2">
        <v>672442588.5</v>
      </c>
      <c r="H95" s="1">
        <v>1</v>
      </c>
      <c r="I95" s="1" t="s">
        <v>26</v>
      </c>
      <c r="J95" s="1" t="s">
        <v>26</v>
      </c>
      <c r="K95" s="2">
        <v>22610970.949999999</v>
      </c>
      <c r="L95" s="1">
        <v>1</v>
      </c>
      <c r="M95" s="1" t="s">
        <v>26</v>
      </c>
      <c r="N95" s="1" t="s">
        <v>26</v>
      </c>
      <c r="O95" s="2">
        <v>1356658257.3599999</v>
      </c>
      <c r="P95" s="1">
        <v>1</v>
      </c>
      <c r="Q95" s="1" t="s">
        <v>26</v>
      </c>
      <c r="R95" s="1" t="s">
        <v>26</v>
      </c>
      <c r="S95" s="2">
        <v>678329128.67999995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356131610.83999997</v>
      </c>
      <c r="AB95" s="1">
        <v>1</v>
      </c>
      <c r="AC95" s="1" t="s">
        <v>26</v>
      </c>
      <c r="AD95" s="1" t="s">
        <v>26</v>
      </c>
      <c r="AE95" s="2">
        <v>3086172556.3299999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3086172556.3299999</v>
      </c>
      <c r="AZ95" s="1">
        <v>1</v>
      </c>
      <c r="BA95" s="1" t="s">
        <v>26</v>
      </c>
      <c r="BB95" s="1" t="s">
        <v>26</v>
      </c>
    </row>
    <row r="96" spans="1:54" s="7" customFormat="1">
      <c r="A96" s="13" t="s">
        <v>84</v>
      </c>
      <c r="B96" s="25" t="s">
        <v>25</v>
      </c>
      <c r="C96" s="55" t="s">
        <v>26</v>
      </c>
      <c r="D96" s="56" t="s">
        <v>26</v>
      </c>
      <c r="E96" s="56" t="s">
        <v>26</v>
      </c>
      <c r="F96" s="56" t="s">
        <v>26</v>
      </c>
      <c r="G96" s="55">
        <v>5786499795.1199999</v>
      </c>
      <c r="H96" s="56">
        <v>4.3614473253459997E-2</v>
      </c>
      <c r="I96" s="56">
        <v>0.15</v>
      </c>
      <c r="J96" s="56">
        <f>+I96-H96</f>
        <v>0.10638552674654</v>
      </c>
      <c r="K96" s="55">
        <v>29264162.370000001</v>
      </c>
      <c r="L96" s="56">
        <v>1.2409366760670001E-2</v>
      </c>
      <c r="M96" s="56">
        <v>0.15</v>
      </c>
      <c r="N96" s="56">
        <f>+M96-L96</f>
        <v>0.13759063323932999</v>
      </c>
      <c r="O96" s="55">
        <v>16661723281.370001</v>
      </c>
      <c r="P96" s="56">
        <v>8.4387222010790006E-2</v>
      </c>
      <c r="Q96" s="56">
        <v>0.15</v>
      </c>
      <c r="R96" s="56">
        <f>+Q96-P96</f>
        <v>6.5612777989209989E-2</v>
      </c>
      <c r="S96" s="55">
        <v>4449680819.1700001</v>
      </c>
      <c r="T96" s="56">
        <v>4.4909590048560002E-2</v>
      </c>
      <c r="U96" s="56">
        <v>0.15</v>
      </c>
      <c r="V96" s="56">
        <f>+U96-T96</f>
        <v>0.10509040995143999</v>
      </c>
      <c r="W96" s="55" t="s">
        <v>26</v>
      </c>
      <c r="X96" s="56" t="s">
        <v>26</v>
      </c>
      <c r="Y96" s="56" t="s">
        <v>26</v>
      </c>
      <c r="Z96" s="56" t="s">
        <v>26</v>
      </c>
      <c r="AA96" s="55">
        <v>5274337147.9200001</v>
      </c>
      <c r="AB96" s="56">
        <v>4.3232852648410001E-2</v>
      </c>
      <c r="AC96" s="56">
        <v>0.15</v>
      </c>
      <c r="AD96" s="56">
        <f>+AC96-AB96</f>
        <v>0.10676714735158999</v>
      </c>
      <c r="AE96" s="55">
        <v>32201505205.950001</v>
      </c>
      <c r="AF96" s="56">
        <v>5.7089616922240002E-2</v>
      </c>
      <c r="AG96" s="56">
        <v>0.15</v>
      </c>
      <c r="AH96" s="56">
        <f>+AG96-AF96</f>
        <v>9.2910383077759992E-2</v>
      </c>
      <c r="AI96" s="55" t="s">
        <v>26</v>
      </c>
      <c r="AJ96" s="56" t="s">
        <v>26</v>
      </c>
      <c r="AK96" s="56" t="s">
        <v>26</v>
      </c>
      <c r="AL96" s="56" t="s">
        <v>26</v>
      </c>
      <c r="AM96" s="55" t="s">
        <v>26</v>
      </c>
      <c r="AN96" s="56" t="s">
        <v>26</v>
      </c>
      <c r="AO96" s="56" t="s">
        <v>26</v>
      </c>
      <c r="AP96" s="56" t="s">
        <v>26</v>
      </c>
      <c r="AQ96" s="55" t="s">
        <v>26</v>
      </c>
      <c r="AR96" s="56" t="s">
        <v>26</v>
      </c>
      <c r="AS96" s="56" t="s">
        <v>26</v>
      </c>
      <c r="AT96" s="56" t="s">
        <v>26</v>
      </c>
      <c r="AU96" s="55">
        <v>1772930464.29</v>
      </c>
      <c r="AV96" s="56">
        <v>4.4723899089339998E-2</v>
      </c>
      <c r="AW96" s="56">
        <v>0.15</v>
      </c>
      <c r="AX96" s="56">
        <f>+AW96-AV96</f>
        <v>0.10527610091066</v>
      </c>
      <c r="AY96" s="55">
        <v>33974435670.240002</v>
      </c>
      <c r="AZ96" s="56">
        <v>5.2913028164200002E-2</v>
      </c>
      <c r="BA96" s="56">
        <v>0.15</v>
      </c>
      <c r="BB96" s="56">
        <f>+BA96-AZ96</f>
        <v>9.7086971835799993E-2</v>
      </c>
    </row>
    <row r="97" spans="1:54" s="7" customFormat="1">
      <c r="A97" s="5" t="s">
        <v>85</v>
      </c>
      <c r="B97" s="24" t="s">
        <v>25</v>
      </c>
      <c r="C97" s="10" t="s">
        <v>26</v>
      </c>
      <c r="D97" s="11" t="s">
        <v>26</v>
      </c>
      <c r="E97" s="11" t="s">
        <v>26</v>
      </c>
      <c r="F97" s="11" t="s">
        <v>26</v>
      </c>
      <c r="G97" s="10">
        <v>114511939.70999999</v>
      </c>
      <c r="H97" s="11">
        <v>8.6310863363000005E-4</v>
      </c>
      <c r="I97" s="1" t="s">
        <v>26</v>
      </c>
      <c r="J97" s="1" t="s">
        <v>26</v>
      </c>
      <c r="K97" s="10">
        <v>29264162.370000001</v>
      </c>
      <c r="L97" s="11">
        <v>1.2409366760670001E-2</v>
      </c>
      <c r="M97" s="1" t="s">
        <v>26</v>
      </c>
      <c r="N97" s="1" t="s">
        <v>26</v>
      </c>
      <c r="O97" s="10" t="s">
        <v>26</v>
      </c>
      <c r="P97" s="11" t="s">
        <v>26</v>
      </c>
      <c r="Q97" s="11" t="s">
        <v>26</v>
      </c>
      <c r="R97" s="11" t="s">
        <v>26</v>
      </c>
      <c r="S97" s="10">
        <v>209938556.13999999</v>
      </c>
      <c r="T97" s="11">
        <v>2.1188608519999998E-3</v>
      </c>
      <c r="U97" s="1" t="s">
        <v>26</v>
      </c>
      <c r="V97" s="1" t="s">
        <v>26</v>
      </c>
      <c r="W97" s="10" t="s">
        <v>26</v>
      </c>
      <c r="X97" s="11" t="s">
        <v>26</v>
      </c>
      <c r="Y97" s="11" t="s">
        <v>26</v>
      </c>
      <c r="Z97" s="11" t="s">
        <v>26</v>
      </c>
      <c r="AA97" s="10">
        <v>128507843.45999999</v>
      </c>
      <c r="AB97" s="11">
        <v>1.0533571337299999E-3</v>
      </c>
      <c r="AC97" s="1" t="s">
        <v>26</v>
      </c>
      <c r="AD97" s="1" t="s">
        <v>26</v>
      </c>
      <c r="AE97" s="10">
        <v>482222501.68000001</v>
      </c>
      <c r="AF97" s="11">
        <v>8.5492580909000005E-4</v>
      </c>
      <c r="AG97" s="1" t="s">
        <v>26</v>
      </c>
      <c r="AH97" s="1" t="s">
        <v>26</v>
      </c>
      <c r="AI97" s="10" t="s">
        <v>26</v>
      </c>
      <c r="AJ97" s="11" t="s">
        <v>26</v>
      </c>
      <c r="AK97" s="11" t="s">
        <v>26</v>
      </c>
      <c r="AL97" s="11" t="s">
        <v>26</v>
      </c>
      <c r="AM97" s="10" t="s">
        <v>26</v>
      </c>
      <c r="AN97" s="11" t="s">
        <v>26</v>
      </c>
      <c r="AO97" s="11" t="s">
        <v>26</v>
      </c>
      <c r="AP97" s="11" t="s">
        <v>26</v>
      </c>
      <c r="AQ97" s="10" t="s">
        <v>26</v>
      </c>
      <c r="AR97" s="11" t="s">
        <v>26</v>
      </c>
      <c r="AS97" s="11" t="s">
        <v>26</v>
      </c>
      <c r="AT97" s="11" t="s">
        <v>26</v>
      </c>
      <c r="AU97" s="10" t="s">
        <v>26</v>
      </c>
      <c r="AV97" s="11" t="s">
        <v>26</v>
      </c>
      <c r="AW97" s="11" t="s">
        <v>26</v>
      </c>
      <c r="AX97" s="11" t="s">
        <v>26</v>
      </c>
      <c r="AY97" s="10">
        <v>482222501.68000001</v>
      </c>
      <c r="AZ97" s="11">
        <v>7.5103095339999998E-4</v>
      </c>
      <c r="BA97" s="1" t="s">
        <v>26</v>
      </c>
      <c r="BB97" s="1" t="s">
        <v>26</v>
      </c>
    </row>
    <row r="98" spans="1:54" s="7" customFormat="1">
      <c r="A98" s="3" t="s">
        <v>86</v>
      </c>
      <c r="B98" s="24" t="s">
        <v>46</v>
      </c>
      <c r="C98" s="2" t="s">
        <v>26</v>
      </c>
      <c r="D98" s="1" t="s">
        <v>26</v>
      </c>
      <c r="E98" s="1" t="s">
        <v>26</v>
      </c>
      <c r="F98" s="1" t="s">
        <v>26</v>
      </c>
      <c r="G98" s="2">
        <v>114511939.70999999</v>
      </c>
      <c r="H98" s="1">
        <v>1</v>
      </c>
      <c r="I98" s="1" t="s">
        <v>26</v>
      </c>
      <c r="J98" s="1" t="s">
        <v>26</v>
      </c>
      <c r="K98" s="2">
        <v>29264162.370000001</v>
      </c>
      <c r="L98" s="1">
        <v>1</v>
      </c>
      <c r="M98" s="1" t="s">
        <v>26</v>
      </c>
      <c r="N98" s="1" t="s">
        <v>26</v>
      </c>
      <c r="O98" s="2" t="s">
        <v>26</v>
      </c>
      <c r="P98" s="1" t="s">
        <v>26</v>
      </c>
      <c r="Q98" s="11" t="s">
        <v>26</v>
      </c>
      <c r="R98" s="11" t="s">
        <v>26</v>
      </c>
      <c r="S98" s="2">
        <v>209938556.13999999</v>
      </c>
      <c r="T98" s="1">
        <v>1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2">
        <v>128507843.45999999</v>
      </c>
      <c r="AB98" s="1">
        <v>1</v>
      </c>
      <c r="AC98" s="1" t="s">
        <v>26</v>
      </c>
      <c r="AD98" s="1" t="s">
        <v>26</v>
      </c>
      <c r="AE98" s="2">
        <v>482222501.68000001</v>
      </c>
      <c r="AF98" s="1">
        <v>1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2" t="s">
        <v>26</v>
      </c>
      <c r="AV98" s="1" t="s">
        <v>26</v>
      </c>
      <c r="AW98" s="1" t="s">
        <v>26</v>
      </c>
      <c r="AX98" s="1" t="s">
        <v>26</v>
      </c>
      <c r="AY98" s="2">
        <v>482222501.68000001</v>
      </c>
      <c r="AZ98" s="1">
        <v>1</v>
      </c>
      <c r="BA98" s="1" t="s">
        <v>26</v>
      </c>
      <c r="BB98" s="1" t="s">
        <v>26</v>
      </c>
    </row>
    <row r="99" spans="1:54" s="7" customFormat="1">
      <c r="A99" s="5" t="s">
        <v>87</v>
      </c>
      <c r="B99" s="24" t="s">
        <v>25</v>
      </c>
      <c r="C99" s="10" t="s">
        <v>26</v>
      </c>
      <c r="D99" s="11" t="s">
        <v>26</v>
      </c>
      <c r="E99" s="11" t="s">
        <v>26</v>
      </c>
      <c r="F99" s="11" t="s">
        <v>26</v>
      </c>
      <c r="G99" s="10">
        <v>1688404460.1300001</v>
      </c>
      <c r="H99" s="11">
        <v>1.272597835905E-2</v>
      </c>
      <c r="I99" s="1" t="s">
        <v>26</v>
      </c>
      <c r="J99" s="1" t="s">
        <v>26</v>
      </c>
      <c r="K99" s="10" t="s">
        <v>26</v>
      </c>
      <c r="L99" s="11" t="s">
        <v>26</v>
      </c>
      <c r="M99" s="11" t="s">
        <v>26</v>
      </c>
      <c r="N99" s="11" t="s">
        <v>26</v>
      </c>
      <c r="O99" s="10">
        <v>3027743711.8499999</v>
      </c>
      <c r="P99" s="11">
        <v>1.5334721174329999E-2</v>
      </c>
      <c r="Q99" s="11" t="s">
        <v>26</v>
      </c>
      <c r="R99" s="11" t="s">
        <v>26</v>
      </c>
      <c r="S99" s="10">
        <v>1103444374.98</v>
      </c>
      <c r="T99" s="11">
        <v>1.113680655661E-2</v>
      </c>
      <c r="U99" s="1" t="s">
        <v>26</v>
      </c>
      <c r="V99" s="1" t="s">
        <v>26</v>
      </c>
      <c r="W99" s="10" t="s">
        <v>26</v>
      </c>
      <c r="X99" s="11" t="s">
        <v>26</v>
      </c>
      <c r="Y99" s="11" t="s">
        <v>26</v>
      </c>
      <c r="Z99" s="11" t="s">
        <v>26</v>
      </c>
      <c r="AA99" s="10">
        <v>1687327929.01</v>
      </c>
      <c r="AB99" s="11">
        <v>1.383074264663E-2</v>
      </c>
      <c r="AC99" s="1" t="s">
        <v>26</v>
      </c>
      <c r="AD99" s="1" t="s">
        <v>26</v>
      </c>
      <c r="AE99" s="10">
        <v>7506920475.9700003</v>
      </c>
      <c r="AF99" s="11">
        <v>1.3308918682459999E-2</v>
      </c>
      <c r="AG99" s="1" t="s">
        <v>26</v>
      </c>
      <c r="AH99" s="1" t="s">
        <v>26</v>
      </c>
      <c r="AI99" s="10" t="s">
        <v>26</v>
      </c>
      <c r="AJ99" s="11" t="s">
        <v>26</v>
      </c>
      <c r="AK99" s="11" t="s">
        <v>26</v>
      </c>
      <c r="AL99" s="11" t="s">
        <v>26</v>
      </c>
      <c r="AM99" s="10" t="s">
        <v>26</v>
      </c>
      <c r="AN99" s="11" t="s">
        <v>26</v>
      </c>
      <c r="AO99" s="11" t="s">
        <v>26</v>
      </c>
      <c r="AP99" s="11" t="s">
        <v>26</v>
      </c>
      <c r="AQ99" s="10" t="s">
        <v>26</v>
      </c>
      <c r="AR99" s="11" t="s">
        <v>26</v>
      </c>
      <c r="AS99" s="11" t="s">
        <v>26</v>
      </c>
      <c r="AT99" s="11" t="s">
        <v>26</v>
      </c>
      <c r="AU99" s="10">
        <v>276803058.45999998</v>
      </c>
      <c r="AV99" s="11">
        <v>6.9826269577600002E-3</v>
      </c>
      <c r="AW99" s="1" t="s">
        <v>26</v>
      </c>
      <c r="AX99" s="1" t="s">
        <v>26</v>
      </c>
      <c r="AY99" s="10">
        <v>7783723534.4300003</v>
      </c>
      <c r="AZ99" s="11">
        <v>1.212265559308E-2</v>
      </c>
      <c r="BA99" s="1" t="s">
        <v>26</v>
      </c>
      <c r="BB99" s="1" t="s">
        <v>26</v>
      </c>
    </row>
    <row r="100" spans="1:54" s="7" customFormat="1">
      <c r="A100" s="3" t="s">
        <v>86</v>
      </c>
      <c r="B100" s="24" t="s">
        <v>46</v>
      </c>
      <c r="C100" s="2" t="s">
        <v>26</v>
      </c>
      <c r="D100" s="1" t="s">
        <v>26</v>
      </c>
      <c r="E100" s="1" t="s">
        <v>26</v>
      </c>
      <c r="F100" s="1" t="s">
        <v>26</v>
      </c>
      <c r="G100" s="2">
        <v>1688404460.1300001</v>
      </c>
      <c r="H100" s="1">
        <v>1</v>
      </c>
      <c r="I100" s="1" t="s">
        <v>26</v>
      </c>
      <c r="J100" s="1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2">
        <v>3027743711.8499999</v>
      </c>
      <c r="P100" s="1">
        <v>1</v>
      </c>
      <c r="Q100" s="11" t="s">
        <v>26</v>
      </c>
      <c r="R100" s="11" t="s">
        <v>26</v>
      </c>
      <c r="S100" s="2">
        <v>1103444374.98</v>
      </c>
      <c r="T100" s="1">
        <v>1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2">
        <v>1687327929.01</v>
      </c>
      <c r="AB100" s="1">
        <v>1</v>
      </c>
      <c r="AC100" s="1" t="s">
        <v>26</v>
      </c>
      <c r="AD100" s="1" t="s">
        <v>26</v>
      </c>
      <c r="AE100" s="2">
        <v>7506920475.9700003</v>
      </c>
      <c r="AF100" s="1">
        <v>1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>
        <v>276803058.45999998</v>
      </c>
      <c r="AV100" s="1">
        <v>1</v>
      </c>
      <c r="AW100" s="1" t="s">
        <v>26</v>
      </c>
      <c r="AX100" s="1" t="s">
        <v>26</v>
      </c>
      <c r="AY100" s="2">
        <v>7783723534.4300003</v>
      </c>
      <c r="AZ100" s="1">
        <v>1</v>
      </c>
      <c r="BA100" s="1" t="s">
        <v>26</v>
      </c>
      <c r="BB100" s="1" t="s">
        <v>26</v>
      </c>
    </row>
    <row r="101" spans="1:54" s="7" customFormat="1">
      <c r="A101" s="5" t="s">
        <v>88</v>
      </c>
      <c r="B101" s="24" t="s">
        <v>25</v>
      </c>
      <c r="C101" s="10" t="s">
        <v>26</v>
      </c>
      <c r="D101" s="11" t="s">
        <v>26</v>
      </c>
      <c r="E101" s="11" t="s">
        <v>26</v>
      </c>
      <c r="F101" s="11" t="s">
        <v>26</v>
      </c>
      <c r="G101" s="10">
        <v>1357672286.6500001</v>
      </c>
      <c r="H101" s="11">
        <v>1.023315712946E-2</v>
      </c>
      <c r="I101" s="1" t="s">
        <v>26</v>
      </c>
      <c r="J101" s="1" t="s">
        <v>26</v>
      </c>
      <c r="K101" s="10" t="s">
        <v>26</v>
      </c>
      <c r="L101" s="11" t="s">
        <v>26</v>
      </c>
      <c r="M101" s="11" t="s">
        <v>26</v>
      </c>
      <c r="N101" s="11" t="s">
        <v>26</v>
      </c>
      <c r="O101" s="10">
        <v>1305454121.78</v>
      </c>
      <c r="P101" s="11">
        <v>6.6117798825000001E-3</v>
      </c>
      <c r="Q101" s="11" t="s">
        <v>26</v>
      </c>
      <c r="R101" s="11" t="s">
        <v>26</v>
      </c>
      <c r="S101" s="10">
        <v>1305454121.77</v>
      </c>
      <c r="T101" s="11">
        <v>1.317564378625E-2</v>
      </c>
      <c r="U101" s="1" t="s">
        <v>26</v>
      </c>
      <c r="V101" s="1" t="s">
        <v>26</v>
      </c>
      <c r="W101" s="10" t="s">
        <v>26</v>
      </c>
      <c r="X101" s="11" t="s">
        <v>26</v>
      </c>
      <c r="Y101" s="11" t="s">
        <v>26</v>
      </c>
      <c r="Z101" s="11" t="s">
        <v>26</v>
      </c>
      <c r="AA101" s="10">
        <v>1252452684.4300001</v>
      </c>
      <c r="AB101" s="11">
        <v>1.0266143562030001E-2</v>
      </c>
      <c r="AC101" s="1" t="s">
        <v>26</v>
      </c>
      <c r="AD101" s="1" t="s">
        <v>26</v>
      </c>
      <c r="AE101" s="10">
        <v>5221033214.6300001</v>
      </c>
      <c r="AF101" s="11">
        <v>9.2562997988799994E-3</v>
      </c>
      <c r="AG101" s="1" t="s">
        <v>26</v>
      </c>
      <c r="AH101" s="1" t="s">
        <v>26</v>
      </c>
      <c r="AI101" s="10" t="s">
        <v>26</v>
      </c>
      <c r="AJ101" s="11" t="s">
        <v>26</v>
      </c>
      <c r="AK101" s="11" t="s">
        <v>26</v>
      </c>
      <c r="AL101" s="11" t="s">
        <v>26</v>
      </c>
      <c r="AM101" s="10" t="s">
        <v>26</v>
      </c>
      <c r="AN101" s="11" t="s">
        <v>26</v>
      </c>
      <c r="AO101" s="11" t="s">
        <v>26</v>
      </c>
      <c r="AP101" s="11" t="s">
        <v>26</v>
      </c>
      <c r="AQ101" s="10" t="s">
        <v>26</v>
      </c>
      <c r="AR101" s="11" t="s">
        <v>26</v>
      </c>
      <c r="AS101" s="11" t="s">
        <v>26</v>
      </c>
      <c r="AT101" s="11" t="s">
        <v>26</v>
      </c>
      <c r="AU101" s="10" t="s">
        <v>26</v>
      </c>
      <c r="AV101" s="11" t="s">
        <v>26</v>
      </c>
      <c r="AW101" s="1" t="s">
        <v>26</v>
      </c>
      <c r="AX101" s="1" t="s">
        <v>26</v>
      </c>
      <c r="AY101" s="10">
        <v>5221033214.6300001</v>
      </c>
      <c r="AZ101" s="11">
        <v>8.1314280011400009E-3</v>
      </c>
      <c r="BA101" s="1" t="s">
        <v>26</v>
      </c>
      <c r="BB101" s="1" t="s">
        <v>26</v>
      </c>
    </row>
    <row r="102" spans="1:54" s="7" customFormat="1">
      <c r="A102" s="3" t="s">
        <v>86</v>
      </c>
      <c r="B102" s="24" t="s">
        <v>46</v>
      </c>
      <c r="C102" s="2" t="s">
        <v>26</v>
      </c>
      <c r="D102" s="1" t="s">
        <v>26</v>
      </c>
      <c r="E102" s="1" t="s">
        <v>26</v>
      </c>
      <c r="F102" s="1" t="s">
        <v>26</v>
      </c>
      <c r="G102" s="2">
        <v>1357672286.6500001</v>
      </c>
      <c r="H102" s="1">
        <v>1</v>
      </c>
      <c r="I102" s="1" t="s">
        <v>26</v>
      </c>
      <c r="J102" s="1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2">
        <v>1305454121.78</v>
      </c>
      <c r="P102" s="1">
        <v>1</v>
      </c>
      <c r="Q102" s="11" t="s">
        <v>26</v>
      </c>
      <c r="R102" s="11" t="s">
        <v>26</v>
      </c>
      <c r="S102" s="2">
        <v>1305454121.77</v>
      </c>
      <c r="T102" s="1">
        <v>1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22">
        <v>1252452684.4300001</v>
      </c>
      <c r="AB102" s="23">
        <v>1</v>
      </c>
      <c r="AC102" s="1" t="s">
        <v>26</v>
      </c>
      <c r="AD102" s="1" t="s">
        <v>26</v>
      </c>
      <c r="AE102" s="2">
        <v>5221033214.6300001</v>
      </c>
      <c r="AF102" s="1">
        <v>1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2" t="s">
        <v>26</v>
      </c>
      <c r="AV102" s="1" t="s">
        <v>26</v>
      </c>
      <c r="AW102" s="1" t="s">
        <v>26</v>
      </c>
      <c r="AX102" s="1" t="s">
        <v>26</v>
      </c>
      <c r="AY102" s="2">
        <v>5221033214.6300001</v>
      </c>
      <c r="AZ102" s="1">
        <v>1</v>
      </c>
      <c r="BA102" s="1" t="s">
        <v>26</v>
      </c>
      <c r="BB102" s="1" t="s">
        <v>26</v>
      </c>
    </row>
    <row r="103" spans="1:54" s="7" customFormat="1">
      <c r="A103" s="5" t="s">
        <v>89</v>
      </c>
      <c r="B103" s="24" t="s">
        <v>25</v>
      </c>
      <c r="C103" s="10" t="s">
        <v>26</v>
      </c>
      <c r="D103" s="11" t="s">
        <v>26</v>
      </c>
      <c r="E103" s="11" t="s">
        <v>26</v>
      </c>
      <c r="F103" s="11" t="s">
        <v>26</v>
      </c>
      <c r="G103" s="10" t="s">
        <v>26</v>
      </c>
      <c r="H103" s="11" t="s">
        <v>26</v>
      </c>
      <c r="I103" s="1" t="s">
        <v>26</v>
      </c>
      <c r="J103" s="1" t="s">
        <v>26</v>
      </c>
      <c r="K103" s="10" t="s">
        <v>26</v>
      </c>
      <c r="L103" s="11" t="s">
        <v>26</v>
      </c>
      <c r="M103" s="11" t="s">
        <v>26</v>
      </c>
      <c r="N103" s="11" t="s">
        <v>26</v>
      </c>
      <c r="O103" s="10">
        <v>2909434367.5999999</v>
      </c>
      <c r="P103" s="11">
        <v>1.4735515634149999E-2</v>
      </c>
      <c r="Q103" s="11" t="s">
        <v>26</v>
      </c>
      <c r="R103" s="11" t="s">
        <v>26</v>
      </c>
      <c r="S103" s="10">
        <v>459352888.19999999</v>
      </c>
      <c r="T103" s="11">
        <v>4.6361414975699998E-3</v>
      </c>
      <c r="U103" s="1" t="s">
        <v>26</v>
      </c>
      <c r="V103" s="1" t="s">
        <v>26</v>
      </c>
      <c r="W103" s="10" t="s">
        <v>26</v>
      </c>
      <c r="X103" s="11" t="s">
        <v>26</v>
      </c>
      <c r="Y103" s="11" t="s">
        <v>26</v>
      </c>
      <c r="Z103" s="11" t="s">
        <v>26</v>
      </c>
      <c r="AA103" s="10">
        <v>1153424419.6500001</v>
      </c>
      <c r="AB103" s="11">
        <v>9.4544255661500008E-3</v>
      </c>
      <c r="AC103" s="1" t="s">
        <v>26</v>
      </c>
      <c r="AD103" s="1" t="s">
        <v>26</v>
      </c>
      <c r="AE103" s="10">
        <v>4522211675.4499998</v>
      </c>
      <c r="AF103" s="11">
        <v>8.01736845969E-3</v>
      </c>
      <c r="AG103" s="1" t="s">
        <v>26</v>
      </c>
      <c r="AH103" s="1" t="s">
        <v>26</v>
      </c>
      <c r="AI103" s="10" t="s">
        <v>26</v>
      </c>
      <c r="AJ103" s="11" t="s">
        <v>26</v>
      </c>
      <c r="AK103" s="11" t="s">
        <v>26</v>
      </c>
      <c r="AL103" s="11" t="s">
        <v>26</v>
      </c>
      <c r="AM103" s="10" t="s">
        <v>26</v>
      </c>
      <c r="AN103" s="11" t="s">
        <v>26</v>
      </c>
      <c r="AO103" s="11" t="s">
        <v>26</v>
      </c>
      <c r="AP103" s="11" t="s">
        <v>26</v>
      </c>
      <c r="AQ103" s="10" t="s">
        <v>26</v>
      </c>
      <c r="AR103" s="11" t="s">
        <v>26</v>
      </c>
      <c r="AS103" s="11" t="s">
        <v>26</v>
      </c>
      <c r="AT103" s="11" t="s">
        <v>26</v>
      </c>
      <c r="AU103" s="10">
        <v>320478759.20999998</v>
      </c>
      <c r="AV103" s="11">
        <v>8.0843890811700004E-3</v>
      </c>
      <c r="AW103" s="1" t="s">
        <v>26</v>
      </c>
      <c r="AX103" s="1" t="s">
        <v>26</v>
      </c>
      <c r="AY103" s="10">
        <v>4842690434.6599998</v>
      </c>
      <c r="AZ103" s="11">
        <v>7.5421831240000004E-3</v>
      </c>
      <c r="BA103" s="1" t="s">
        <v>26</v>
      </c>
      <c r="BB103" s="1" t="s">
        <v>26</v>
      </c>
    </row>
    <row r="104" spans="1:54" s="7" customFormat="1">
      <c r="A104" s="3" t="s">
        <v>86</v>
      </c>
      <c r="B104" s="24" t="s">
        <v>46</v>
      </c>
      <c r="C104" s="2" t="s">
        <v>26</v>
      </c>
      <c r="D104" s="1" t="s">
        <v>26</v>
      </c>
      <c r="E104" s="1" t="s">
        <v>26</v>
      </c>
      <c r="F104" s="1" t="s">
        <v>26</v>
      </c>
      <c r="G104" s="2" t="s">
        <v>26</v>
      </c>
      <c r="H104" s="1" t="s">
        <v>26</v>
      </c>
      <c r="I104" s="1" t="s">
        <v>26</v>
      </c>
      <c r="J104" s="1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2">
        <v>2909434367.5999999</v>
      </c>
      <c r="P104" s="1">
        <v>1</v>
      </c>
      <c r="Q104" s="11" t="s">
        <v>26</v>
      </c>
      <c r="R104" s="11" t="s">
        <v>26</v>
      </c>
      <c r="S104" s="2">
        <v>459352888.19999999</v>
      </c>
      <c r="T104" s="1">
        <v>1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>
        <v>1153424419.6500001</v>
      </c>
      <c r="AB104" s="1">
        <v>1</v>
      </c>
      <c r="AC104" s="1" t="s">
        <v>26</v>
      </c>
      <c r="AD104" s="1" t="s">
        <v>26</v>
      </c>
      <c r="AE104" s="2">
        <v>4522211675.4499998</v>
      </c>
      <c r="AF104" s="1">
        <v>1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>
        <v>320478759.20999998</v>
      </c>
      <c r="AV104" s="1">
        <v>1</v>
      </c>
      <c r="AW104" s="1" t="s">
        <v>26</v>
      </c>
      <c r="AX104" s="1" t="s">
        <v>26</v>
      </c>
      <c r="AY104" s="2">
        <v>4842690434.6599998</v>
      </c>
      <c r="AZ104" s="1">
        <v>1</v>
      </c>
      <c r="BA104" s="1" t="s">
        <v>26</v>
      </c>
      <c r="BB104" s="1" t="s">
        <v>26</v>
      </c>
    </row>
    <row r="105" spans="1:54" s="7" customFormat="1">
      <c r="A105" s="5" t="s">
        <v>90</v>
      </c>
      <c r="B105" s="24" t="s">
        <v>25</v>
      </c>
      <c r="C105" s="10" t="s">
        <v>26</v>
      </c>
      <c r="D105" s="11" t="s">
        <v>26</v>
      </c>
      <c r="E105" s="11" t="s">
        <v>26</v>
      </c>
      <c r="F105" s="11" t="s">
        <v>26</v>
      </c>
      <c r="G105" s="10" t="s">
        <v>26</v>
      </c>
      <c r="H105" s="11" t="s">
        <v>26</v>
      </c>
      <c r="I105" s="1" t="s">
        <v>26</v>
      </c>
      <c r="J105" s="1" t="s">
        <v>26</v>
      </c>
      <c r="K105" s="10" t="s">
        <v>26</v>
      </c>
      <c r="L105" s="11" t="s">
        <v>26</v>
      </c>
      <c r="M105" s="11" t="s">
        <v>26</v>
      </c>
      <c r="N105" s="11" t="s">
        <v>26</v>
      </c>
      <c r="O105" s="10">
        <v>302313103.87</v>
      </c>
      <c r="P105" s="11">
        <v>1.53113592047E-3</v>
      </c>
      <c r="Q105" s="11" t="s">
        <v>26</v>
      </c>
      <c r="R105" s="11" t="s">
        <v>26</v>
      </c>
      <c r="S105" s="10" t="s">
        <v>26</v>
      </c>
      <c r="T105" s="11" t="s">
        <v>26</v>
      </c>
      <c r="U105" s="1" t="s">
        <v>26</v>
      </c>
      <c r="V105" s="1" t="s">
        <v>26</v>
      </c>
      <c r="W105" s="10" t="s">
        <v>26</v>
      </c>
      <c r="X105" s="11" t="s">
        <v>26</v>
      </c>
      <c r="Y105" s="11" t="s">
        <v>26</v>
      </c>
      <c r="Z105" s="11" t="s">
        <v>26</v>
      </c>
      <c r="AA105" s="10">
        <v>302313103.87</v>
      </c>
      <c r="AB105" s="11">
        <v>2.4780095596399999E-3</v>
      </c>
      <c r="AC105" s="1" t="s">
        <v>26</v>
      </c>
      <c r="AD105" s="1" t="s">
        <v>26</v>
      </c>
      <c r="AE105" s="10">
        <v>604626207.74000001</v>
      </c>
      <c r="AF105" s="11">
        <v>1.0719336987599999E-3</v>
      </c>
      <c r="AG105" s="1" t="s">
        <v>26</v>
      </c>
      <c r="AH105" s="1" t="s">
        <v>26</v>
      </c>
      <c r="AI105" s="10" t="s">
        <v>26</v>
      </c>
      <c r="AJ105" s="11" t="s">
        <v>26</v>
      </c>
      <c r="AK105" s="11" t="s">
        <v>26</v>
      </c>
      <c r="AL105" s="11" t="s">
        <v>26</v>
      </c>
      <c r="AM105" s="10" t="s">
        <v>26</v>
      </c>
      <c r="AN105" s="11" t="s">
        <v>26</v>
      </c>
      <c r="AO105" s="11" t="s">
        <v>26</v>
      </c>
      <c r="AP105" s="11" t="s">
        <v>26</v>
      </c>
      <c r="AQ105" s="10" t="s">
        <v>26</v>
      </c>
      <c r="AR105" s="11" t="s">
        <v>26</v>
      </c>
      <c r="AS105" s="11" t="s">
        <v>26</v>
      </c>
      <c r="AT105" s="11" t="s">
        <v>26</v>
      </c>
      <c r="AU105" s="10" t="s">
        <v>26</v>
      </c>
      <c r="AV105" s="11" t="s">
        <v>26</v>
      </c>
      <c r="AW105" s="1" t="s">
        <v>26</v>
      </c>
      <c r="AX105" s="1" t="s">
        <v>26</v>
      </c>
      <c r="AY105" s="10">
        <v>604626207.74000001</v>
      </c>
      <c r="AZ105" s="11">
        <v>9.4166696011000004E-4</v>
      </c>
      <c r="BA105" s="1" t="s">
        <v>26</v>
      </c>
      <c r="BB105" s="1" t="s">
        <v>26</v>
      </c>
    </row>
    <row r="106" spans="1:54" s="7" customFormat="1">
      <c r="A106" s="3" t="s">
        <v>86</v>
      </c>
      <c r="B106" s="24" t="s">
        <v>46</v>
      </c>
      <c r="C106" s="2" t="s">
        <v>26</v>
      </c>
      <c r="D106" s="1" t="s">
        <v>26</v>
      </c>
      <c r="E106" s="1" t="s">
        <v>26</v>
      </c>
      <c r="F106" s="1" t="s">
        <v>26</v>
      </c>
      <c r="G106" s="2" t="s">
        <v>26</v>
      </c>
      <c r="H106" s="1" t="s">
        <v>26</v>
      </c>
      <c r="I106" s="1" t="s">
        <v>26</v>
      </c>
      <c r="J106" s="1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2">
        <v>302313103.87</v>
      </c>
      <c r="P106" s="1">
        <v>1</v>
      </c>
      <c r="Q106" s="11" t="s">
        <v>26</v>
      </c>
      <c r="R106" s="11" t="s">
        <v>26</v>
      </c>
      <c r="S106" s="2" t="s">
        <v>26</v>
      </c>
      <c r="T106" s="1" t="s">
        <v>26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2">
        <v>302313103.87</v>
      </c>
      <c r="AB106" s="1">
        <v>1</v>
      </c>
      <c r="AC106" s="1" t="s">
        <v>26</v>
      </c>
      <c r="AD106" s="1" t="s">
        <v>26</v>
      </c>
      <c r="AE106" s="2">
        <v>604626207.74000001</v>
      </c>
      <c r="AF106" s="1">
        <v>1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 t="s">
        <v>26</v>
      </c>
      <c r="AV106" s="1" t="s">
        <v>26</v>
      </c>
      <c r="AW106" s="1" t="s">
        <v>26</v>
      </c>
      <c r="AX106" s="1" t="s">
        <v>26</v>
      </c>
      <c r="AY106" s="2">
        <v>604626207.74000001</v>
      </c>
      <c r="AZ106" s="1">
        <v>1</v>
      </c>
      <c r="BA106" s="1" t="s">
        <v>26</v>
      </c>
      <c r="BB106" s="1" t="s">
        <v>26</v>
      </c>
    </row>
    <row r="107" spans="1:54" s="7" customFormat="1">
      <c r="A107" s="5" t="s">
        <v>91</v>
      </c>
      <c r="B107" s="24" t="s">
        <v>25</v>
      </c>
      <c r="C107" s="10" t="s">
        <v>26</v>
      </c>
      <c r="D107" s="11" t="s">
        <v>26</v>
      </c>
      <c r="E107" s="11" t="s">
        <v>26</v>
      </c>
      <c r="F107" s="11" t="s">
        <v>26</v>
      </c>
      <c r="G107" s="10" t="s">
        <v>26</v>
      </c>
      <c r="H107" s="11" t="s">
        <v>26</v>
      </c>
      <c r="I107" s="1" t="s">
        <v>26</v>
      </c>
      <c r="J107" s="1" t="s">
        <v>26</v>
      </c>
      <c r="K107" s="10" t="s">
        <v>26</v>
      </c>
      <c r="L107" s="11" t="s">
        <v>26</v>
      </c>
      <c r="M107" s="11" t="s">
        <v>26</v>
      </c>
      <c r="N107" s="11" t="s">
        <v>26</v>
      </c>
      <c r="O107" s="10" t="s">
        <v>26</v>
      </c>
      <c r="P107" s="11" t="s">
        <v>26</v>
      </c>
      <c r="Q107" s="11" t="s">
        <v>26</v>
      </c>
      <c r="R107" s="11" t="s">
        <v>26</v>
      </c>
      <c r="S107" s="10">
        <v>126159887.88</v>
      </c>
      <c r="T107" s="11">
        <v>1.27330230538E-3</v>
      </c>
      <c r="U107" s="1" t="s">
        <v>26</v>
      </c>
      <c r="V107" s="1" t="s">
        <v>26</v>
      </c>
      <c r="W107" s="10" t="s">
        <v>26</v>
      </c>
      <c r="X107" s="11" t="s">
        <v>26</v>
      </c>
      <c r="Y107" s="11" t="s">
        <v>26</v>
      </c>
      <c r="Z107" s="11" t="s">
        <v>26</v>
      </c>
      <c r="AA107" s="10" t="s">
        <v>26</v>
      </c>
      <c r="AB107" s="11" t="s">
        <v>26</v>
      </c>
      <c r="AC107" s="1" t="s">
        <v>26</v>
      </c>
      <c r="AD107" s="1" t="s">
        <v>26</v>
      </c>
      <c r="AE107" s="10">
        <v>126159887.88</v>
      </c>
      <c r="AF107" s="11">
        <v>2.2366717406000001E-4</v>
      </c>
      <c r="AG107" s="1" t="s">
        <v>26</v>
      </c>
      <c r="AH107" s="1" t="s">
        <v>26</v>
      </c>
      <c r="AI107" s="10" t="s">
        <v>26</v>
      </c>
      <c r="AJ107" s="11" t="s">
        <v>26</v>
      </c>
      <c r="AK107" s="11" t="s">
        <v>26</v>
      </c>
      <c r="AL107" s="11" t="s">
        <v>26</v>
      </c>
      <c r="AM107" s="10" t="s">
        <v>26</v>
      </c>
      <c r="AN107" s="11" t="s">
        <v>26</v>
      </c>
      <c r="AO107" s="11" t="s">
        <v>26</v>
      </c>
      <c r="AP107" s="11" t="s">
        <v>26</v>
      </c>
      <c r="AQ107" s="10" t="s">
        <v>26</v>
      </c>
      <c r="AR107" s="11" t="s">
        <v>26</v>
      </c>
      <c r="AS107" s="11" t="s">
        <v>26</v>
      </c>
      <c r="AT107" s="11" t="s">
        <v>26</v>
      </c>
      <c r="AU107" s="10">
        <v>161613578.99000001</v>
      </c>
      <c r="AV107" s="11">
        <v>4.0768600595500002E-3</v>
      </c>
      <c r="AW107" s="1" t="s">
        <v>26</v>
      </c>
      <c r="AX107" s="1" t="s">
        <v>26</v>
      </c>
      <c r="AY107" s="10">
        <v>287773466.87</v>
      </c>
      <c r="AZ107" s="11">
        <v>4.4818891783999999E-4</v>
      </c>
      <c r="BA107" s="1" t="s">
        <v>26</v>
      </c>
      <c r="BB107" s="1" t="s">
        <v>26</v>
      </c>
    </row>
    <row r="108" spans="1:54" s="7" customFormat="1">
      <c r="A108" s="3" t="s">
        <v>86</v>
      </c>
      <c r="B108" s="24" t="s">
        <v>46</v>
      </c>
      <c r="C108" s="2" t="s">
        <v>26</v>
      </c>
      <c r="D108" s="1" t="s">
        <v>26</v>
      </c>
      <c r="E108" s="1" t="s">
        <v>26</v>
      </c>
      <c r="F108" s="1" t="s">
        <v>26</v>
      </c>
      <c r="G108" s="2" t="s">
        <v>26</v>
      </c>
      <c r="H108" s="1" t="s">
        <v>26</v>
      </c>
      <c r="I108" s="1" t="s">
        <v>26</v>
      </c>
      <c r="J108" s="1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2" t="s">
        <v>26</v>
      </c>
      <c r="P108" s="1" t="s">
        <v>26</v>
      </c>
      <c r="Q108" s="11" t="s">
        <v>26</v>
      </c>
      <c r="R108" s="11" t="s">
        <v>26</v>
      </c>
      <c r="S108" s="2">
        <v>126159887.88</v>
      </c>
      <c r="T108" s="1">
        <v>1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2">
        <v>126159887.88</v>
      </c>
      <c r="AF108" s="1">
        <v>1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>
        <v>161613578.99000001</v>
      </c>
      <c r="AV108" s="1">
        <v>1</v>
      </c>
      <c r="AW108" s="1" t="s">
        <v>26</v>
      </c>
      <c r="AX108" s="1" t="s">
        <v>26</v>
      </c>
      <c r="AY108" s="2">
        <v>287773466.87</v>
      </c>
      <c r="AZ108" s="1">
        <v>1</v>
      </c>
      <c r="BA108" s="1" t="s">
        <v>26</v>
      </c>
      <c r="BB108" s="1" t="s">
        <v>26</v>
      </c>
    </row>
    <row r="109" spans="1:54" s="7" customFormat="1">
      <c r="A109" s="5" t="s">
        <v>92</v>
      </c>
      <c r="B109" s="24" t="s">
        <v>25</v>
      </c>
      <c r="C109" s="10" t="s">
        <v>26</v>
      </c>
      <c r="D109" s="11" t="s">
        <v>26</v>
      </c>
      <c r="E109" s="11" t="s">
        <v>26</v>
      </c>
      <c r="F109" s="11" t="s">
        <v>26</v>
      </c>
      <c r="G109" s="10">
        <v>605685791.85000002</v>
      </c>
      <c r="H109" s="11">
        <v>4.56522383202E-3</v>
      </c>
      <c r="I109" s="1" t="s">
        <v>26</v>
      </c>
      <c r="J109" s="1" t="s">
        <v>26</v>
      </c>
      <c r="K109" s="10" t="s">
        <v>26</v>
      </c>
      <c r="L109" s="11" t="s">
        <v>26</v>
      </c>
      <c r="M109" s="11" t="s">
        <v>26</v>
      </c>
      <c r="N109" s="11" t="s">
        <v>26</v>
      </c>
      <c r="O109" s="10">
        <v>1902418838.1400001</v>
      </c>
      <c r="P109" s="11">
        <v>9.6352482957800002E-3</v>
      </c>
      <c r="Q109" s="11" t="s">
        <v>26</v>
      </c>
      <c r="R109" s="11" t="s">
        <v>26</v>
      </c>
      <c r="S109" s="10" t="s">
        <v>26</v>
      </c>
      <c r="T109" s="11" t="s">
        <v>26</v>
      </c>
      <c r="U109" s="1" t="s">
        <v>26</v>
      </c>
      <c r="V109" s="1" t="s">
        <v>26</v>
      </c>
      <c r="W109" s="10" t="s">
        <v>26</v>
      </c>
      <c r="X109" s="11" t="s">
        <v>26</v>
      </c>
      <c r="Y109" s="11" t="s">
        <v>26</v>
      </c>
      <c r="Z109" s="11" t="s">
        <v>26</v>
      </c>
      <c r="AA109" s="10" t="s">
        <v>26</v>
      </c>
      <c r="AB109" s="11" t="s">
        <v>26</v>
      </c>
      <c r="AC109" s="1" t="s">
        <v>26</v>
      </c>
      <c r="AD109" s="1" t="s">
        <v>26</v>
      </c>
      <c r="AE109" s="10">
        <v>2508104629.9899998</v>
      </c>
      <c r="AF109" s="11">
        <v>4.4465850776600003E-3</v>
      </c>
      <c r="AG109" s="1" t="s">
        <v>26</v>
      </c>
      <c r="AH109" s="1" t="s">
        <v>26</v>
      </c>
      <c r="AI109" s="10" t="s">
        <v>26</v>
      </c>
      <c r="AJ109" s="11" t="s">
        <v>26</v>
      </c>
      <c r="AK109" s="11" t="s">
        <v>26</v>
      </c>
      <c r="AL109" s="11" t="s">
        <v>26</v>
      </c>
      <c r="AM109" s="10" t="s">
        <v>26</v>
      </c>
      <c r="AN109" s="11" t="s">
        <v>26</v>
      </c>
      <c r="AO109" s="11" t="s">
        <v>26</v>
      </c>
      <c r="AP109" s="11" t="s">
        <v>26</v>
      </c>
      <c r="AQ109" s="10" t="s">
        <v>26</v>
      </c>
      <c r="AR109" s="11" t="s">
        <v>26</v>
      </c>
      <c r="AS109" s="11" t="s">
        <v>26</v>
      </c>
      <c r="AT109" s="11" t="s">
        <v>26</v>
      </c>
      <c r="AU109" s="10" t="s">
        <v>26</v>
      </c>
      <c r="AV109" s="11" t="s">
        <v>26</v>
      </c>
      <c r="AW109" s="1" t="s">
        <v>26</v>
      </c>
      <c r="AX109" s="1" t="s">
        <v>26</v>
      </c>
      <c r="AY109" s="10">
        <v>2508104629.9899998</v>
      </c>
      <c r="AZ109" s="11">
        <v>3.9062138430700001E-3</v>
      </c>
      <c r="BA109" s="1" t="s">
        <v>26</v>
      </c>
      <c r="BB109" s="1" t="s">
        <v>26</v>
      </c>
    </row>
    <row r="110" spans="1:54" s="7" customFormat="1">
      <c r="A110" s="3" t="s">
        <v>86</v>
      </c>
      <c r="B110" s="24" t="s">
        <v>46</v>
      </c>
      <c r="C110" s="2" t="s">
        <v>26</v>
      </c>
      <c r="D110" s="1" t="s">
        <v>26</v>
      </c>
      <c r="E110" s="1" t="s">
        <v>26</v>
      </c>
      <c r="F110" s="1" t="s">
        <v>26</v>
      </c>
      <c r="G110" s="2">
        <v>605685791.85000002</v>
      </c>
      <c r="H110" s="1">
        <v>1</v>
      </c>
      <c r="I110" s="1" t="s">
        <v>26</v>
      </c>
      <c r="J110" s="1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>
        <v>1902418838.1400001</v>
      </c>
      <c r="P110" s="1">
        <v>1</v>
      </c>
      <c r="Q110" s="11" t="s">
        <v>26</v>
      </c>
      <c r="R110" s="11" t="s">
        <v>26</v>
      </c>
      <c r="S110" s="2" t="s">
        <v>26</v>
      </c>
      <c r="T110" s="1" t="s">
        <v>26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" t="s">
        <v>26</v>
      </c>
      <c r="AD110" s="1" t="s">
        <v>26</v>
      </c>
      <c r="AE110" s="2">
        <v>2508104629.9899998</v>
      </c>
      <c r="AF110" s="1">
        <v>1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2" t="s">
        <v>26</v>
      </c>
      <c r="AV110" s="1" t="s">
        <v>26</v>
      </c>
      <c r="AW110" s="1" t="s">
        <v>26</v>
      </c>
      <c r="AX110" s="1" t="s">
        <v>26</v>
      </c>
      <c r="AY110" s="2">
        <v>2508104629.9899998</v>
      </c>
      <c r="AZ110" s="1">
        <v>1</v>
      </c>
      <c r="BA110" s="1" t="s">
        <v>26</v>
      </c>
      <c r="BB110" s="1" t="s">
        <v>26</v>
      </c>
    </row>
    <row r="111" spans="1:54" s="7" customFormat="1">
      <c r="A111" s="5" t="s">
        <v>93</v>
      </c>
      <c r="B111" s="24" t="s">
        <v>25</v>
      </c>
      <c r="C111" s="10" t="s">
        <v>26</v>
      </c>
      <c r="D111" s="11" t="s">
        <v>26</v>
      </c>
      <c r="E111" s="11" t="s">
        <v>26</v>
      </c>
      <c r="F111" s="11" t="s">
        <v>26</v>
      </c>
      <c r="G111" s="10">
        <v>1520017871.78</v>
      </c>
      <c r="H111" s="11">
        <v>1.145680137575E-2</v>
      </c>
      <c r="I111" s="1" t="s">
        <v>26</v>
      </c>
      <c r="J111" s="1" t="s">
        <v>26</v>
      </c>
      <c r="K111" s="10" t="s">
        <v>26</v>
      </c>
      <c r="L111" s="11" t="s">
        <v>26</v>
      </c>
      <c r="M111" s="11" t="s">
        <v>26</v>
      </c>
      <c r="N111" s="11" t="s">
        <v>26</v>
      </c>
      <c r="O111" s="10">
        <v>3621553812.9699998</v>
      </c>
      <c r="P111" s="11">
        <v>1.8342212295699999E-2</v>
      </c>
      <c r="Q111" s="11" t="s">
        <v>26</v>
      </c>
      <c r="R111" s="11" t="s">
        <v>26</v>
      </c>
      <c r="S111" s="10">
        <v>1014035067.63</v>
      </c>
      <c r="T111" s="11">
        <v>1.023441928372E-2</v>
      </c>
      <c r="U111" s="1" t="s">
        <v>26</v>
      </c>
      <c r="V111" s="1" t="s">
        <v>26</v>
      </c>
      <c r="W111" s="10" t="s">
        <v>26</v>
      </c>
      <c r="X111" s="11" t="s">
        <v>26</v>
      </c>
      <c r="Y111" s="11" t="s">
        <v>26</v>
      </c>
      <c r="Z111" s="11" t="s">
        <v>26</v>
      </c>
      <c r="AA111" s="10" t="s">
        <v>26</v>
      </c>
      <c r="AB111" s="11" t="s">
        <v>26</v>
      </c>
      <c r="AC111" s="1" t="s">
        <v>26</v>
      </c>
      <c r="AD111" s="1" t="s">
        <v>26</v>
      </c>
      <c r="AE111" s="10">
        <v>6155606752.3800001</v>
      </c>
      <c r="AF111" s="11">
        <v>1.091319269611E-2</v>
      </c>
      <c r="AG111" s="1" t="s">
        <v>26</v>
      </c>
      <c r="AH111" s="1" t="s">
        <v>26</v>
      </c>
      <c r="AI111" s="10" t="s">
        <v>26</v>
      </c>
      <c r="AJ111" s="11" t="s">
        <v>26</v>
      </c>
      <c r="AK111" s="11" t="s">
        <v>26</v>
      </c>
      <c r="AL111" s="11" t="s">
        <v>26</v>
      </c>
      <c r="AM111" s="10" t="s">
        <v>26</v>
      </c>
      <c r="AN111" s="11" t="s">
        <v>26</v>
      </c>
      <c r="AO111" s="11" t="s">
        <v>26</v>
      </c>
      <c r="AP111" s="11" t="s">
        <v>26</v>
      </c>
      <c r="AQ111" s="10" t="s">
        <v>26</v>
      </c>
      <c r="AR111" s="11" t="s">
        <v>26</v>
      </c>
      <c r="AS111" s="11" t="s">
        <v>26</v>
      </c>
      <c r="AT111" s="11" t="s">
        <v>26</v>
      </c>
      <c r="AU111" s="10">
        <v>1014035067.63</v>
      </c>
      <c r="AV111" s="11">
        <v>2.5580022990859999E-2</v>
      </c>
      <c r="AW111" s="1" t="s">
        <v>26</v>
      </c>
      <c r="AX111" s="1" t="s">
        <v>26</v>
      </c>
      <c r="AY111" s="10">
        <v>7169641820.0100002</v>
      </c>
      <c r="AZ111" s="11">
        <v>1.116626228119E-2</v>
      </c>
      <c r="BA111" s="1" t="s">
        <v>26</v>
      </c>
      <c r="BB111" s="1" t="s">
        <v>26</v>
      </c>
    </row>
    <row r="112" spans="1:54" s="7" customFormat="1">
      <c r="A112" s="3" t="s">
        <v>86</v>
      </c>
      <c r="B112" s="24" t="s">
        <v>37</v>
      </c>
      <c r="C112" s="2" t="s">
        <v>26</v>
      </c>
      <c r="D112" s="1" t="s">
        <v>26</v>
      </c>
      <c r="E112" s="1" t="s">
        <v>26</v>
      </c>
      <c r="F112" s="1" t="s">
        <v>26</v>
      </c>
      <c r="G112" s="2">
        <v>1520017871.78</v>
      </c>
      <c r="H112" s="1">
        <v>1</v>
      </c>
      <c r="I112" s="1" t="s">
        <v>26</v>
      </c>
      <c r="J112" s="1" t="s">
        <v>26</v>
      </c>
      <c r="K112" s="2" t="s">
        <v>26</v>
      </c>
      <c r="L112" s="1" t="s">
        <v>26</v>
      </c>
      <c r="M112" s="1" t="s">
        <v>26</v>
      </c>
      <c r="N112" s="1" t="s">
        <v>26</v>
      </c>
      <c r="O112" s="2">
        <v>3621553812.9699998</v>
      </c>
      <c r="P112" s="1">
        <v>1</v>
      </c>
      <c r="Q112" s="11" t="s">
        <v>26</v>
      </c>
      <c r="R112" s="11" t="s">
        <v>26</v>
      </c>
      <c r="S112" s="2">
        <v>1014035067.63</v>
      </c>
      <c r="T112" s="1">
        <v>1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2">
        <v>6155606752.3800001</v>
      </c>
      <c r="AF112" s="1">
        <v>1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>
        <v>1014035067.63</v>
      </c>
      <c r="AV112" s="1">
        <v>1</v>
      </c>
      <c r="AW112" s="1" t="s">
        <v>26</v>
      </c>
      <c r="AX112" s="1" t="s">
        <v>26</v>
      </c>
      <c r="AY112" s="2">
        <v>7169641820.0100002</v>
      </c>
      <c r="AZ112" s="1">
        <v>1</v>
      </c>
      <c r="BA112" s="1" t="s">
        <v>26</v>
      </c>
      <c r="BB112" s="1" t="s">
        <v>26</v>
      </c>
    </row>
    <row r="113" spans="1:54" s="7" customFormat="1">
      <c r="A113" s="5" t="s">
        <v>94</v>
      </c>
      <c r="B113" s="24" t="s">
        <v>25</v>
      </c>
      <c r="C113" s="10" t="s">
        <v>26</v>
      </c>
      <c r="D113" s="11" t="s">
        <v>26</v>
      </c>
      <c r="E113" s="11" t="s">
        <v>26</v>
      </c>
      <c r="F113" s="11" t="s">
        <v>26</v>
      </c>
      <c r="G113" s="10">
        <v>500207445</v>
      </c>
      <c r="H113" s="11">
        <v>3.7702039235399999E-3</v>
      </c>
      <c r="I113" s="1" t="s">
        <v>26</v>
      </c>
      <c r="J113" s="1" t="s">
        <v>26</v>
      </c>
      <c r="K113" s="10" t="s">
        <v>26</v>
      </c>
      <c r="L113" s="11" t="s">
        <v>26</v>
      </c>
      <c r="M113" s="11" t="s">
        <v>26</v>
      </c>
      <c r="N113" s="11" t="s">
        <v>26</v>
      </c>
      <c r="O113" s="10">
        <v>693577639.09000003</v>
      </c>
      <c r="P113" s="11">
        <v>3.5127873163699999E-3</v>
      </c>
      <c r="Q113" s="11" t="s">
        <v>26</v>
      </c>
      <c r="R113" s="11" t="s">
        <v>26</v>
      </c>
      <c r="S113" s="10">
        <v>231295922.56999999</v>
      </c>
      <c r="T113" s="11">
        <v>2.3344157670300001E-3</v>
      </c>
      <c r="U113" s="1" t="s">
        <v>26</v>
      </c>
      <c r="V113" s="1" t="s">
        <v>26</v>
      </c>
      <c r="W113" s="10" t="s">
        <v>26</v>
      </c>
      <c r="X113" s="11" t="s">
        <v>26</v>
      </c>
      <c r="Y113" s="11" t="s">
        <v>26</v>
      </c>
      <c r="Z113" s="11" t="s">
        <v>26</v>
      </c>
      <c r="AA113" s="10">
        <v>750311167.5</v>
      </c>
      <c r="AB113" s="11">
        <v>6.1501741802299998E-3</v>
      </c>
      <c r="AC113" s="1" t="s">
        <v>26</v>
      </c>
      <c r="AD113" s="1" t="s">
        <v>26</v>
      </c>
      <c r="AE113" s="10">
        <v>2175392174.1599998</v>
      </c>
      <c r="AF113" s="11">
        <v>3.8567236246900001E-3</v>
      </c>
      <c r="AG113" s="1" t="s">
        <v>26</v>
      </c>
      <c r="AH113" s="1" t="s">
        <v>26</v>
      </c>
      <c r="AI113" s="10" t="s">
        <v>26</v>
      </c>
      <c r="AJ113" s="11" t="s">
        <v>26</v>
      </c>
      <c r="AK113" s="11" t="s">
        <v>26</v>
      </c>
      <c r="AL113" s="11" t="s">
        <v>26</v>
      </c>
      <c r="AM113" s="10" t="s">
        <v>26</v>
      </c>
      <c r="AN113" s="11" t="s">
        <v>26</v>
      </c>
      <c r="AO113" s="11" t="s">
        <v>26</v>
      </c>
      <c r="AP113" s="11" t="s">
        <v>26</v>
      </c>
      <c r="AQ113" s="10" t="s">
        <v>26</v>
      </c>
      <c r="AR113" s="11" t="s">
        <v>26</v>
      </c>
      <c r="AS113" s="11" t="s">
        <v>26</v>
      </c>
      <c r="AT113" s="11" t="s">
        <v>26</v>
      </c>
      <c r="AU113" s="10" t="s">
        <v>26</v>
      </c>
      <c r="AV113" s="11" t="s">
        <v>26</v>
      </c>
      <c r="AW113" s="1" t="s">
        <v>26</v>
      </c>
      <c r="AX113" s="1" t="s">
        <v>26</v>
      </c>
      <c r="AY113" s="10">
        <v>2175392174.1599998</v>
      </c>
      <c r="AZ113" s="11">
        <v>3.38803530092E-3</v>
      </c>
      <c r="BA113" s="1" t="s">
        <v>26</v>
      </c>
      <c r="BB113" s="1" t="s">
        <v>26</v>
      </c>
    </row>
    <row r="114" spans="1:54" s="7" customFormat="1">
      <c r="A114" s="3" t="s">
        <v>86</v>
      </c>
      <c r="B114" s="24" t="s">
        <v>46</v>
      </c>
      <c r="C114" s="2" t="s">
        <v>26</v>
      </c>
      <c r="D114" s="1" t="s">
        <v>26</v>
      </c>
      <c r="E114" s="1" t="s">
        <v>26</v>
      </c>
      <c r="F114" s="1" t="s">
        <v>26</v>
      </c>
      <c r="G114" s="2">
        <v>500207445</v>
      </c>
      <c r="H114" s="1">
        <v>1</v>
      </c>
      <c r="I114" s="1" t="s">
        <v>26</v>
      </c>
      <c r="J114" s="1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2">
        <v>693577639.09000003</v>
      </c>
      <c r="P114" s="1">
        <v>1</v>
      </c>
      <c r="Q114" s="11" t="s">
        <v>26</v>
      </c>
      <c r="R114" s="11" t="s">
        <v>26</v>
      </c>
      <c r="S114" s="2">
        <v>231295922.56999999</v>
      </c>
      <c r="T114" s="1">
        <v>1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2">
        <v>750311167.5</v>
      </c>
      <c r="AB114" s="23">
        <v>1</v>
      </c>
      <c r="AC114" s="1" t="s">
        <v>26</v>
      </c>
      <c r="AD114" s="1" t="s">
        <v>26</v>
      </c>
      <c r="AE114" s="2">
        <v>2175392174.1599998</v>
      </c>
      <c r="AF114" s="1">
        <v>1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2">
        <v>2175392174.1599998</v>
      </c>
      <c r="AZ114" s="1">
        <v>1</v>
      </c>
      <c r="BA114" s="1" t="s">
        <v>26</v>
      </c>
      <c r="BB114" s="1" t="s">
        <v>26</v>
      </c>
    </row>
    <row r="115" spans="1:54" s="7" customFormat="1">
      <c r="A115" s="5" t="s">
        <v>95</v>
      </c>
      <c r="B115" s="24" t="s">
        <v>25</v>
      </c>
      <c r="C115" s="10" t="s">
        <v>26</v>
      </c>
      <c r="D115" s="11" t="s">
        <v>26</v>
      </c>
      <c r="E115" s="11" t="s">
        <v>26</v>
      </c>
      <c r="F115" s="11" t="s">
        <v>26</v>
      </c>
      <c r="G115" s="10" t="s">
        <v>26</v>
      </c>
      <c r="H115" s="11" t="s">
        <v>26</v>
      </c>
      <c r="I115" s="1" t="s">
        <v>26</v>
      </c>
      <c r="J115" s="1" t="s">
        <v>26</v>
      </c>
      <c r="K115" s="10" t="s">
        <v>26</v>
      </c>
      <c r="L115" s="11" t="s">
        <v>26</v>
      </c>
      <c r="M115" s="11" t="s">
        <v>26</v>
      </c>
      <c r="N115" s="11" t="s">
        <v>26</v>
      </c>
      <c r="O115" s="10">
        <v>447230668.19999999</v>
      </c>
      <c r="P115" s="11">
        <v>2.26510505847E-3</v>
      </c>
      <c r="Q115" s="11" t="s">
        <v>26</v>
      </c>
      <c r="R115" s="11" t="s">
        <v>26</v>
      </c>
      <c r="S115" s="10" t="s">
        <v>26</v>
      </c>
      <c r="T115" s="11" t="s">
        <v>26</v>
      </c>
      <c r="U115" s="1" t="s">
        <v>26</v>
      </c>
      <c r="V115" s="1" t="s">
        <v>26</v>
      </c>
      <c r="W115" s="10" t="s">
        <v>26</v>
      </c>
      <c r="X115" s="11" t="s">
        <v>26</v>
      </c>
      <c r="Y115" s="11" t="s">
        <v>26</v>
      </c>
      <c r="Z115" s="11" t="s">
        <v>26</v>
      </c>
      <c r="AA115" s="10" t="s">
        <v>26</v>
      </c>
      <c r="AB115" s="11" t="s">
        <v>26</v>
      </c>
      <c r="AC115" s="1" t="s">
        <v>26</v>
      </c>
      <c r="AD115" s="1" t="s">
        <v>26</v>
      </c>
      <c r="AE115" s="10">
        <v>447230668.19999999</v>
      </c>
      <c r="AF115" s="11">
        <v>7.9288925658000005E-4</v>
      </c>
      <c r="AG115" s="1" t="s">
        <v>26</v>
      </c>
      <c r="AH115" s="1" t="s">
        <v>26</v>
      </c>
      <c r="AI115" s="10" t="s">
        <v>26</v>
      </c>
      <c r="AJ115" s="11" t="s">
        <v>26</v>
      </c>
      <c r="AK115" s="11" t="s">
        <v>26</v>
      </c>
      <c r="AL115" s="11" t="s">
        <v>26</v>
      </c>
      <c r="AM115" s="10" t="s">
        <v>26</v>
      </c>
      <c r="AN115" s="11" t="s">
        <v>26</v>
      </c>
      <c r="AO115" s="11" t="s">
        <v>26</v>
      </c>
      <c r="AP115" s="11" t="s">
        <v>26</v>
      </c>
      <c r="AQ115" s="10" t="s">
        <v>26</v>
      </c>
      <c r="AR115" s="11" t="s">
        <v>26</v>
      </c>
      <c r="AS115" s="11" t="s">
        <v>26</v>
      </c>
      <c r="AT115" s="11" t="s">
        <v>26</v>
      </c>
      <c r="AU115" s="10" t="s">
        <v>26</v>
      </c>
      <c r="AV115" s="11" t="s">
        <v>26</v>
      </c>
      <c r="AW115" s="11" t="s">
        <v>26</v>
      </c>
      <c r="AX115" s="11" t="s">
        <v>26</v>
      </c>
      <c r="AY115" s="10">
        <v>447230668.19999999</v>
      </c>
      <c r="AZ115" s="11">
        <v>6.9653339269999995E-4</v>
      </c>
      <c r="BA115" s="1" t="s">
        <v>26</v>
      </c>
      <c r="BB115" s="1" t="s">
        <v>26</v>
      </c>
    </row>
    <row r="116" spans="1:54" s="7" customFormat="1">
      <c r="A116" s="3" t="s">
        <v>86</v>
      </c>
      <c r="B116" s="24" t="s">
        <v>56</v>
      </c>
      <c r="C116" s="2" t="s">
        <v>26</v>
      </c>
      <c r="D116" s="1" t="s">
        <v>26</v>
      </c>
      <c r="E116" s="1" t="s">
        <v>26</v>
      </c>
      <c r="F116" s="1" t="s">
        <v>26</v>
      </c>
      <c r="G116" s="2" t="s">
        <v>26</v>
      </c>
      <c r="H116" s="1" t="s">
        <v>26</v>
      </c>
      <c r="I116" s="1" t="s">
        <v>26</v>
      </c>
      <c r="J116" s="1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2">
        <v>447230668.19999999</v>
      </c>
      <c r="P116" s="1">
        <v>1</v>
      </c>
      <c r="Q116" s="11" t="s">
        <v>26</v>
      </c>
      <c r="R116" s="11" t="s">
        <v>26</v>
      </c>
      <c r="S116" s="2" t="s">
        <v>26</v>
      </c>
      <c r="T116" s="1" t="s">
        <v>26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2">
        <v>447230668.19999999</v>
      </c>
      <c r="AF116" s="1">
        <v>1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 t="s">
        <v>26</v>
      </c>
      <c r="AV116" s="1" t="s">
        <v>26</v>
      </c>
      <c r="AW116" s="1" t="s">
        <v>26</v>
      </c>
      <c r="AX116" s="1" t="s">
        <v>26</v>
      </c>
      <c r="AY116" s="2">
        <v>447230668.19999999</v>
      </c>
      <c r="AZ116" s="1">
        <v>1</v>
      </c>
      <c r="BA116" s="1" t="s">
        <v>26</v>
      </c>
      <c r="BB116" s="1" t="s">
        <v>26</v>
      </c>
    </row>
    <row r="117" spans="1:54" s="7" customFormat="1">
      <c r="A117" s="5" t="s">
        <v>96</v>
      </c>
      <c r="B117" s="24" t="s">
        <v>25</v>
      </c>
      <c r="C117" s="10" t="s">
        <v>26</v>
      </c>
      <c r="D117" s="11" t="s">
        <v>26</v>
      </c>
      <c r="E117" s="11" t="s">
        <v>26</v>
      </c>
      <c r="F117" s="11" t="s">
        <v>26</v>
      </c>
      <c r="G117" s="10" t="s">
        <v>26</v>
      </c>
      <c r="H117" s="11" t="s">
        <v>26</v>
      </c>
      <c r="I117" s="1" t="s">
        <v>26</v>
      </c>
      <c r="J117" s="1" t="s">
        <v>26</v>
      </c>
      <c r="K117" s="10" t="s">
        <v>26</v>
      </c>
      <c r="L117" s="11" t="s">
        <v>26</v>
      </c>
      <c r="M117" s="11" t="s">
        <v>26</v>
      </c>
      <c r="N117" s="11" t="s">
        <v>26</v>
      </c>
      <c r="O117" s="10">
        <v>195980064.38</v>
      </c>
      <c r="P117" s="11">
        <v>9.9258719661000005E-4</v>
      </c>
      <c r="Q117" s="11" t="s">
        <v>26</v>
      </c>
      <c r="R117" s="11" t="s">
        <v>26</v>
      </c>
      <c r="S117" s="10" t="s">
        <v>26</v>
      </c>
      <c r="T117" s="11" t="s">
        <v>26</v>
      </c>
      <c r="U117" s="1" t="s">
        <v>26</v>
      </c>
      <c r="V117" s="1" t="s">
        <v>26</v>
      </c>
      <c r="W117" s="10" t="s">
        <v>26</v>
      </c>
      <c r="X117" s="11" t="s">
        <v>26</v>
      </c>
      <c r="Y117" s="11" t="s">
        <v>26</v>
      </c>
      <c r="Z117" s="11" t="s">
        <v>26</v>
      </c>
      <c r="AA117" s="10" t="s">
        <v>26</v>
      </c>
      <c r="AB117" s="11" t="s">
        <v>26</v>
      </c>
      <c r="AC117" s="11" t="s">
        <v>26</v>
      </c>
      <c r="AD117" s="11" t="s">
        <v>26</v>
      </c>
      <c r="AE117" s="10">
        <v>195980064.38</v>
      </c>
      <c r="AF117" s="11">
        <v>3.4745042905000003E-4</v>
      </c>
      <c r="AG117" s="1" t="s">
        <v>26</v>
      </c>
      <c r="AH117" s="1" t="s">
        <v>26</v>
      </c>
      <c r="AI117" s="10" t="s">
        <v>26</v>
      </c>
      <c r="AJ117" s="11" t="s">
        <v>26</v>
      </c>
      <c r="AK117" s="11" t="s">
        <v>26</v>
      </c>
      <c r="AL117" s="11" t="s">
        <v>26</v>
      </c>
      <c r="AM117" s="10" t="s">
        <v>26</v>
      </c>
      <c r="AN117" s="11" t="s">
        <v>26</v>
      </c>
      <c r="AO117" s="11" t="s">
        <v>26</v>
      </c>
      <c r="AP117" s="11" t="s">
        <v>26</v>
      </c>
      <c r="AQ117" s="10" t="s">
        <v>26</v>
      </c>
      <c r="AR117" s="11" t="s">
        <v>26</v>
      </c>
      <c r="AS117" s="11" t="s">
        <v>26</v>
      </c>
      <c r="AT117" s="11" t="s">
        <v>26</v>
      </c>
      <c r="AU117" s="10" t="s">
        <v>26</v>
      </c>
      <c r="AV117" s="11" t="s">
        <v>26</v>
      </c>
      <c r="AW117" s="11" t="s">
        <v>26</v>
      </c>
      <c r="AX117" s="11" t="s">
        <v>26</v>
      </c>
      <c r="AY117" s="10">
        <v>195980064.38</v>
      </c>
      <c r="AZ117" s="11">
        <v>3.0522651698999999E-4</v>
      </c>
      <c r="BA117" s="1" t="s">
        <v>26</v>
      </c>
      <c r="BB117" s="1" t="s">
        <v>26</v>
      </c>
    </row>
    <row r="118" spans="1:54" s="7" customFormat="1">
      <c r="A118" s="3" t="s">
        <v>86</v>
      </c>
      <c r="B118" s="24" t="s">
        <v>56</v>
      </c>
      <c r="C118" s="2" t="s">
        <v>26</v>
      </c>
      <c r="D118" s="1" t="s">
        <v>26</v>
      </c>
      <c r="E118" s="1" t="s">
        <v>26</v>
      </c>
      <c r="F118" s="1" t="s">
        <v>26</v>
      </c>
      <c r="G118" s="2" t="s">
        <v>26</v>
      </c>
      <c r="H118" s="1" t="s">
        <v>26</v>
      </c>
      <c r="I118" s="1" t="s">
        <v>26</v>
      </c>
      <c r="J118" s="1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2">
        <v>195980064.38</v>
      </c>
      <c r="P118" s="1">
        <v>1</v>
      </c>
      <c r="Q118" s="11" t="s">
        <v>26</v>
      </c>
      <c r="R118" s="11" t="s">
        <v>26</v>
      </c>
      <c r="S118" s="2" t="s">
        <v>26</v>
      </c>
      <c r="T118" s="1" t="s">
        <v>26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 t="s">
        <v>26</v>
      </c>
      <c r="AB118" s="1" t="s">
        <v>26</v>
      </c>
      <c r="AC118" s="1" t="s">
        <v>26</v>
      </c>
      <c r="AD118" s="1" t="s">
        <v>26</v>
      </c>
      <c r="AE118" s="2">
        <v>195980064.38</v>
      </c>
      <c r="AF118" s="1">
        <v>1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2" t="s">
        <v>26</v>
      </c>
      <c r="AV118" s="1" t="s">
        <v>26</v>
      </c>
      <c r="AW118" s="1" t="s">
        <v>26</v>
      </c>
      <c r="AX118" s="1" t="s">
        <v>26</v>
      </c>
      <c r="AY118" s="2">
        <v>195980064.38</v>
      </c>
      <c r="AZ118" s="1">
        <v>1</v>
      </c>
      <c r="BA118" s="1" t="s">
        <v>26</v>
      </c>
      <c r="BB118" s="1" t="s">
        <v>26</v>
      </c>
    </row>
    <row r="119" spans="1:54" s="7" customFormat="1">
      <c r="A119" s="5" t="s">
        <v>97</v>
      </c>
      <c r="B119" s="24" t="s">
        <v>25</v>
      </c>
      <c r="C119" s="10" t="s">
        <v>26</v>
      </c>
      <c r="D119" s="11" t="s">
        <v>26</v>
      </c>
      <c r="E119" s="11" t="s">
        <v>26</v>
      </c>
      <c r="F119" s="11" t="s">
        <v>26</v>
      </c>
      <c r="G119" s="10" t="s">
        <v>26</v>
      </c>
      <c r="H119" s="11" t="s">
        <v>26</v>
      </c>
      <c r="I119" s="11" t="s">
        <v>26</v>
      </c>
      <c r="J119" s="11" t="s">
        <v>26</v>
      </c>
      <c r="K119" s="10" t="s">
        <v>26</v>
      </c>
      <c r="L119" s="11" t="s">
        <v>26</v>
      </c>
      <c r="M119" s="11" t="s">
        <v>26</v>
      </c>
      <c r="N119" s="11" t="s">
        <v>26</v>
      </c>
      <c r="O119" s="10">
        <v>1684258155.99</v>
      </c>
      <c r="P119" s="11">
        <v>8.5303221361200006E-3</v>
      </c>
      <c r="Q119" s="11" t="s">
        <v>26</v>
      </c>
      <c r="R119" s="11" t="s">
        <v>26</v>
      </c>
      <c r="S119" s="10" t="s">
        <v>26</v>
      </c>
      <c r="T119" s="11" t="s">
        <v>26</v>
      </c>
      <c r="U119" s="1" t="s">
        <v>26</v>
      </c>
      <c r="V119" s="1" t="s">
        <v>26</v>
      </c>
      <c r="W119" s="10" t="s">
        <v>26</v>
      </c>
      <c r="X119" s="11" t="s">
        <v>26</v>
      </c>
      <c r="Y119" s="11" t="s">
        <v>26</v>
      </c>
      <c r="Z119" s="11" t="s">
        <v>26</v>
      </c>
      <c r="AA119" s="10" t="s">
        <v>26</v>
      </c>
      <c r="AB119" s="11" t="s">
        <v>26</v>
      </c>
      <c r="AC119" s="11" t="s">
        <v>26</v>
      </c>
      <c r="AD119" s="11" t="s">
        <v>26</v>
      </c>
      <c r="AE119" s="10">
        <v>1684258155.99</v>
      </c>
      <c r="AF119" s="11">
        <v>2.9859987074699998E-3</v>
      </c>
      <c r="AG119" s="1" t="s">
        <v>26</v>
      </c>
      <c r="AH119" s="1" t="s">
        <v>26</v>
      </c>
      <c r="AI119" s="10" t="s">
        <v>26</v>
      </c>
      <c r="AJ119" s="11" t="s">
        <v>26</v>
      </c>
      <c r="AK119" s="11" t="s">
        <v>26</v>
      </c>
      <c r="AL119" s="11" t="s">
        <v>26</v>
      </c>
      <c r="AM119" s="10" t="s">
        <v>26</v>
      </c>
      <c r="AN119" s="11" t="s">
        <v>26</v>
      </c>
      <c r="AO119" s="11" t="s">
        <v>26</v>
      </c>
      <c r="AP119" s="11" t="s">
        <v>26</v>
      </c>
      <c r="AQ119" s="10" t="s">
        <v>26</v>
      </c>
      <c r="AR119" s="11" t="s">
        <v>26</v>
      </c>
      <c r="AS119" s="11" t="s">
        <v>26</v>
      </c>
      <c r="AT119" s="11" t="s">
        <v>26</v>
      </c>
      <c r="AU119" s="10" t="s">
        <v>26</v>
      </c>
      <c r="AV119" s="11" t="s">
        <v>26</v>
      </c>
      <c r="AW119" s="11" t="s">
        <v>26</v>
      </c>
      <c r="AX119" s="11" t="s">
        <v>26</v>
      </c>
      <c r="AY119" s="10">
        <v>1684258155.99</v>
      </c>
      <c r="AZ119" s="11">
        <v>2.6231252259399998E-3</v>
      </c>
      <c r="BA119" s="1" t="s">
        <v>26</v>
      </c>
      <c r="BB119" s="1" t="s">
        <v>26</v>
      </c>
    </row>
    <row r="120" spans="1:54" s="7" customFormat="1">
      <c r="A120" s="3" t="s">
        <v>86</v>
      </c>
      <c r="B120" s="24" t="s">
        <v>46</v>
      </c>
      <c r="C120" s="2" t="s">
        <v>26</v>
      </c>
      <c r="D120" s="1" t="s">
        <v>26</v>
      </c>
      <c r="E120" s="1" t="s">
        <v>26</v>
      </c>
      <c r="F120" s="1" t="s">
        <v>26</v>
      </c>
      <c r="G120" s="2" t="s">
        <v>26</v>
      </c>
      <c r="H120" s="1" t="s">
        <v>26</v>
      </c>
      <c r="I120" s="1" t="s">
        <v>26</v>
      </c>
      <c r="J120" s="1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2">
        <v>1684258155.99</v>
      </c>
      <c r="P120" s="1">
        <v>1</v>
      </c>
      <c r="Q120" s="11" t="s">
        <v>26</v>
      </c>
      <c r="R120" s="11" t="s">
        <v>26</v>
      </c>
      <c r="S120" s="2" t="s">
        <v>26</v>
      </c>
      <c r="T120" s="1" t="s">
        <v>26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2" t="s">
        <v>26</v>
      </c>
      <c r="AB120" s="1" t="s">
        <v>26</v>
      </c>
      <c r="AC120" s="1" t="s">
        <v>26</v>
      </c>
      <c r="AD120" s="1" t="s">
        <v>26</v>
      </c>
      <c r="AE120" s="2">
        <v>1684258155.99</v>
      </c>
      <c r="AF120" s="1">
        <v>1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2">
        <v>1684258155.99</v>
      </c>
      <c r="AZ120" s="1">
        <v>1</v>
      </c>
      <c r="BA120" s="1" t="s">
        <v>26</v>
      </c>
      <c r="BB120" s="1" t="s">
        <v>26</v>
      </c>
    </row>
    <row r="121" spans="1:54" s="7" customFormat="1">
      <c r="A121" s="5" t="s">
        <v>98</v>
      </c>
      <c r="B121" s="24" t="s">
        <v>25</v>
      </c>
      <c r="C121" s="10" t="s">
        <v>26</v>
      </c>
      <c r="D121" s="11" t="s">
        <v>26</v>
      </c>
      <c r="E121" s="11" t="s">
        <v>26</v>
      </c>
      <c r="F121" s="11" t="s">
        <v>26</v>
      </c>
      <c r="G121" s="10" t="s">
        <v>26</v>
      </c>
      <c r="H121" s="11" t="s">
        <v>26</v>
      </c>
      <c r="I121" s="11" t="s">
        <v>26</v>
      </c>
      <c r="J121" s="11" t="s">
        <v>26</v>
      </c>
      <c r="K121" s="10" t="s">
        <v>26</v>
      </c>
      <c r="L121" s="11" t="s">
        <v>26</v>
      </c>
      <c r="M121" s="11" t="s">
        <v>26</v>
      </c>
      <c r="N121" s="11" t="s">
        <v>26</v>
      </c>
      <c r="O121" s="10">
        <v>571758797.5</v>
      </c>
      <c r="P121" s="11">
        <v>2.8958071002900001E-3</v>
      </c>
      <c r="Q121" s="11" t="s">
        <v>26</v>
      </c>
      <c r="R121" s="11" t="s">
        <v>26</v>
      </c>
      <c r="S121" s="10" t="s">
        <v>26</v>
      </c>
      <c r="T121" s="11" t="s">
        <v>26</v>
      </c>
      <c r="U121" s="1" t="s">
        <v>26</v>
      </c>
      <c r="V121" s="1" t="s">
        <v>26</v>
      </c>
      <c r="W121" s="10" t="s">
        <v>26</v>
      </c>
      <c r="X121" s="11" t="s">
        <v>26</v>
      </c>
      <c r="Y121" s="11" t="s">
        <v>26</v>
      </c>
      <c r="Z121" s="11" t="s">
        <v>26</v>
      </c>
      <c r="AA121" s="10" t="s">
        <v>26</v>
      </c>
      <c r="AB121" s="11" t="s">
        <v>26</v>
      </c>
      <c r="AC121" s="11" t="s">
        <v>26</v>
      </c>
      <c r="AD121" s="11" t="s">
        <v>26</v>
      </c>
      <c r="AE121" s="10">
        <v>571758797.5</v>
      </c>
      <c r="AF121" s="11">
        <v>1.0136635077299999E-3</v>
      </c>
      <c r="AG121" s="1" t="s">
        <v>26</v>
      </c>
      <c r="AH121" s="1" t="s">
        <v>26</v>
      </c>
      <c r="AI121" s="10" t="s">
        <v>26</v>
      </c>
      <c r="AJ121" s="11" t="s">
        <v>26</v>
      </c>
      <c r="AK121" s="11" t="s">
        <v>26</v>
      </c>
      <c r="AL121" s="11" t="s">
        <v>26</v>
      </c>
      <c r="AM121" s="10" t="s">
        <v>26</v>
      </c>
      <c r="AN121" s="11" t="s">
        <v>26</v>
      </c>
      <c r="AO121" s="11" t="s">
        <v>26</v>
      </c>
      <c r="AP121" s="11" t="s">
        <v>26</v>
      </c>
      <c r="AQ121" s="10" t="s">
        <v>26</v>
      </c>
      <c r="AR121" s="11" t="s">
        <v>26</v>
      </c>
      <c r="AS121" s="11" t="s">
        <v>26</v>
      </c>
      <c r="AT121" s="11" t="s">
        <v>26</v>
      </c>
      <c r="AU121" s="10" t="s">
        <v>26</v>
      </c>
      <c r="AV121" s="11" t="s">
        <v>26</v>
      </c>
      <c r="AW121" s="11" t="s">
        <v>26</v>
      </c>
      <c r="AX121" s="11" t="s">
        <v>26</v>
      </c>
      <c r="AY121" s="10">
        <v>571758797.5</v>
      </c>
      <c r="AZ121" s="11">
        <v>8.9047805381999999E-4</v>
      </c>
      <c r="BA121" s="1" t="s">
        <v>26</v>
      </c>
      <c r="BB121" s="1" t="s">
        <v>26</v>
      </c>
    </row>
    <row r="122" spans="1:54">
      <c r="A122" s="3" t="s">
        <v>86</v>
      </c>
      <c r="B122" s="24" t="s">
        <v>99</v>
      </c>
      <c r="C122" s="2" t="s">
        <v>26</v>
      </c>
      <c r="D122" s="1" t="s">
        <v>26</v>
      </c>
      <c r="E122" s="1" t="s">
        <v>26</v>
      </c>
      <c r="F122" s="1" t="s">
        <v>26</v>
      </c>
      <c r="G122" s="2" t="s">
        <v>26</v>
      </c>
      <c r="H122" s="1" t="s">
        <v>26</v>
      </c>
      <c r="I122" s="1" t="s">
        <v>26</v>
      </c>
      <c r="J122" s="1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2">
        <v>571758797.5</v>
      </c>
      <c r="P122" s="1">
        <v>1</v>
      </c>
      <c r="Q122" s="11" t="s">
        <v>26</v>
      </c>
      <c r="R122" s="1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2">
        <v>571758797.5</v>
      </c>
      <c r="AF122" s="1">
        <v>1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2">
        <v>571758797.5</v>
      </c>
      <c r="AZ122" s="1">
        <v>1</v>
      </c>
      <c r="BA122" s="1" t="s">
        <v>26</v>
      </c>
      <c r="BB122" s="1" t="s">
        <v>26</v>
      </c>
    </row>
    <row r="123" spans="1:54" s="7" customFormat="1">
      <c r="A123" s="13" t="s">
        <v>100</v>
      </c>
      <c r="B123" s="25" t="s">
        <v>25</v>
      </c>
      <c r="C123" s="55">
        <v>4866872922.04</v>
      </c>
      <c r="D123" s="56">
        <v>0.99980000000000002</v>
      </c>
      <c r="E123" s="56" t="s">
        <v>26</v>
      </c>
      <c r="F123" s="56" t="s">
        <v>26</v>
      </c>
      <c r="G123" s="55">
        <v>132673387143.06</v>
      </c>
      <c r="H123" s="56">
        <v>1</v>
      </c>
      <c r="I123" s="56" t="s">
        <v>26</v>
      </c>
      <c r="J123" s="56" t="s">
        <v>26</v>
      </c>
      <c r="K123" s="55">
        <v>2358058099.9099998</v>
      </c>
      <c r="L123" s="56">
        <v>0.99990000000000001</v>
      </c>
      <c r="M123" s="56" t="s">
        <v>26</v>
      </c>
      <c r="N123" s="56" t="s">
        <v>26</v>
      </c>
      <c r="O123" s="55">
        <v>197443493944.67001</v>
      </c>
      <c r="P123" s="56">
        <v>1</v>
      </c>
      <c r="Q123" s="56" t="s">
        <v>26</v>
      </c>
      <c r="R123" s="56" t="s">
        <v>26</v>
      </c>
      <c r="S123" s="55">
        <v>99080651334.809998</v>
      </c>
      <c r="T123" s="56">
        <v>1</v>
      </c>
      <c r="U123" s="56" t="s">
        <v>26</v>
      </c>
      <c r="V123" s="56" t="s">
        <v>26</v>
      </c>
      <c r="W123" s="55">
        <v>5629010046.21</v>
      </c>
      <c r="X123" s="56">
        <v>1</v>
      </c>
      <c r="Y123" s="56" t="s">
        <v>26</v>
      </c>
      <c r="Z123" s="56" t="s">
        <v>26</v>
      </c>
      <c r="AA123" s="55">
        <v>121998169754.24001</v>
      </c>
      <c r="AB123" s="56">
        <v>1</v>
      </c>
      <c r="AC123" s="56" t="s">
        <v>26</v>
      </c>
      <c r="AD123" s="56" t="s">
        <v>26</v>
      </c>
      <c r="AE123" s="55">
        <v>564049643244.93994</v>
      </c>
      <c r="AF123" s="56">
        <v>1</v>
      </c>
      <c r="AG123" s="56" t="s">
        <v>26</v>
      </c>
      <c r="AH123" s="56" t="s">
        <v>26</v>
      </c>
      <c r="AI123" s="55">
        <v>15603987707.389999</v>
      </c>
      <c r="AJ123" s="56">
        <v>1</v>
      </c>
      <c r="AK123" s="56" t="s">
        <v>26</v>
      </c>
      <c r="AL123" s="56" t="s">
        <v>26</v>
      </c>
      <c r="AM123" s="55">
        <v>22781397684.77</v>
      </c>
      <c r="AN123" s="56">
        <v>0.99990000000000001</v>
      </c>
      <c r="AO123" s="56" t="s">
        <v>26</v>
      </c>
      <c r="AP123" s="56" t="s">
        <v>26</v>
      </c>
      <c r="AQ123" s="55">
        <v>38385385392.160004</v>
      </c>
      <c r="AR123" s="56">
        <v>1</v>
      </c>
      <c r="AS123" s="56" t="s">
        <v>26</v>
      </c>
      <c r="AT123" s="56" t="s">
        <v>26</v>
      </c>
      <c r="AU123" s="55">
        <v>39641450747.389999</v>
      </c>
      <c r="AV123" s="56">
        <v>1</v>
      </c>
      <c r="AW123" s="56" t="s">
        <v>26</v>
      </c>
      <c r="AX123" s="56" t="s">
        <v>26</v>
      </c>
      <c r="AY123" s="55">
        <v>642076479384.48999</v>
      </c>
      <c r="AZ123" s="56">
        <v>1</v>
      </c>
      <c r="BA123" s="56" t="s">
        <v>26</v>
      </c>
      <c r="BB123" s="56" t="s">
        <v>26</v>
      </c>
    </row>
    <row r="124" spans="1:54" s="7" customFormat="1">
      <c r="A124" s="5" t="s">
        <v>101</v>
      </c>
      <c r="B124" s="24" t="s">
        <v>25</v>
      </c>
      <c r="C124" s="10">
        <v>900180.37</v>
      </c>
      <c r="D124" s="11">
        <v>2.0000000000000001E-4</v>
      </c>
      <c r="E124" s="11" t="s">
        <v>26</v>
      </c>
      <c r="F124" s="11" t="s">
        <v>26</v>
      </c>
      <c r="G124" s="10">
        <v>456273.37</v>
      </c>
      <c r="H124" s="11">
        <v>0</v>
      </c>
      <c r="I124" s="11" t="s">
        <v>26</v>
      </c>
      <c r="J124" s="11" t="s">
        <v>26</v>
      </c>
      <c r="K124" s="10">
        <v>173624.11</v>
      </c>
      <c r="L124" s="11">
        <v>1E-4</v>
      </c>
      <c r="M124" s="11" t="s">
        <v>26</v>
      </c>
      <c r="N124" s="11" t="s">
        <v>26</v>
      </c>
      <c r="O124" s="10">
        <v>181582.88</v>
      </c>
      <c r="P124" s="11">
        <v>0</v>
      </c>
      <c r="Q124" s="11" t="s">
        <v>26</v>
      </c>
      <c r="R124" s="11" t="s">
        <v>26</v>
      </c>
      <c r="S124" s="10">
        <v>208997.22</v>
      </c>
      <c r="T124" s="11">
        <v>0</v>
      </c>
      <c r="U124" s="11" t="s">
        <v>26</v>
      </c>
      <c r="V124" s="11" t="s">
        <v>26</v>
      </c>
      <c r="W124" s="10">
        <v>115643.43</v>
      </c>
      <c r="X124" s="11">
        <v>0</v>
      </c>
      <c r="Y124" s="11" t="s">
        <v>26</v>
      </c>
      <c r="Z124" s="11" t="s">
        <v>26</v>
      </c>
      <c r="AA124" s="10">
        <v>190863.16</v>
      </c>
      <c r="AB124" s="11">
        <v>0</v>
      </c>
      <c r="AC124" s="11" t="s">
        <v>26</v>
      </c>
      <c r="AD124" s="11" t="s">
        <v>26</v>
      </c>
      <c r="AE124" s="10">
        <v>2227164.54</v>
      </c>
      <c r="AF124" s="11">
        <v>0</v>
      </c>
      <c r="AG124" s="11" t="s">
        <v>26</v>
      </c>
      <c r="AH124" s="11" t="s">
        <v>26</v>
      </c>
      <c r="AI124" s="10">
        <v>205023.32</v>
      </c>
      <c r="AJ124" s="11">
        <v>0</v>
      </c>
      <c r="AK124" s="11" t="s">
        <v>26</v>
      </c>
      <c r="AL124" s="11" t="s">
        <v>26</v>
      </c>
      <c r="AM124" s="10">
        <v>1588374.44</v>
      </c>
      <c r="AN124" s="11">
        <v>1E-4</v>
      </c>
      <c r="AO124" s="11" t="s">
        <v>26</v>
      </c>
      <c r="AP124" s="11" t="s">
        <v>26</v>
      </c>
      <c r="AQ124" s="10">
        <v>1793397.76</v>
      </c>
      <c r="AR124" s="11">
        <v>0</v>
      </c>
      <c r="AS124" s="11" t="s">
        <v>26</v>
      </c>
      <c r="AT124" s="11" t="s">
        <v>26</v>
      </c>
      <c r="AU124" s="10">
        <v>228542.43</v>
      </c>
      <c r="AV124" s="11">
        <v>0</v>
      </c>
      <c r="AW124" s="11" t="s">
        <v>26</v>
      </c>
      <c r="AX124" s="11" t="s">
        <v>26</v>
      </c>
      <c r="AY124" s="10">
        <v>4249104.7300000004</v>
      </c>
      <c r="AZ124" s="11">
        <v>0</v>
      </c>
      <c r="BA124" s="11" t="s">
        <v>26</v>
      </c>
      <c r="BB124" s="11" t="s">
        <v>26</v>
      </c>
    </row>
    <row r="125" spans="1:54">
      <c r="A125" s="13" t="s">
        <v>102</v>
      </c>
      <c r="B125" s="25" t="s">
        <v>25</v>
      </c>
      <c r="C125" s="55">
        <v>4867773102.4099998</v>
      </c>
      <c r="D125" s="56">
        <v>1</v>
      </c>
      <c r="E125" s="56" t="s">
        <v>26</v>
      </c>
      <c r="F125" s="56" t="s">
        <v>26</v>
      </c>
      <c r="G125" s="55">
        <v>132673843416.42999</v>
      </c>
      <c r="H125" s="56">
        <v>1</v>
      </c>
      <c r="I125" s="56" t="s">
        <v>26</v>
      </c>
      <c r="J125" s="56" t="s">
        <v>26</v>
      </c>
      <c r="K125" s="55">
        <v>2358231724.02</v>
      </c>
      <c r="L125" s="56">
        <v>1</v>
      </c>
      <c r="M125" s="56" t="s">
        <v>26</v>
      </c>
      <c r="N125" s="56" t="s">
        <v>26</v>
      </c>
      <c r="O125" s="55">
        <v>197443675527.54999</v>
      </c>
      <c r="P125" s="56">
        <v>1</v>
      </c>
      <c r="Q125" s="56" t="s">
        <v>26</v>
      </c>
      <c r="R125" s="56" t="s">
        <v>26</v>
      </c>
      <c r="S125" s="55">
        <v>99080860332.029999</v>
      </c>
      <c r="T125" s="56">
        <v>1</v>
      </c>
      <c r="U125" s="56" t="s">
        <v>26</v>
      </c>
      <c r="V125" s="56" t="s">
        <v>26</v>
      </c>
      <c r="W125" s="55">
        <v>5629125689.6400003</v>
      </c>
      <c r="X125" s="56">
        <v>1</v>
      </c>
      <c r="Y125" s="56" t="s">
        <v>26</v>
      </c>
      <c r="Z125" s="56" t="s">
        <v>26</v>
      </c>
      <c r="AA125" s="55">
        <v>121998360617.39999</v>
      </c>
      <c r="AB125" s="56">
        <v>1</v>
      </c>
      <c r="AC125" s="56" t="s">
        <v>26</v>
      </c>
      <c r="AD125" s="56" t="s">
        <v>26</v>
      </c>
      <c r="AE125" s="55">
        <v>564051870409.47998</v>
      </c>
      <c r="AF125" s="56">
        <v>1</v>
      </c>
      <c r="AG125" s="56" t="s">
        <v>26</v>
      </c>
      <c r="AH125" s="56" t="s">
        <v>26</v>
      </c>
      <c r="AI125" s="55">
        <v>15604192730.709999</v>
      </c>
      <c r="AJ125" s="56">
        <v>1</v>
      </c>
      <c r="AK125" s="56" t="s">
        <v>26</v>
      </c>
      <c r="AL125" s="56" t="s">
        <v>26</v>
      </c>
      <c r="AM125" s="55">
        <v>22782986059.209999</v>
      </c>
      <c r="AN125" s="56">
        <v>1</v>
      </c>
      <c r="AO125" s="56" t="s">
        <v>26</v>
      </c>
      <c r="AP125" s="56" t="s">
        <v>26</v>
      </c>
      <c r="AQ125" s="55">
        <v>38387178789.919998</v>
      </c>
      <c r="AR125" s="56">
        <v>1</v>
      </c>
      <c r="AS125" s="56" t="s">
        <v>26</v>
      </c>
      <c r="AT125" s="56" t="s">
        <v>26</v>
      </c>
      <c r="AU125" s="55">
        <v>39641679289.82</v>
      </c>
      <c r="AV125" s="56">
        <v>1</v>
      </c>
      <c r="AW125" s="56" t="s">
        <v>26</v>
      </c>
      <c r="AX125" s="56" t="s">
        <v>26</v>
      </c>
      <c r="AY125" s="55">
        <v>642080728489.21997</v>
      </c>
      <c r="AZ125" s="56">
        <v>1</v>
      </c>
      <c r="BA125" s="56" t="s">
        <v>26</v>
      </c>
      <c r="BB125" s="56" t="s">
        <v>26</v>
      </c>
    </row>
    <row r="127" spans="1:54">
      <c r="A127" s="18" t="s">
        <v>103</v>
      </c>
      <c r="AZ127" s="21"/>
    </row>
    <row r="128" spans="1:54">
      <c r="A128" s="18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31"/>
  <sheetViews>
    <sheetView zoomScaleNormal="100" workbookViewId="0">
      <pane xSplit="2" ySplit="7" topLeftCell="C8" activePane="bottomRight" state="frozen"/>
      <selection pane="bottomRight" activeCell="A116" sqref="A116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.28515625" style="9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0.28515625" style="9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42578125" style="9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104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1808529469.4100001</v>
      </c>
      <c r="D8" s="56">
        <v>0.35462130752837001</v>
      </c>
      <c r="E8" s="56" t="s">
        <v>26</v>
      </c>
      <c r="F8" s="56" t="s">
        <v>26</v>
      </c>
      <c r="G8" s="55">
        <v>50253142090.339996</v>
      </c>
      <c r="H8" s="56">
        <v>0.37327986621036002</v>
      </c>
      <c r="I8" s="56" t="s">
        <v>26</v>
      </c>
      <c r="J8" s="56" t="s">
        <v>26</v>
      </c>
      <c r="K8" s="55">
        <v>747973255.75999999</v>
      </c>
      <c r="L8" s="56">
        <v>0.30609664099818001</v>
      </c>
      <c r="M8" s="56" t="s">
        <v>26</v>
      </c>
      <c r="N8" s="56" t="s">
        <v>26</v>
      </c>
      <c r="O8" s="55">
        <v>62408657778.059998</v>
      </c>
      <c r="P8" s="56">
        <v>0.31135473712523998</v>
      </c>
      <c r="Q8" s="56" t="s">
        <v>26</v>
      </c>
      <c r="R8" s="56" t="s">
        <v>26</v>
      </c>
      <c r="S8" s="55">
        <v>36615040259.889999</v>
      </c>
      <c r="T8" s="56">
        <v>0.36505084740336002</v>
      </c>
      <c r="U8" s="56" t="s">
        <v>26</v>
      </c>
      <c r="V8" s="56" t="s">
        <v>26</v>
      </c>
      <c r="W8" s="55">
        <v>1606655542.76</v>
      </c>
      <c r="X8" s="56">
        <v>0.28205114012010002</v>
      </c>
      <c r="Y8" s="56" t="s">
        <v>26</v>
      </c>
      <c r="Z8" s="56" t="s">
        <v>26</v>
      </c>
      <c r="AA8" s="55">
        <v>48505996011.709999</v>
      </c>
      <c r="AB8" s="56">
        <v>0.39241113097626001</v>
      </c>
      <c r="AC8" s="56" t="s">
        <v>26</v>
      </c>
      <c r="AD8" s="56" t="s">
        <v>26</v>
      </c>
      <c r="AE8" s="55">
        <v>201945994407.92999</v>
      </c>
      <c r="AF8" s="56">
        <v>0.35291709773879998</v>
      </c>
      <c r="AG8" s="56" t="s">
        <v>26</v>
      </c>
      <c r="AH8" s="56" t="s">
        <v>26</v>
      </c>
      <c r="AI8" s="55">
        <v>6030924781.2200003</v>
      </c>
      <c r="AJ8" s="56">
        <v>0.38343927058590999</v>
      </c>
      <c r="AK8" s="56" t="s">
        <v>26</v>
      </c>
      <c r="AL8" s="56" t="s">
        <v>26</v>
      </c>
      <c r="AM8" s="55">
        <v>5049375159.7399998</v>
      </c>
      <c r="AN8" s="56">
        <v>0.22008814792668999</v>
      </c>
      <c r="AO8" s="56" t="s">
        <v>26</v>
      </c>
      <c r="AP8" s="56" t="s">
        <v>26</v>
      </c>
      <c r="AQ8" s="55">
        <v>11080299940.959999</v>
      </c>
      <c r="AR8" s="56">
        <v>0.28652727113804999</v>
      </c>
      <c r="AS8" s="56" t="s">
        <v>26</v>
      </c>
      <c r="AT8" s="56" t="s">
        <v>26</v>
      </c>
      <c r="AU8" s="55">
        <v>15359097533.719999</v>
      </c>
      <c r="AV8" s="56">
        <v>0.38243023672528997</v>
      </c>
      <c r="AW8" s="56" t="s">
        <v>26</v>
      </c>
      <c r="AX8" s="56" t="s">
        <v>26</v>
      </c>
      <c r="AY8" s="55">
        <v>228385391882.60999</v>
      </c>
      <c r="AZ8" s="56">
        <v>0.35079428753141001</v>
      </c>
      <c r="BA8" s="56" t="s">
        <v>26</v>
      </c>
      <c r="BB8" s="56" t="s">
        <v>26</v>
      </c>
    </row>
    <row r="9" spans="1:54" s="7" customFormat="1">
      <c r="A9" s="5" t="s">
        <v>27</v>
      </c>
      <c r="B9" s="24" t="s">
        <v>25</v>
      </c>
      <c r="C9" s="10">
        <v>1808529469.4100001</v>
      </c>
      <c r="D9" s="11">
        <v>0.35462130752837001</v>
      </c>
      <c r="E9" s="11">
        <v>0.5</v>
      </c>
      <c r="F9" s="11">
        <v>0.1454</v>
      </c>
      <c r="G9" s="10">
        <v>50253142090.339996</v>
      </c>
      <c r="H9" s="11">
        <v>0.37327986621036002</v>
      </c>
      <c r="I9" s="11">
        <v>0.5</v>
      </c>
      <c r="J9" s="11">
        <v>0.12670000000000001</v>
      </c>
      <c r="K9" s="10">
        <v>747973255.75999999</v>
      </c>
      <c r="L9" s="11">
        <v>0.30609664099818001</v>
      </c>
      <c r="M9" s="11">
        <v>0.5</v>
      </c>
      <c r="N9" s="11">
        <v>0.19389999999999999</v>
      </c>
      <c r="O9" s="10">
        <v>62408657778.059998</v>
      </c>
      <c r="P9" s="11">
        <v>0.31135473712523998</v>
      </c>
      <c r="Q9" s="11">
        <v>0.5</v>
      </c>
      <c r="R9" s="11">
        <v>0.18859999999999999</v>
      </c>
      <c r="S9" s="10">
        <v>36615040259.889999</v>
      </c>
      <c r="T9" s="11">
        <v>0.36505084740336002</v>
      </c>
      <c r="U9" s="11">
        <v>0.5</v>
      </c>
      <c r="V9" s="11">
        <v>0.13489999999999999</v>
      </c>
      <c r="W9" s="10">
        <v>1606655542.76</v>
      </c>
      <c r="X9" s="11">
        <v>0.28205114012010002</v>
      </c>
      <c r="Y9" s="11">
        <v>0.5</v>
      </c>
      <c r="Z9" s="11">
        <v>0.21790000000000001</v>
      </c>
      <c r="AA9" s="10">
        <v>48505996011.709999</v>
      </c>
      <c r="AB9" s="11">
        <v>0.39241113097626001</v>
      </c>
      <c r="AC9" s="11">
        <v>0.5</v>
      </c>
      <c r="AD9" s="11">
        <v>0.1076</v>
      </c>
      <c r="AE9" s="10">
        <v>201945994407.92999</v>
      </c>
      <c r="AF9" s="11">
        <v>0.35291709773879998</v>
      </c>
      <c r="AG9" s="11">
        <v>0.5</v>
      </c>
      <c r="AH9" s="11">
        <v>0.14710000000000001</v>
      </c>
      <c r="AI9" s="10">
        <v>6030924781.2200003</v>
      </c>
      <c r="AJ9" s="11">
        <v>0.38343927058590999</v>
      </c>
      <c r="AK9" s="11">
        <v>0.5</v>
      </c>
      <c r="AL9" s="11">
        <v>0.1166</v>
      </c>
      <c r="AM9" s="10">
        <v>5049375159.7399998</v>
      </c>
      <c r="AN9" s="11">
        <v>0.22008814792668999</v>
      </c>
      <c r="AO9" s="11">
        <v>0.5</v>
      </c>
      <c r="AP9" s="11">
        <v>0.27989999999999998</v>
      </c>
      <c r="AQ9" s="10">
        <v>11080299940.959999</v>
      </c>
      <c r="AR9" s="11">
        <v>0.28652727113804999</v>
      </c>
      <c r="AS9" s="11">
        <v>0.5</v>
      </c>
      <c r="AT9" s="11">
        <v>0.2135</v>
      </c>
      <c r="AU9" s="10">
        <v>15359097533.719999</v>
      </c>
      <c r="AV9" s="11">
        <v>0.38243023672528997</v>
      </c>
      <c r="AW9" s="11">
        <v>0.5</v>
      </c>
      <c r="AX9" s="11">
        <v>0.1176</v>
      </c>
      <c r="AY9" s="10">
        <v>228385391882.60999</v>
      </c>
      <c r="AZ9" s="11">
        <v>0.35079428753141001</v>
      </c>
      <c r="BA9" s="11">
        <v>0.5</v>
      </c>
      <c r="BB9" s="11">
        <v>0.1492</v>
      </c>
    </row>
    <row r="10" spans="1:54">
      <c r="A10" s="3" t="s">
        <v>28</v>
      </c>
      <c r="B10" s="24" t="s">
        <v>29</v>
      </c>
      <c r="C10" s="2">
        <v>1808529469.4100001</v>
      </c>
      <c r="D10" s="1">
        <v>1</v>
      </c>
      <c r="E10" s="1" t="s">
        <v>26</v>
      </c>
      <c r="F10" s="1" t="s">
        <v>26</v>
      </c>
      <c r="G10" s="2">
        <v>50253142090.339996</v>
      </c>
      <c r="H10" s="1">
        <v>1</v>
      </c>
      <c r="I10" s="1" t="s">
        <v>26</v>
      </c>
      <c r="J10" s="1" t="s">
        <v>26</v>
      </c>
      <c r="K10" s="2">
        <v>747973255.75999999</v>
      </c>
      <c r="L10" s="1">
        <v>1</v>
      </c>
      <c r="M10" s="1" t="s">
        <v>26</v>
      </c>
      <c r="N10" s="1" t="s">
        <v>26</v>
      </c>
      <c r="O10" s="2">
        <v>62408657778.059998</v>
      </c>
      <c r="P10" s="1">
        <v>1</v>
      </c>
      <c r="Q10" s="1" t="s">
        <v>26</v>
      </c>
      <c r="R10" s="1" t="s">
        <v>26</v>
      </c>
      <c r="S10" s="2">
        <v>36615040259.889999</v>
      </c>
      <c r="T10" s="1">
        <v>1</v>
      </c>
      <c r="U10" s="1" t="s">
        <v>26</v>
      </c>
      <c r="V10" s="1" t="s">
        <v>26</v>
      </c>
      <c r="W10" s="2">
        <v>1606655542.76</v>
      </c>
      <c r="X10" s="1">
        <v>1</v>
      </c>
      <c r="Y10" s="1" t="s">
        <v>26</v>
      </c>
      <c r="Z10" s="1" t="s">
        <v>26</v>
      </c>
      <c r="AA10" s="2">
        <v>48505996011.709999</v>
      </c>
      <c r="AB10" s="1">
        <v>1</v>
      </c>
      <c r="AC10" s="1" t="s">
        <v>26</v>
      </c>
      <c r="AD10" s="1" t="s">
        <v>26</v>
      </c>
      <c r="AE10" s="2">
        <v>201945994407.92999</v>
      </c>
      <c r="AF10" s="1">
        <v>1</v>
      </c>
      <c r="AG10" s="1" t="s">
        <v>26</v>
      </c>
      <c r="AH10" s="1" t="s">
        <v>26</v>
      </c>
      <c r="AI10" s="2">
        <v>6030924781.2200003</v>
      </c>
      <c r="AJ10" s="1">
        <v>1</v>
      </c>
      <c r="AK10" s="1" t="s">
        <v>26</v>
      </c>
      <c r="AL10" s="1" t="s">
        <v>26</v>
      </c>
      <c r="AM10" s="2">
        <v>5049375159.7399998</v>
      </c>
      <c r="AN10" s="1">
        <v>1</v>
      </c>
      <c r="AO10" s="1" t="s">
        <v>26</v>
      </c>
      <c r="AP10" s="1" t="s">
        <v>26</v>
      </c>
      <c r="AQ10" s="2">
        <v>11080299940.959999</v>
      </c>
      <c r="AR10" s="1">
        <v>1</v>
      </c>
      <c r="AS10" s="1" t="s">
        <v>26</v>
      </c>
      <c r="AT10" s="1" t="s">
        <v>26</v>
      </c>
      <c r="AU10" s="2">
        <v>15359097533.719999</v>
      </c>
      <c r="AV10" s="1">
        <v>1</v>
      </c>
      <c r="AW10" s="1" t="s">
        <v>26</v>
      </c>
      <c r="AX10" s="1" t="s">
        <v>26</v>
      </c>
      <c r="AY10" s="2">
        <v>228385391882.60999</v>
      </c>
      <c r="AZ10" s="1">
        <v>1</v>
      </c>
      <c r="BA10" s="1" t="s">
        <v>26</v>
      </c>
      <c r="BB10" s="1" t="s">
        <v>26</v>
      </c>
    </row>
    <row r="11" spans="1:54">
      <c r="A11" s="13" t="s">
        <v>30</v>
      </c>
      <c r="B11" s="25" t="s">
        <v>25</v>
      </c>
      <c r="C11" s="55">
        <v>2210319060.4899998</v>
      </c>
      <c r="D11" s="56">
        <v>0.43340528785608001</v>
      </c>
      <c r="E11" s="56" t="s">
        <v>26</v>
      </c>
      <c r="F11" s="56" t="s">
        <v>26</v>
      </c>
      <c r="G11" s="55">
        <v>56317561772</v>
      </c>
      <c r="H11" s="56">
        <v>0.41832631849675</v>
      </c>
      <c r="I11" s="56" t="s">
        <v>26</v>
      </c>
      <c r="J11" s="56" t="s">
        <v>26</v>
      </c>
      <c r="K11" s="55">
        <v>740771818.13</v>
      </c>
      <c r="L11" s="56">
        <v>0.30314956254059999</v>
      </c>
      <c r="M11" s="56" t="s">
        <v>26</v>
      </c>
      <c r="N11" s="56" t="s">
        <v>26</v>
      </c>
      <c r="O11" s="55">
        <v>88890368817.809998</v>
      </c>
      <c r="P11" s="56">
        <v>0.44347112086048002</v>
      </c>
      <c r="Q11" s="56" t="s">
        <v>26</v>
      </c>
      <c r="R11" s="56" t="s">
        <v>26</v>
      </c>
      <c r="S11" s="55">
        <v>37219918743.559998</v>
      </c>
      <c r="T11" s="56">
        <v>0.37108146764774003</v>
      </c>
      <c r="U11" s="56" t="s">
        <v>26</v>
      </c>
      <c r="V11" s="56" t="s">
        <v>26</v>
      </c>
      <c r="W11" s="55">
        <v>2547577135.3099999</v>
      </c>
      <c r="X11" s="56">
        <v>0.44723154181744001</v>
      </c>
      <c r="Y11" s="56" t="s">
        <v>26</v>
      </c>
      <c r="Z11" s="56" t="s">
        <v>26</v>
      </c>
      <c r="AA11" s="55">
        <v>49994277793.209999</v>
      </c>
      <c r="AB11" s="56">
        <v>0.40445125766387002</v>
      </c>
      <c r="AC11" s="56" t="s">
        <v>26</v>
      </c>
      <c r="AD11" s="56" t="s">
        <v>26</v>
      </c>
      <c r="AE11" s="55">
        <v>237920795140.51001</v>
      </c>
      <c r="AF11" s="56">
        <v>0.41578599644359998</v>
      </c>
      <c r="AG11" s="56" t="s">
        <v>26</v>
      </c>
      <c r="AH11" s="56" t="s">
        <v>26</v>
      </c>
      <c r="AI11" s="55">
        <v>6520862508.4200001</v>
      </c>
      <c r="AJ11" s="56">
        <v>0.41458894854824002</v>
      </c>
      <c r="AK11" s="56" t="s">
        <v>26</v>
      </c>
      <c r="AL11" s="56" t="s">
        <v>26</v>
      </c>
      <c r="AM11" s="55">
        <v>11354648472.52</v>
      </c>
      <c r="AN11" s="56">
        <v>0.49491738554128001</v>
      </c>
      <c r="AO11" s="56" t="s">
        <v>26</v>
      </c>
      <c r="AP11" s="56" t="s">
        <v>26</v>
      </c>
      <c r="AQ11" s="55">
        <v>17875510980.939999</v>
      </c>
      <c r="AR11" s="56">
        <v>0.46224573421819998</v>
      </c>
      <c r="AS11" s="56" t="s">
        <v>26</v>
      </c>
      <c r="AT11" s="56" t="s">
        <v>26</v>
      </c>
      <c r="AU11" s="55">
        <v>15539609926.74</v>
      </c>
      <c r="AV11" s="56">
        <v>0.38692486260046999</v>
      </c>
      <c r="AW11" s="56" t="s">
        <v>26</v>
      </c>
      <c r="AX11" s="56" t="s">
        <v>26</v>
      </c>
      <c r="AY11" s="55">
        <v>271335916048.19</v>
      </c>
      <c r="AZ11" s="56">
        <v>0.41676522551290002</v>
      </c>
      <c r="BA11" s="56" t="s">
        <v>26</v>
      </c>
      <c r="BB11" s="56" t="s">
        <v>26</v>
      </c>
    </row>
    <row r="12" spans="1:54" s="7" customFormat="1">
      <c r="A12" s="5" t="s">
        <v>31</v>
      </c>
      <c r="B12" s="24" t="s">
        <v>25</v>
      </c>
      <c r="C12" s="10">
        <v>2210319060.4899998</v>
      </c>
      <c r="D12" s="11">
        <v>0.43340528785608001</v>
      </c>
      <c r="E12" s="11">
        <v>0.5</v>
      </c>
      <c r="F12" s="11">
        <v>6.6600000000000006E-2</v>
      </c>
      <c r="G12" s="10">
        <v>56317561772</v>
      </c>
      <c r="H12" s="11">
        <v>0.41832631849675</v>
      </c>
      <c r="I12" s="11">
        <v>0.5</v>
      </c>
      <c r="J12" s="11">
        <v>8.1699999999999995E-2</v>
      </c>
      <c r="K12" s="10">
        <v>740771818.13</v>
      </c>
      <c r="L12" s="11">
        <v>0.30314956254059999</v>
      </c>
      <c r="M12" s="11">
        <v>0.5</v>
      </c>
      <c r="N12" s="11">
        <v>0.19689999999999999</v>
      </c>
      <c r="O12" s="10">
        <v>88890368817.809998</v>
      </c>
      <c r="P12" s="11">
        <v>0.44347112086048002</v>
      </c>
      <c r="Q12" s="11">
        <v>0.5</v>
      </c>
      <c r="R12" s="11">
        <v>5.6500000000000002E-2</v>
      </c>
      <c r="S12" s="10">
        <v>37219918743.559998</v>
      </c>
      <c r="T12" s="11">
        <v>0.37108146764774003</v>
      </c>
      <c r="U12" s="11">
        <v>0.5</v>
      </c>
      <c r="V12" s="11">
        <v>0.12889999999999999</v>
      </c>
      <c r="W12" s="10">
        <v>2547577135.3099999</v>
      </c>
      <c r="X12" s="11">
        <v>0.44723154181744001</v>
      </c>
      <c r="Y12" s="11">
        <v>0.5</v>
      </c>
      <c r="Z12" s="11">
        <v>5.28E-2</v>
      </c>
      <c r="AA12" s="10">
        <v>49994277793.209999</v>
      </c>
      <c r="AB12" s="11">
        <v>0.40445125766387002</v>
      </c>
      <c r="AC12" s="11">
        <v>0.5</v>
      </c>
      <c r="AD12" s="11">
        <v>9.5500000000000002E-2</v>
      </c>
      <c r="AE12" s="10">
        <v>237920795140.51001</v>
      </c>
      <c r="AF12" s="11">
        <v>0.41578599644359998</v>
      </c>
      <c r="AG12" s="11">
        <v>0.5</v>
      </c>
      <c r="AH12" s="11">
        <v>8.4199999999999997E-2</v>
      </c>
      <c r="AI12" s="10">
        <v>6520862508.4200001</v>
      </c>
      <c r="AJ12" s="11">
        <v>0.41458894854824002</v>
      </c>
      <c r="AK12" s="11">
        <v>0.5</v>
      </c>
      <c r="AL12" s="11">
        <v>8.5400000000000004E-2</v>
      </c>
      <c r="AM12" s="10">
        <v>11354648472.52</v>
      </c>
      <c r="AN12" s="11">
        <v>0.49491738554128001</v>
      </c>
      <c r="AO12" s="11">
        <v>0.5</v>
      </c>
      <c r="AP12" s="11">
        <v>5.1000000000000004E-3</v>
      </c>
      <c r="AQ12" s="10">
        <v>17875510980.939999</v>
      </c>
      <c r="AR12" s="11">
        <v>0.46224573421819998</v>
      </c>
      <c r="AS12" s="11">
        <v>0.5</v>
      </c>
      <c r="AT12" s="11">
        <v>3.78E-2</v>
      </c>
      <c r="AU12" s="10">
        <v>15539609926.74</v>
      </c>
      <c r="AV12" s="11">
        <v>0.38692486260046999</v>
      </c>
      <c r="AW12" s="11">
        <v>0.5</v>
      </c>
      <c r="AX12" s="11">
        <v>0.11310000000000001</v>
      </c>
      <c r="AY12" s="10">
        <v>271335916048.19</v>
      </c>
      <c r="AZ12" s="11">
        <v>0.41676522551290002</v>
      </c>
      <c r="BA12" s="11">
        <v>0.5</v>
      </c>
      <c r="BB12" s="11">
        <v>8.3199999999999996E-2</v>
      </c>
    </row>
    <row r="13" spans="1:54">
      <c r="A13" s="3" t="s">
        <v>32</v>
      </c>
      <c r="B13" s="24" t="s">
        <v>29</v>
      </c>
      <c r="C13" s="2">
        <v>1053344929.6900001</v>
      </c>
      <c r="D13" s="1">
        <v>0.47655786375768</v>
      </c>
      <c r="E13" s="1" t="s">
        <v>26</v>
      </c>
      <c r="F13" s="1" t="s">
        <v>26</v>
      </c>
      <c r="G13" s="2">
        <v>20931495249.07</v>
      </c>
      <c r="H13" s="1">
        <v>0.37166906006709999</v>
      </c>
      <c r="I13" s="1" t="s">
        <v>26</v>
      </c>
      <c r="J13" s="1" t="s">
        <v>26</v>
      </c>
      <c r="K13" s="2">
        <v>274191815.22000003</v>
      </c>
      <c r="L13" s="1">
        <v>0.37014342137389999</v>
      </c>
      <c r="M13" s="1" t="s">
        <v>26</v>
      </c>
      <c r="N13" s="1" t="s">
        <v>26</v>
      </c>
      <c r="O13" s="2">
        <v>25597177706.950001</v>
      </c>
      <c r="P13" s="1">
        <v>0.28796345484192998</v>
      </c>
      <c r="Q13" s="1" t="s">
        <v>26</v>
      </c>
      <c r="R13" s="1" t="s">
        <v>26</v>
      </c>
      <c r="S13" s="2">
        <v>15949049885.92</v>
      </c>
      <c r="T13" s="1">
        <v>0.42850845526575998</v>
      </c>
      <c r="U13" s="1" t="s">
        <v>26</v>
      </c>
      <c r="V13" s="1" t="s">
        <v>26</v>
      </c>
      <c r="W13" s="2">
        <v>1331286378.9200001</v>
      </c>
      <c r="X13" s="1">
        <v>0.52256960563355004</v>
      </c>
      <c r="Y13" s="1" t="s">
        <v>26</v>
      </c>
      <c r="Z13" s="1" t="s">
        <v>26</v>
      </c>
      <c r="AA13" s="2">
        <v>24745373963.5</v>
      </c>
      <c r="AB13" s="1">
        <v>0.49496412501154002</v>
      </c>
      <c r="AC13" s="1" t="s">
        <v>26</v>
      </c>
      <c r="AD13" s="1" t="s">
        <v>26</v>
      </c>
      <c r="AE13" s="2">
        <v>89881919929.270004</v>
      </c>
      <c r="AF13" s="1">
        <v>0.37778084877443002</v>
      </c>
      <c r="AG13" s="1" t="s">
        <v>26</v>
      </c>
      <c r="AH13" s="1" t="s">
        <v>26</v>
      </c>
      <c r="AI13" s="2">
        <v>1697043135.8199999</v>
      </c>
      <c r="AJ13" s="1">
        <v>0.26024826219364999</v>
      </c>
      <c r="AK13" s="1" t="s">
        <v>26</v>
      </c>
      <c r="AL13" s="1" t="s">
        <v>26</v>
      </c>
      <c r="AM13" s="2">
        <v>6829739991.96</v>
      </c>
      <c r="AN13" s="1">
        <v>0.60149286069832997</v>
      </c>
      <c r="AO13" s="1" t="s">
        <v>26</v>
      </c>
      <c r="AP13" s="1" t="s">
        <v>26</v>
      </c>
      <c r="AQ13" s="2">
        <v>8526783127.7799997</v>
      </c>
      <c r="AR13" s="1">
        <v>0.47700919637327999</v>
      </c>
      <c r="AS13" s="1" t="s">
        <v>26</v>
      </c>
      <c r="AT13" s="1" t="s">
        <v>26</v>
      </c>
      <c r="AU13" s="2">
        <v>7996426381.8999996</v>
      </c>
      <c r="AV13" s="1">
        <v>0.51458346892865003</v>
      </c>
      <c r="AW13" s="1" t="s">
        <v>26</v>
      </c>
      <c r="AX13" s="1" t="s">
        <v>26</v>
      </c>
      <c r="AY13" s="2">
        <v>106405129438.95</v>
      </c>
      <c r="AZ13" s="1">
        <v>0.39215276395644</v>
      </c>
      <c r="BA13" s="1" t="s">
        <v>26</v>
      </c>
      <c r="BB13" s="1" t="s">
        <v>26</v>
      </c>
    </row>
    <row r="14" spans="1:54">
      <c r="A14" s="3" t="s">
        <v>33</v>
      </c>
      <c r="B14" s="24" t="s">
        <v>29</v>
      </c>
      <c r="C14" s="2">
        <v>1156974130.8</v>
      </c>
      <c r="D14" s="1">
        <v>0.52344213624232006</v>
      </c>
      <c r="E14" s="1" t="s">
        <v>26</v>
      </c>
      <c r="F14" s="1" t="s">
        <v>26</v>
      </c>
      <c r="G14" s="2">
        <v>35386066522.93</v>
      </c>
      <c r="H14" s="1">
        <v>0.62833093993290001</v>
      </c>
      <c r="I14" s="1" t="s">
        <v>26</v>
      </c>
      <c r="J14" s="1" t="s">
        <v>26</v>
      </c>
      <c r="K14" s="2">
        <v>466580002.91000003</v>
      </c>
      <c r="L14" s="1">
        <v>0.62985657862610001</v>
      </c>
      <c r="M14" s="1" t="s">
        <v>26</v>
      </c>
      <c r="N14" s="1" t="s">
        <v>26</v>
      </c>
      <c r="O14" s="2">
        <v>63293191110.860001</v>
      </c>
      <c r="P14" s="1">
        <v>0.71203654515807002</v>
      </c>
      <c r="Q14" s="1" t="s">
        <v>26</v>
      </c>
      <c r="R14" s="1" t="s">
        <v>26</v>
      </c>
      <c r="S14" s="2">
        <v>21270868857.639999</v>
      </c>
      <c r="T14" s="1">
        <v>0.57149154473424002</v>
      </c>
      <c r="U14" s="1" t="s">
        <v>26</v>
      </c>
      <c r="V14" s="1" t="s">
        <v>26</v>
      </c>
      <c r="W14" s="2">
        <v>1216290756.3900001</v>
      </c>
      <c r="X14" s="1">
        <v>0.47743039436645002</v>
      </c>
      <c r="Y14" s="1" t="s">
        <v>26</v>
      </c>
      <c r="Z14" s="1" t="s">
        <v>26</v>
      </c>
      <c r="AA14" s="2">
        <v>25248903829.709999</v>
      </c>
      <c r="AB14" s="1">
        <v>0.50503587498846003</v>
      </c>
      <c r="AC14" s="1" t="s">
        <v>26</v>
      </c>
      <c r="AD14" s="1" t="s">
        <v>26</v>
      </c>
      <c r="AE14" s="2">
        <v>148038875211.23999</v>
      </c>
      <c r="AF14" s="1">
        <v>0.62221915122557003</v>
      </c>
      <c r="AG14" s="1" t="s">
        <v>26</v>
      </c>
      <c r="AH14" s="1" t="s">
        <v>26</v>
      </c>
      <c r="AI14" s="2">
        <v>4823819372.6000004</v>
      </c>
      <c r="AJ14" s="1">
        <v>0.73975173780634995</v>
      </c>
      <c r="AK14" s="1" t="s">
        <v>26</v>
      </c>
      <c r="AL14" s="1" t="s">
        <v>26</v>
      </c>
      <c r="AM14" s="2">
        <v>4524908480.5600004</v>
      </c>
      <c r="AN14" s="1">
        <v>0.39850713930166998</v>
      </c>
      <c r="AO14" s="1" t="s">
        <v>26</v>
      </c>
      <c r="AP14" s="1" t="s">
        <v>26</v>
      </c>
      <c r="AQ14" s="2">
        <v>9348727853.1599998</v>
      </c>
      <c r="AR14" s="1">
        <v>0.52299080362672001</v>
      </c>
      <c r="AS14" s="1" t="s">
        <v>26</v>
      </c>
      <c r="AT14" s="1" t="s">
        <v>26</v>
      </c>
      <c r="AU14" s="2">
        <v>7543183544.8400002</v>
      </c>
      <c r="AV14" s="1">
        <v>0.48541653107135002</v>
      </c>
      <c r="AW14" s="1" t="s">
        <v>26</v>
      </c>
      <c r="AX14" s="1" t="s">
        <v>26</v>
      </c>
      <c r="AY14" s="2">
        <v>164930786609.23999</v>
      </c>
      <c r="AZ14" s="1">
        <v>0.60784723604355995</v>
      </c>
      <c r="BA14" s="1" t="s">
        <v>26</v>
      </c>
      <c r="BB14" s="1" t="s">
        <v>26</v>
      </c>
    </row>
    <row r="15" spans="1:54">
      <c r="A15" s="13" t="s">
        <v>34</v>
      </c>
      <c r="B15" s="25" t="s">
        <v>25</v>
      </c>
      <c r="C15" s="55">
        <v>313508688.43000001</v>
      </c>
      <c r="D15" s="56">
        <v>6.1473624230639998E-2</v>
      </c>
      <c r="E15" s="56" t="s">
        <v>26</v>
      </c>
      <c r="F15" s="56" t="s">
        <v>26</v>
      </c>
      <c r="G15" s="55">
        <v>15943619660.379999</v>
      </c>
      <c r="H15" s="56">
        <v>0.11842905669533001</v>
      </c>
      <c r="I15" s="56" t="s">
        <v>26</v>
      </c>
      <c r="J15" s="56" t="s">
        <v>26</v>
      </c>
      <c r="K15" s="55">
        <v>272025012.68000001</v>
      </c>
      <c r="L15" s="56">
        <v>0.11132208539225</v>
      </c>
      <c r="M15" s="56" t="s">
        <v>26</v>
      </c>
      <c r="N15" s="56" t="s">
        <v>26</v>
      </c>
      <c r="O15" s="55">
        <v>16224643428.139999</v>
      </c>
      <c r="P15" s="56">
        <v>8.0944211418290002E-2</v>
      </c>
      <c r="Q15" s="56" t="s">
        <v>26</v>
      </c>
      <c r="R15" s="56" t="s">
        <v>26</v>
      </c>
      <c r="S15" s="55">
        <v>13772933520.25</v>
      </c>
      <c r="T15" s="56">
        <v>0.13731573192629001</v>
      </c>
      <c r="U15" s="56" t="s">
        <v>26</v>
      </c>
      <c r="V15" s="56" t="s">
        <v>26</v>
      </c>
      <c r="W15" s="55">
        <v>1367699626.3299999</v>
      </c>
      <c r="X15" s="56">
        <v>0.24010201856058</v>
      </c>
      <c r="Y15" s="56" t="s">
        <v>26</v>
      </c>
      <c r="Z15" s="56" t="s">
        <v>26</v>
      </c>
      <c r="AA15" s="55">
        <v>11113242333.34</v>
      </c>
      <c r="AB15" s="56">
        <v>8.9905585935940002E-2</v>
      </c>
      <c r="AC15" s="56" t="s">
        <v>26</v>
      </c>
      <c r="AD15" s="56" t="s">
        <v>26</v>
      </c>
      <c r="AE15" s="55">
        <v>59007672269.550003</v>
      </c>
      <c r="AF15" s="56">
        <v>0.10312072048146</v>
      </c>
      <c r="AG15" s="56" t="s">
        <v>26</v>
      </c>
      <c r="AH15" s="56" t="s">
        <v>26</v>
      </c>
      <c r="AI15" s="55">
        <v>1805784607.23</v>
      </c>
      <c r="AJ15" s="56">
        <v>0.11480971123826</v>
      </c>
      <c r="AK15" s="56" t="s">
        <v>26</v>
      </c>
      <c r="AL15" s="56" t="s">
        <v>26</v>
      </c>
      <c r="AM15" s="55">
        <v>4006377334.9099998</v>
      </c>
      <c r="AN15" s="56">
        <v>0.17462678839281001</v>
      </c>
      <c r="AO15" s="56" t="s">
        <v>26</v>
      </c>
      <c r="AP15" s="56" t="s">
        <v>26</v>
      </c>
      <c r="AQ15" s="55">
        <v>5812161942.1400003</v>
      </c>
      <c r="AR15" s="56">
        <v>0.15029763720903999</v>
      </c>
      <c r="AS15" s="56" t="s">
        <v>26</v>
      </c>
      <c r="AT15" s="56" t="s">
        <v>26</v>
      </c>
      <c r="AU15" s="55">
        <v>4867290377.8299999</v>
      </c>
      <c r="AV15" s="56">
        <v>0.12119195202176999</v>
      </c>
      <c r="AW15" s="56" t="s">
        <v>26</v>
      </c>
      <c r="AX15" s="56" t="s">
        <v>26</v>
      </c>
      <c r="AY15" s="55">
        <v>69687124589.520004</v>
      </c>
      <c r="AZ15" s="56">
        <v>0.10703769194248</v>
      </c>
      <c r="BA15" s="56" t="s">
        <v>26</v>
      </c>
      <c r="BB15" s="56" t="s">
        <v>26</v>
      </c>
    </row>
    <row r="16" spans="1:54" s="7" customFormat="1">
      <c r="A16" s="5" t="s">
        <v>35</v>
      </c>
      <c r="B16" s="24" t="s">
        <v>25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4386122340.04</v>
      </c>
      <c r="H16" s="11">
        <v>3.258007543745E-2</v>
      </c>
      <c r="I16" s="11">
        <v>0.15</v>
      </c>
      <c r="J16" s="11">
        <v>0.1174</v>
      </c>
      <c r="K16" s="10" t="s">
        <v>26</v>
      </c>
      <c r="L16" s="11" t="s">
        <v>26</v>
      </c>
      <c r="M16" s="11" t="s">
        <v>26</v>
      </c>
      <c r="N16" s="11" t="s">
        <v>26</v>
      </c>
      <c r="O16" s="10">
        <v>5404436912.0200005</v>
      </c>
      <c r="P16" s="11">
        <v>2.6962557663650001E-2</v>
      </c>
      <c r="Q16" s="11">
        <v>0.13869999999999999</v>
      </c>
      <c r="R16" s="11">
        <v>0.11169999999999999</v>
      </c>
      <c r="S16" s="10">
        <v>2813157487.8000002</v>
      </c>
      <c r="T16" s="11">
        <v>2.8047095333269999E-2</v>
      </c>
      <c r="U16" s="11">
        <v>0.05</v>
      </c>
      <c r="V16" s="11">
        <v>2.1999999999999999E-2</v>
      </c>
      <c r="W16" s="10">
        <v>498651116.74000001</v>
      </c>
      <c r="X16" s="11">
        <v>8.7539060025940002E-2</v>
      </c>
      <c r="Y16" s="11">
        <v>0.15</v>
      </c>
      <c r="Z16" s="11">
        <v>6.25E-2</v>
      </c>
      <c r="AA16" s="10">
        <v>4727522968.6099997</v>
      </c>
      <c r="AB16" s="11">
        <v>3.8245429170870003E-2</v>
      </c>
      <c r="AC16" s="11">
        <v>0.1371</v>
      </c>
      <c r="AD16" s="11">
        <v>9.8900000000000002E-2</v>
      </c>
      <c r="AE16" s="10">
        <v>17829890825.209999</v>
      </c>
      <c r="AF16" s="11">
        <v>3.1159188581489999E-2</v>
      </c>
      <c r="AG16" s="11">
        <v>0.14230000000000001</v>
      </c>
      <c r="AH16" s="11">
        <v>0.1111</v>
      </c>
      <c r="AI16" s="10">
        <v>516171337</v>
      </c>
      <c r="AJ16" s="11">
        <v>3.2817580742000002E-2</v>
      </c>
      <c r="AK16" s="11">
        <v>0.05</v>
      </c>
      <c r="AL16" s="11">
        <v>1.72E-2</v>
      </c>
      <c r="AM16" s="10">
        <v>1058965441.72</v>
      </c>
      <c r="AN16" s="11">
        <v>4.6157343317409998E-2</v>
      </c>
      <c r="AO16" s="11">
        <v>0.15</v>
      </c>
      <c r="AP16" s="11">
        <v>0.1038</v>
      </c>
      <c r="AQ16" s="10">
        <v>1575136778.72</v>
      </c>
      <c r="AR16" s="11">
        <v>4.0731717126850003E-2</v>
      </c>
      <c r="AS16" s="11">
        <v>0.14649999999999999</v>
      </c>
      <c r="AT16" s="11">
        <v>0.10580000000000001</v>
      </c>
      <c r="AU16" s="10">
        <v>1089549144.5599999</v>
      </c>
      <c r="AV16" s="11">
        <v>2.712897267324E-2</v>
      </c>
      <c r="AW16" s="11">
        <v>0.1411</v>
      </c>
      <c r="AX16" s="11">
        <v>0.114</v>
      </c>
      <c r="AY16" s="10">
        <v>20494576748.490002</v>
      </c>
      <c r="AZ16" s="11">
        <v>3.1479160683099999E-2</v>
      </c>
      <c r="BA16" s="11">
        <v>0.1426</v>
      </c>
      <c r="BB16" s="11">
        <v>0.1111</v>
      </c>
    </row>
    <row r="17" spans="1:56" s="7" customFormat="1">
      <c r="A17" s="3" t="s">
        <v>36</v>
      </c>
      <c r="B17" s="24" t="s">
        <v>37</v>
      </c>
      <c r="C17" s="2" t="s">
        <v>26</v>
      </c>
      <c r="D17" s="1" t="s">
        <v>26</v>
      </c>
      <c r="E17" s="1" t="s">
        <v>26</v>
      </c>
      <c r="F17" s="1" t="s">
        <v>26</v>
      </c>
      <c r="G17" s="2" t="s">
        <v>26</v>
      </c>
      <c r="H17" s="1" t="s">
        <v>26</v>
      </c>
      <c r="I17" s="1" t="s">
        <v>26</v>
      </c>
      <c r="J17" s="1" t="s">
        <v>26</v>
      </c>
      <c r="K17" s="2" t="s">
        <v>26</v>
      </c>
      <c r="L17" s="1" t="s">
        <v>26</v>
      </c>
      <c r="M17" s="1" t="s">
        <v>26</v>
      </c>
      <c r="N17" s="1" t="s">
        <v>26</v>
      </c>
      <c r="O17" s="2">
        <v>4059673080</v>
      </c>
      <c r="P17" s="1">
        <v>0.75117410862376999</v>
      </c>
      <c r="Q17" s="1" t="s">
        <v>26</v>
      </c>
      <c r="R17" s="1" t="s">
        <v>26</v>
      </c>
      <c r="S17" s="2">
        <v>1000709414.22</v>
      </c>
      <c r="T17" s="1">
        <v>0.35572463275158001</v>
      </c>
      <c r="U17" s="1" t="s">
        <v>26</v>
      </c>
      <c r="V17" s="1" t="s">
        <v>26</v>
      </c>
      <c r="W17" s="2" t="s">
        <v>26</v>
      </c>
      <c r="X17" s="1" t="s">
        <v>26</v>
      </c>
      <c r="Y17" s="1" t="s">
        <v>26</v>
      </c>
      <c r="Z17" s="1" t="s">
        <v>26</v>
      </c>
      <c r="AA17" s="2">
        <v>4059673080</v>
      </c>
      <c r="AB17" s="1">
        <v>0.85873154016502995</v>
      </c>
      <c r="AC17" s="1" t="s">
        <v>26</v>
      </c>
      <c r="AD17" s="1" t="s">
        <v>26</v>
      </c>
      <c r="AE17" s="2">
        <v>9120055574.2199993</v>
      </c>
      <c r="AF17" s="1">
        <v>0.51150372504385</v>
      </c>
      <c r="AG17" s="1" t="s">
        <v>26</v>
      </c>
      <c r="AH17" s="1" t="s">
        <v>26</v>
      </c>
      <c r="AI17" s="2">
        <v>363340740.66000003</v>
      </c>
      <c r="AJ17" s="1">
        <v>0.70391498832876997</v>
      </c>
      <c r="AK17" s="1" t="s">
        <v>26</v>
      </c>
      <c r="AL17" s="1" t="s">
        <v>26</v>
      </c>
      <c r="AM17" s="2" t="s">
        <v>26</v>
      </c>
      <c r="AN17" s="1" t="s">
        <v>26</v>
      </c>
      <c r="AO17" s="1" t="s">
        <v>26</v>
      </c>
      <c r="AP17" s="1" t="s">
        <v>26</v>
      </c>
      <c r="AQ17" s="2">
        <v>363340740.66000003</v>
      </c>
      <c r="AR17" s="1">
        <v>0.23067250131462</v>
      </c>
      <c r="AS17" s="1" t="s">
        <v>26</v>
      </c>
      <c r="AT17" s="1" t="s">
        <v>26</v>
      </c>
      <c r="AU17" s="2">
        <v>648532774.52999997</v>
      </c>
      <c r="AV17" s="1">
        <v>0.59523040127933002</v>
      </c>
      <c r="AW17" s="1" t="s">
        <v>26</v>
      </c>
      <c r="AX17" s="1" t="s">
        <v>26</v>
      </c>
      <c r="AY17" s="2">
        <v>10131929089.41</v>
      </c>
      <c r="AZ17" s="1">
        <v>0.49437122872793998</v>
      </c>
      <c r="BA17" s="1" t="s">
        <v>26</v>
      </c>
      <c r="BB17" s="1" t="s">
        <v>26</v>
      </c>
      <c r="BD17" s="19"/>
    </row>
    <row r="18" spans="1:56">
      <c r="A18" s="3" t="s">
        <v>38</v>
      </c>
      <c r="B18" s="24" t="s">
        <v>39</v>
      </c>
      <c r="C18" s="2" t="s">
        <v>26</v>
      </c>
      <c r="D18" s="1" t="s">
        <v>26</v>
      </c>
      <c r="E18" s="1" t="s">
        <v>26</v>
      </c>
      <c r="F18" s="1" t="s">
        <v>26</v>
      </c>
      <c r="G18" s="2">
        <v>4386122340.04</v>
      </c>
      <c r="H18" s="1">
        <v>1</v>
      </c>
      <c r="I18" s="1" t="s">
        <v>26</v>
      </c>
      <c r="J18" s="1" t="s">
        <v>26</v>
      </c>
      <c r="K18" s="2" t="s">
        <v>26</v>
      </c>
      <c r="L18" s="1" t="s">
        <v>26</v>
      </c>
      <c r="M18" s="1" t="s">
        <v>26</v>
      </c>
      <c r="N18" s="1" t="s">
        <v>26</v>
      </c>
      <c r="O18" s="2">
        <v>1344763832.02</v>
      </c>
      <c r="P18" s="1">
        <v>0.24882589137623001</v>
      </c>
      <c r="Q18" s="1" t="s">
        <v>26</v>
      </c>
      <c r="R18" s="1" t="s">
        <v>26</v>
      </c>
      <c r="S18" s="2">
        <v>1812448073.5799999</v>
      </c>
      <c r="T18" s="1">
        <v>0.64427536724842005</v>
      </c>
      <c r="U18" s="1" t="s">
        <v>26</v>
      </c>
      <c r="V18" s="1" t="s">
        <v>26</v>
      </c>
      <c r="W18" s="2">
        <v>498651116.74000001</v>
      </c>
      <c r="X18" s="1">
        <v>1</v>
      </c>
      <c r="Y18" s="1" t="s">
        <v>26</v>
      </c>
      <c r="Z18" s="1" t="s">
        <v>26</v>
      </c>
      <c r="AA18" s="2">
        <v>667849888.61000001</v>
      </c>
      <c r="AB18" s="1">
        <v>0.14126845983496999</v>
      </c>
      <c r="AC18" s="1" t="s">
        <v>26</v>
      </c>
      <c r="AD18" s="1" t="s">
        <v>26</v>
      </c>
      <c r="AE18" s="2">
        <v>8709835250.9899998</v>
      </c>
      <c r="AF18" s="1">
        <v>0.48849627495615</v>
      </c>
      <c r="AG18" s="1" t="s">
        <v>26</v>
      </c>
      <c r="AH18" s="1" t="s">
        <v>26</v>
      </c>
      <c r="AI18" s="2">
        <v>152830596.34</v>
      </c>
      <c r="AJ18" s="1">
        <v>0.29608501167123003</v>
      </c>
      <c r="AK18" s="1" t="s">
        <v>26</v>
      </c>
      <c r="AL18" s="1" t="s">
        <v>26</v>
      </c>
      <c r="AM18" s="2">
        <v>1058965441.72</v>
      </c>
      <c r="AN18" s="1">
        <v>1</v>
      </c>
      <c r="AO18" s="1" t="s">
        <v>26</v>
      </c>
      <c r="AP18" s="1" t="s">
        <v>26</v>
      </c>
      <c r="AQ18" s="2">
        <v>1211796038.0599999</v>
      </c>
      <c r="AR18" s="1">
        <v>0.76932749868537997</v>
      </c>
      <c r="AS18" s="1" t="s">
        <v>26</v>
      </c>
      <c r="AT18" s="1" t="s">
        <v>26</v>
      </c>
      <c r="AU18" s="2">
        <v>441016370.02999997</v>
      </c>
      <c r="AV18" s="1">
        <v>0.40476959872066998</v>
      </c>
      <c r="AW18" s="1" t="s">
        <v>26</v>
      </c>
      <c r="AX18" s="1" t="s">
        <v>26</v>
      </c>
      <c r="AY18" s="2">
        <v>10362647659.08</v>
      </c>
      <c r="AZ18" s="1">
        <v>0.50562877127205996</v>
      </c>
      <c r="BA18" s="1" t="s">
        <v>26</v>
      </c>
      <c r="BB18" s="1" t="s">
        <v>26</v>
      </c>
    </row>
    <row r="19" spans="1:56" s="7" customFormat="1">
      <c r="A19" s="5" t="s">
        <v>40</v>
      </c>
      <c r="B19" s="24" t="s">
        <v>25</v>
      </c>
      <c r="C19" s="10" t="s">
        <v>26</v>
      </c>
      <c r="D19" s="11" t="s">
        <v>26</v>
      </c>
      <c r="E19" s="11" t="s">
        <v>26</v>
      </c>
      <c r="F19" s="11" t="s">
        <v>26</v>
      </c>
      <c r="G19" s="10" t="s">
        <v>26</v>
      </c>
      <c r="H19" s="11" t="s">
        <v>26</v>
      </c>
      <c r="I19" s="11" t="s">
        <v>26</v>
      </c>
      <c r="J19" s="11" t="s">
        <v>26</v>
      </c>
      <c r="K19" s="10" t="s">
        <v>26</v>
      </c>
      <c r="L19" s="11" t="s">
        <v>26</v>
      </c>
      <c r="M19" s="11" t="s">
        <v>26</v>
      </c>
      <c r="N19" s="11" t="s">
        <v>26</v>
      </c>
      <c r="O19" s="10">
        <v>388571726.05000001</v>
      </c>
      <c r="P19" s="11">
        <v>1.9385715367999999E-3</v>
      </c>
      <c r="Q19" s="11">
        <v>0.15</v>
      </c>
      <c r="R19" s="11">
        <v>0.14810000000000001</v>
      </c>
      <c r="S19" s="10">
        <v>600728777.27999997</v>
      </c>
      <c r="T19" s="11">
        <v>5.9892477967800001E-3</v>
      </c>
      <c r="U19" s="11">
        <v>0.15</v>
      </c>
      <c r="V19" s="11">
        <v>0.14399999999999999</v>
      </c>
      <c r="W19" s="10">
        <v>99556804.189999998</v>
      </c>
      <c r="X19" s="11">
        <v>1.7477367974139998E-2</v>
      </c>
      <c r="Y19" s="11">
        <v>0.15</v>
      </c>
      <c r="Z19" s="11">
        <v>0.13250000000000001</v>
      </c>
      <c r="AA19" s="10" t="s">
        <v>26</v>
      </c>
      <c r="AB19" s="11" t="s">
        <v>26</v>
      </c>
      <c r="AC19" s="11" t="s">
        <v>26</v>
      </c>
      <c r="AD19" s="11" t="s">
        <v>26</v>
      </c>
      <c r="AE19" s="10">
        <v>1088857307.52</v>
      </c>
      <c r="AF19" s="11">
        <v>1.90286696177E-3</v>
      </c>
      <c r="AG19" s="11">
        <v>0.15</v>
      </c>
      <c r="AH19" s="11">
        <v>0.14810000000000001</v>
      </c>
      <c r="AI19" s="10" t="s">
        <v>26</v>
      </c>
      <c r="AJ19" s="11" t="s">
        <v>26</v>
      </c>
      <c r="AK19" s="11" t="s">
        <v>26</v>
      </c>
      <c r="AL19" s="11" t="s">
        <v>26</v>
      </c>
      <c r="AM19" s="10" t="s">
        <v>26</v>
      </c>
      <c r="AN19" s="11" t="s">
        <v>26</v>
      </c>
      <c r="AO19" s="11" t="s">
        <v>26</v>
      </c>
      <c r="AP19" s="11" t="s">
        <v>26</v>
      </c>
      <c r="AQ19" s="10" t="s">
        <v>26</v>
      </c>
      <c r="AR19" s="11" t="s">
        <v>26</v>
      </c>
      <c r="AS19" s="11" t="s">
        <v>26</v>
      </c>
      <c r="AT19" s="11" t="s">
        <v>26</v>
      </c>
      <c r="AU19" s="10" t="s">
        <v>26</v>
      </c>
      <c r="AV19" s="11" t="s">
        <v>26</v>
      </c>
      <c r="AW19" s="11" t="s">
        <v>26</v>
      </c>
      <c r="AX19" s="11" t="s">
        <v>26</v>
      </c>
      <c r="AY19" s="10">
        <v>1088857307.52</v>
      </c>
      <c r="AZ19" s="11">
        <v>1.6724577708999999E-3</v>
      </c>
      <c r="BA19" s="11">
        <v>0.15</v>
      </c>
      <c r="BB19" s="11">
        <v>0.14829999999999999</v>
      </c>
      <c r="BD19" s="20"/>
    </row>
    <row r="20" spans="1:56" s="7" customFormat="1">
      <c r="A20" s="3" t="s">
        <v>38</v>
      </c>
      <c r="B20" s="24" t="s">
        <v>39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388571726.05000001</v>
      </c>
      <c r="P20" s="1">
        <v>1</v>
      </c>
      <c r="Q20" s="1" t="s">
        <v>26</v>
      </c>
      <c r="R20" s="1" t="s">
        <v>26</v>
      </c>
      <c r="S20" s="2">
        <v>600728777.27999997</v>
      </c>
      <c r="T20" s="1">
        <v>1</v>
      </c>
      <c r="U20" s="1" t="s">
        <v>26</v>
      </c>
      <c r="V20" s="1" t="s">
        <v>26</v>
      </c>
      <c r="W20" s="2">
        <v>99556804.189999998</v>
      </c>
      <c r="X20" s="1">
        <v>1</v>
      </c>
      <c r="Y20" s="1" t="s">
        <v>26</v>
      </c>
      <c r="Z20" s="1" t="s">
        <v>26</v>
      </c>
      <c r="AA20" s="2" t="s">
        <v>26</v>
      </c>
      <c r="AB20" s="1" t="s">
        <v>26</v>
      </c>
      <c r="AC20" s="1" t="s">
        <v>26</v>
      </c>
      <c r="AD20" s="1" t="s">
        <v>26</v>
      </c>
      <c r="AE20" s="2">
        <v>1088857307.52</v>
      </c>
      <c r="AF20" s="1">
        <v>1</v>
      </c>
      <c r="AG20" s="1" t="s">
        <v>26</v>
      </c>
      <c r="AH20" s="1" t="s">
        <v>26</v>
      </c>
      <c r="AI20" s="2" t="s">
        <v>26</v>
      </c>
      <c r="AJ20" s="1" t="s">
        <v>26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 t="s">
        <v>26</v>
      </c>
      <c r="AR20" s="1" t="s">
        <v>26</v>
      </c>
      <c r="AS20" s="1" t="s">
        <v>26</v>
      </c>
      <c r="AT20" s="1" t="s">
        <v>26</v>
      </c>
      <c r="AU20" s="2" t="s">
        <v>26</v>
      </c>
      <c r="AV20" s="1" t="s">
        <v>26</v>
      </c>
      <c r="AW20" s="1" t="s">
        <v>26</v>
      </c>
      <c r="AX20" s="1" t="s">
        <v>26</v>
      </c>
      <c r="AY20" s="2">
        <v>1088857307.52</v>
      </c>
      <c r="AZ20" s="1">
        <v>1</v>
      </c>
      <c r="BA20" s="1" t="s">
        <v>26</v>
      </c>
      <c r="BB20" s="1" t="s">
        <v>26</v>
      </c>
    </row>
    <row r="21" spans="1:56" s="7" customFormat="1">
      <c r="A21" s="5" t="s">
        <v>41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 t="s">
        <v>26</v>
      </c>
      <c r="H21" s="11" t="s">
        <v>26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10">
        <v>319460767.74000001</v>
      </c>
      <c r="P21" s="11">
        <v>1.59377924318E-3</v>
      </c>
      <c r="Q21" s="11">
        <v>0.15</v>
      </c>
      <c r="R21" s="11">
        <v>0.1484</v>
      </c>
      <c r="S21" s="10" t="s">
        <v>26</v>
      </c>
      <c r="T21" s="11" t="s">
        <v>26</v>
      </c>
      <c r="U21" s="11" t="s">
        <v>26</v>
      </c>
      <c r="V21" s="11" t="s">
        <v>26</v>
      </c>
      <c r="W21" s="10">
        <v>55314557.590000004</v>
      </c>
      <c r="X21" s="11">
        <v>9.7105655931099995E-3</v>
      </c>
      <c r="Y21" s="11">
        <v>0.15</v>
      </c>
      <c r="Z21" s="11">
        <v>0.14030000000000001</v>
      </c>
      <c r="AA21" s="10">
        <v>201562496.52000001</v>
      </c>
      <c r="AB21" s="11">
        <v>1.63063072043E-3</v>
      </c>
      <c r="AC21" s="11">
        <v>0.15</v>
      </c>
      <c r="AD21" s="11">
        <v>0.1484</v>
      </c>
      <c r="AE21" s="10">
        <v>576337821.85000002</v>
      </c>
      <c r="AF21" s="11">
        <v>1.0071973549199999E-3</v>
      </c>
      <c r="AG21" s="11">
        <v>0.15</v>
      </c>
      <c r="AH21" s="11">
        <v>0.14899999999999999</v>
      </c>
      <c r="AI21" s="10" t="s">
        <v>26</v>
      </c>
      <c r="AJ21" s="11" t="s">
        <v>26</v>
      </c>
      <c r="AK21" s="11" t="s">
        <v>26</v>
      </c>
      <c r="AL21" s="11" t="s">
        <v>26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 t="s">
        <v>26</v>
      </c>
      <c r="AR21" s="11" t="s">
        <v>26</v>
      </c>
      <c r="AS21" s="11" t="s">
        <v>26</v>
      </c>
      <c r="AT21" s="11" t="s">
        <v>26</v>
      </c>
      <c r="AU21" s="10">
        <v>115296182.34</v>
      </c>
      <c r="AV21" s="11">
        <v>2.8707901755899998E-3</v>
      </c>
      <c r="AW21" s="11">
        <v>0.15</v>
      </c>
      <c r="AX21" s="11">
        <v>0.14710000000000001</v>
      </c>
      <c r="AY21" s="10">
        <v>691634004.19000006</v>
      </c>
      <c r="AZ21" s="11">
        <v>1.0623326462900001E-3</v>
      </c>
      <c r="BA21" s="11">
        <v>0.15</v>
      </c>
      <c r="BB21" s="11">
        <v>0.1489</v>
      </c>
    </row>
    <row r="22" spans="1:56" s="7" customFormat="1">
      <c r="A22" s="3" t="s">
        <v>38</v>
      </c>
      <c r="B22" s="24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>
        <v>319460767.74000001</v>
      </c>
      <c r="P22" s="1">
        <v>1</v>
      </c>
      <c r="Q22" s="1" t="s">
        <v>26</v>
      </c>
      <c r="R22" s="1" t="s">
        <v>26</v>
      </c>
      <c r="S22" s="2" t="s">
        <v>26</v>
      </c>
      <c r="T22" s="1" t="s">
        <v>26</v>
      </c>
      <c r="U22" s="1" t="s">
        <v>26</v>
      </c>
      <c r="V22" s="1" t="s">
        <v>26</v>
      </c>
      <c r="W22" s="2">
        <v>55314557.590000004</v>
      </c>
      <c r="X22" s="1">
        <v>1</v>
      </c>
      <c r="Y22" s="1" t="s">
        <v>26</v>
      </c>
      <c r="Z22" s="1" t="s">
        <v>26</v>
      </c>
      <c r="AA22" s="2">
        <v>201562496.52000001</v>
      </c>
      <c r="AB22" s="1">
        <v>1</v>
      </c>
      <c r="AC22" s="1" t="s">
        <v>26</v>
      </c>
      <c r="AD22" s="1" t="s">
        <v>26</v>
      </c>
      <c r="AE22" s="2">
        <v>576337821.85000002</v>
      </c>
      <c r="AF22" s="1">
        <v>1</v>
      </c>
      <c r="AG22" s="1" t="s">
        <v>26</v>
      </c>
      <c r="AH22" s="1" t="s">
        <v>26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2">
        <v>115296182.34</v>
      </c>
      <c r="AV22" s="1">
        <v>1</v>
      </c>
      <c r="AW22" s="1" t="s">
        <v>26</v>
      </c>
      <c r="AX22" s="1" t="s">
        <v>26</v>
      </c>
      <c r="AY22" s="2">
        <v>691634004.19000006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42</v>
      </c>
      <c r="B23" s="24" t="s">
        <v>25</v>
      </c>
      <c r="C23" s="10">
        <v>155686003.88999999</v>
      </c>
      <c r="D23" s="11">
        <v>3.0527329079880001E-2</v>
      </c>
      <c r="E23" s="11">
        <v>0.13500000000000001</v>
      </c>
      <c r="F23" s="11">
        <v>0.1045</v>
      </c>
      <c r="G23" s="10" t="s">
        <v>26</v>
      </c>
      <c r="H23" s="11" t="s">
        <v>26</v>
      </c>
      <c r="I23" s="11" t="s">
        <v>26</v>
      </c>
      <c r="J23" s="11" t="s">
        <v>26</v>
      </c>
      <c r="K23" s="10" t="s">
        <v>26</v>
      </c>
      <c r="L23" s="11" t="s">
        <v>26</v>
      </c>
      <c r="M23" s="11" t="s">
        <v>26</v>
      </c>
      <c r="N23" s="11" t="s">
        <v>26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10" t="s">
        <v>26</v>
      </c>
      <c r="X23" s="11" t="s">
        <v>26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155686003.88999999</v>
      </c>
      <c r="AF23" s="11">
        <v>2.7207399093000001E-4</v>
      </c>
      <c r="AG23" s="11">
        <v>0.13500000000000001</v>
      </c>
      <c r="AH23" s="11">
        <v>0.13469999999999999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10">
        <v>155686003.88999999</v>
      </c>
      <c r="AZ23" s="11">
        <v>2.3912983384000001E-4</v>
      </c>
      <c r="BA23" s="11">
        <v>0.13500000000000001</v>
      </c>
      <c r="BB23" s="11">
        <v>0.1348</v>
      </c>
    </row>
    <row r="24" spans="1:56" s="7" customFormat="1">
      <c r="A24" s="3" t="s">
        <v>38</v>
      </c>
      <c r="B24" s="24" t="s">
        <v>43</v>
      </c>
      <c r="C24" s="2">
        <v>155686003.88999999</v>
      </c>
      <c r="D24" s="1">
        <v>1</v>
      </c>
      <c r="E24" s="1" t="s">
        <v>26</v>
      </c>
      <c r="F24" s="1" t="s">
        <v>26</v>
      </c>
      <c r="G24" s="2" t="s">
        <v>26</v>
      </c>
      <c r="H24" s="1" t="s">
        <v>26</v>
      </c>
      <c r="I24" s="1" t="s">
        <v>26</v>
      </c>
      <c r="J24" s="1" t="s">
        <v>26</v>
      </c>
      <c r="K24" s="2" t="s">
        <v>26</v>
      </c>
      <c r="L24" s="1" t="s">
        <v>26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155686003.88999999</v>
      </c>
      <c r="AF24" s="1">
        <v>1</v>
      </c>
      <c r="AG24" s="1" t="s">
        <v>26</v>
      </c>
      <c r="AH24" s="1" t="s">
        <v>26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2">
        <v>155686003.88999999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44</v>
      </c>
      <c r="B25" s="24" t="s">
        <v>25</v>
      </c>
      <c r="C25" s="10">
        <v>20108583.199999999</v>
      </c>
      <c r="D25" s="11">
        <v>3.94294491052E-3</v>
      </c>
      <c r="E25" s="11">
        <v>0.13500000000000001</v>
      </c>
      <c r="F25" s="11">
        <v>0.13109999999999999</v>
      </c>
      <c r="G25" s="10">
        <v>6256016523.6599998</v>
      </c>
      <c r="H25" s="11">
        <v>4.6469631824480002E-2</v>
      </c>
      <c r="I25" s="11">
        <v>0.14699999999999999</v>
      </c>
      <c r="J25" s="11">
        <v>0.10050000000000001</v>
      </c>
      <c r="K25" s="10" t="s">
        <v>26</v>
      </c>
      <c r="L25" s="11" t="s">
        <v>26</v>
      </c>
      <c r="M25" s="11" t="s">
        <v>26</v>
      </c>
      <c r="N25" s="11" t="s">
        <v>26</v>
      </c>
      <c r="O25" s="10">
        <v>1533692506.3399999</v>
      </c>
      <c r="P25" s="11">
        <v>7.6515413749299998E-3</v>
      </c>
      <c r="Q25" s="11">
        <v>0.13769999999999999</v>
      </c>
      <c r="R25" s="11">
        <v>0.13</v>
      </c>
      <c r="S25" s="10">
        <v>1266957442.8</v>
      </c>
      <c r="T25" s="11">
        <v>1.2631527504420001E-2</v>
      </c>
      <c r="U25" s="11">
        <v>0.14169999999999999</v>
      </c>
      <c r="V25" s="11">
        <v>0.12909999999999999</v>
      </c>
      <c r="W25" s="10">
        <v>163592753.63999999</v>
      </c>
      <c r="X25" s="11">
        <v>2.871898888811E-2</v>
      </c>
      <c r="Y25" s="11">
        <v>0.15</v>
      </c>
      <c r="Z25" s="11">
        <v>0.12130000000000001</v>
      </c>
      <c r="AA25" s="10">
        <v>1325675013.6700001</v>
      </c>
      <c r="AB25" s="11">
        <v>1.0724645903480001E-2</v>
      </c>
      <c r="AC25" s="11">
        <v>0.05</v>
      </c>
      <c r="AD25" s="11">
        <v>3.9300000000000002E-2</v>
      </c>
      <c r="AE25" s="10">
        <v>10566042823.309999</v>
      </c>
      <c r="AF25" s="11">
        <v>1.8465021694140001E-2</v>
      </c>
      <c r="AG25" s="11">
        <v>0.14380000000000001</v>
      </c>
      <c r="AH25" s="11">
        <v>0.12529999999999999</v>
      </c>
      <c r="AI25" s="10">
        <v>224216325.88</v>
      </c>
      <c r="AJ25" s="11">
        <v>1.42554164689E-2</v>
      </c>
      <c r="AK25" s="11">
        <v>0.15</v>
      </c>
      <c r="AL25" s="11">
        <v>0.13569999999999999</v>
      </c>
      <c r="AM25" s="10">
        <v>55342876.700000003</v>
      </c>
      <c r="AN25" s="11">
        <v>2.4122412869900002E-3</v>
      </c>
      <c r="AO25" s="11">
        <v>0.15</v>
      </c>
      <c r="AP25" s="11">
        <v>0.14760000000000001</v>
      </c>
      <c r="AQ25" s="10">
        <v>279559202.57999998</v>
      </c>
      <c r="AR25" s="11">
        <v>7.2291667069999998E-3</v>
      </c>
      <c r="AS25" s="11">
        <v>0.15</v>
      </c>
      <c r="AT25" s="11">
        <v>0.14280000000000001</v>
      </c>
      <c r="AU25" s="10">
        <v>1495971331.6400001</v>
      </c>
      <c r="AV25" s="11">
        <v>3.724858633375E-2</v>
      </c>
      <c r="AW25" s="11">
        <v>0.14449999999999999</v>
      </c>
      <c r="AX25" s="11">
        <v>0.10730000000000001</v>
      </c>
      <c r="AY25" s="10">
        <v>12341573357.530001</v>
      </c>
      <c r="AZ25" s="11">
        <v>1.8956350041849999E-2</v>
      </c>
      <c r="BA25" s="11">
        <v>0.14399999999999999</v>
      </c>
      <c r="BB25" s="11">
        <v>0.125</v>
      </c>
    </row>
    <row r="26" spans="1:56" s="7" customFormat="1">
      <c r="A26" s="3" t="s">
        <v>36</v>
      </c>
      <c r="B26" s="24" t="s">
        <v>37</v>
      </c>
      <c r="C26" s="2">
        <v>20108583.199999999</v>
      </c>
      <c r="D26" s="1">
        <v>1</v>
      </c>
      <c r="E26" s="1" t="s">
        <v>26</v>
      </c>
      <c r="F26" s="1" t="s">
        <v>26</v>
      </c>
      <c r="G26" s="2">
        <v>1256786450</v>
      </c>
      <c r="H26" s="1">
        <v>0.20089244413707999</v>
      </c>
      <c r="I26" s="1" t="s">
        <v>26</v>
      </c>
      <c r="J26" s="1" t="s">
        <v>26</v>
      </c>
      <c r="K26" s="2" t="s">
        <v>26</v>
      </c>
      <c r="L26" s="1" t="s">
        <v>26</v>
      </c>
      <c r="M26" s="1" t="s">
        <v>26</v>
      </c>
      <c r="N26" s="1" t="s">
        <v>26</v>
      </c>
      <c r="O26" s="2">
        <v>1256786450</v>
      </c>
      <c r="P26" s="1">
        <v>0.81945138598818001</v>
      </c>
      <c r="Q26" s="1" t="s">
        <v>26</v>
      </c>
      <c r="R26" s="1" t="s">
        <v>26</v>
      </c>
      <c r="S26" s="2">
        <v>703800412</v>
      </c>
      <c r="T26" s="1">
        <v>0.55550438256599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>
        <v>1130102375.8399999</v>
      </c>
      <c r="AB26" s="1">
        <v>0.85247316588657995</v>
      </c>
      <c r="AC26" s="1" t="s">
        <v>26</v>
      </c>
      <c r="AD26" s="1" t="s">
        <v>26</v>
      </c>
      <c r="AE26" s="2">
        <v>4367584271.04</v>
      </c>
      <c r="AF26" s="1">
        <v>0.41336045519373998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>
        <v>552986038</v>
      </c>
      <c r="AV26" s="1">
        <v>0.36965015726188999</v>
      </c>
      <c r="AW26" s="1" t="s">
        <v>26</v>
      </c>
      <c r="AX26" s="1" t="s">
        <v>26</v>
      </c>
      <c r="AY26" s="2">
        <v>4920570309.04</v>
      </c>
      <c r="AZ26" s="1">
        <v>0.39869878551893001</v>
      </c>
      <c r="BA26" s="1" t="s">
        <v>26</v>
      </c>
      <c r="BB26" s="1" t="s">
        <v>26</v>
      </c>
    </row>
    <row r="27" spans="1:56">
      <c r="A27" s="3" t="s">
        <v>38</v>
      </c>
      <c r="B27" s="24" t="s">
        <v>39</v>
      </c>
      <c r="C27" s="2" t="s">
        <v>26</v>
      </c>
      <c r="D27" s="1" t="s">
        <v>26</v>
      </c>
      <c r="E27" s="1" t="s">
        <v>26</v>
      </c>
      <c r="F27" s="1" t="s">
        <v>26</v>
      </c>
      <c r="G27" s="2">
        <v>4999230073.6599998</v>
      </c>
      <c r="H27" s="1">
        <v>0.79910755586292004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276906056.33999997</v>
      </c>
      <c r="P27" s="1">
        <v>0.18054861401182001</v>
      </c>
      <c r="Q27" s="1" t="s">
        <v>26</v>
      </c>
      <c r="R27" s="1" t="s">
        <v>26</v>
      </c>
      <c r="S27" s="2">
        <v>563157030.79999995</v>
      </c>
      <c r="T27" s="1">
        <v>0.44449561743401</v>
      </c>
      <c r="U27" s="1" t="s">
        <v>26</v>
      </c>
      <c r="V27" s="1" t="s">
        <v>26</v>
      </c>
      <c r="W27" s="2">
        <v>163592753.63999999</v>
      </c>
      <c r="X27" s="1">
        <v>1</v>
      </c>
      <c r="Y27" s="1" t="s">
        <v>26</v>
      </c>
      <c r="Z27" s="1" t="s">
        <v>26</v>
      </c>
      <c r="AA27" s="2">
        <v>195572637.83000001</v>
      </c>
      <c r="AB27" s="1">
        <v>0.14752683411341999</v>
      </c>
      <c r="AC27" s="1" t="s">
        <v>26</v>
      </c>
      <c r="AD27" s="1" t="s">
        <v>26</v>
      </c>
      <c r="AE27" s="2">
        <v>6198458552.2700005</v>
      </c>
      <c r="AF27" s="1">
        <v>0.58663954480626002</v>
      </c>
      <c r="AG27" s="1" t="s">
        <v>26</v>
      </c>
      <c r="AH27" s="1" t="s">
        <v>26</v>
      </c>
      <c r="AI27" s="2">
        <v>224216325.88</v>
      </c>
      <c r="AJ27" s="1">
        <v>1</v>
      </c>
      <c r="AK27" s="1" t="s">
        <v>26</v>
      </c>
      <c r="AL27" s="1" t="s">
        <v>26</v>
      </c>
      <c r="AM27" s="2">
        <v>55342876.700000003</v>
      </c>
      <c r="AN27" s="1">
        <v>1</v>
      </c>
      <c r="AO27" s="1" t="s">
        <v>26</v>
      </c>
      <c r="AP27" s="1" t="s">
        <v>26</v>
      </c>
      <c r="AQ27" s="2">
        <v>279559202.57999998</v>
      </c>
      <c r="AR27" s="1">
        <v>1</v>
      </c>
      <c r="AS27" s="1" t="s">
        <v>26</v>
      </c>
      <c r="AT27" s="1" t="s">
        <v>26</v>
      </c>
      <c r="AU27" s="2">
        <v>942985293.63999999</v>
      </c>
      <c r="AV27" s="1">
        <v>0.63034984273811001</v>
      </c>
      <c r="AW27" s="1" t="s">
        <v>26</v>
      </c>
      <c r="AX27" s="1" t="s">
        <v>26</v>
      </c>
      <c r="AY27" s="2">
        <v>7421003048.4899998</v>
      </c>
      <c r="AZ27" s="1">
        <v>0.60130121448106999</v>
      </c>
      <c r="BA27" s="1" t="s">
        <v>26</v>
      </c>
      <c r="BB27" s="1" t="s">
        <v>26</v>
      </c>
    </row>
    <row r="28" spans="1:56" s="7" customFormat="1">
      <c r="A28" s="5" t="s">
        <v>45</v>
      </c>
      <c r="B28" s="24" t="s">
        <v>25</v>
      </c>
      <c r="C28" s="10">
        <v>104511885.48</v>
      </c>
      <c r="D28" s="11">
        <v>2.0492970730119998E-2</v>
      </c>
      <c r="E28" s="11">
        <v>0.12089999999999999</v>
      </c>
      <c r="F28" s="11">
        <v>0.1004</v>
      </c>
      <c r="G28" s="10">
        <v>39851009.25</v>
      </c>
      <c r="H28" s="11">
        <v>2.9601292143000002E-4</v>
      </c>
      <c r="I28" s="11">
        <v>0.09</v>
      </c>
      <c r="J28" s="11">
        <v>8.9700000000000002E-2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>
        <v>45299499.939999998</v>
      </c>
      <c r="T28" s="11">
        <v>4.5163464857000003E-4</v>
      </c>
      <c r="U28" s="11">
        <v>0.1099</v>
      </c>
      <c r="V28" s="11">
        <v>0.1094</v>
      </c>
      <c r="W28" s="10" t="s">
        <v>26</v>
      </c>
      <c r="X28" s="11" t="s">
        <v>26</v>
      </c>
      <c r="Y28" s="11" t="s">
        <v>26</v>
      </c>
      <c r="Z28" s="11" t="s">
        <v>26</v>
      </c>
      <c r="AA28" s="10">
        <v>35311020.880000003</v>
      </c>
      <c r="AB28" s="11">
        <v>2.8566442870000001E-4</v>
      </c>
      <c r="AC28" s="11">
        <v>0.09</v>
      </c>
      <c r="AD28" s="11">
        <v>8.9700000000000002E-2</v>
      </c>
      <c r="AE28" s="10">
        <v>224973415.55000001</v>
      </c>
      <c r="AF28" s="11">
        <v>3.9315939450999999E-4</v>
      </c>
      <c r="AG28" s="11">
        <v>0.1084</v>
      </c>
      <c r="AH28" s="11">
        <v>0.108</v>
      </c>
      <c r="AI28" s="10">
        <v>1513509.54</v>
      </c>
      <c r="AJ28" s="11">
        <v>9.6227198169999994E-5</v>
      </c>
      <c r="AK28" s="11">
        <v>0.13500000000000001</v>
      </c>
      <c r="AL28" s="11">
        <v>0.13489999999999999</v>
      </c>
      <c r="AM28" s="10">
        <v>212538769.71000001</v>
      </c>
      <c r="AN28" s="11">
        <v>9.2639708297100002E-3</v>
      </c>
      <c r="AO28" s="11">
        <v>0.13500000000000001</v>
      </c>
      <c r="AP28" s="11">
        <v>0.12570000000000001</v>
      </c>
      <c r="AQ28" s="10">
        <v>214052279.25</v>
      </c>
      <c r="AR28" s="11">
        <v>5.5352125647499997E-3</v>
      </c>
      <c r="AS28" s="11">
        <v>0.13500000000000001</v>
      </c>
      <c r="AT28" s="11">
        <v>0.1295</v>
      </c>
      <c r="AU28" s="10">
        <v>4539724.58</v>
      </c>
      <c r="AV28" s="11">
        <v>1.1303580448E-4</v>
      </c>
      <c r="AW28" s="11">
        <v>0.13500000000000001</v>
      </c>
      <c r="AX28" s="11">
        <v>0.13489999999999999</v>
      </c>
      <c r="AY28" s="10">
        <v>443565419.38</v>
      </c>
      <c r="AZ28" s="11">
        <v>6.8130546345999997E-4</v>
      </c>
      <c r="BA28" s="11">
        <v>0.1215</v>
      </c>
      <c r="BB28" s="11">
        <v>0.1208</v>
      </c>
    </row>
    <row r="29" spans="1:56" s="7" customFormat="1">
      <c r="A29" s="3" t="s">
        <v>36</v>
      </c>
      <c r="B29" s="24" t="s">
        <v>46</v>
      </c>
      <c r="C29" s="2">
        <v>32788805.09</v>
      </c>
      <c r="D29" s="1">
        <v>0.31373278684437</v>
      </c>
      <c r="E29" s="1" t="s">
        <v>26</v>
      </c>
      <c r="F29" s="1" t="s">
        <v>26</v>
      </c>
      <c r="G29" s="2">
        <v>39851009.25</v>
      </c>
      <c r="H29" s="1">
        <v>1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2">
        <v>25222157.789999999</v>
      </c>
      <c r="T29" s="1">
        <v>0.55678667145128002</v>
      </c>
      <c r="U29" s="1" t="s">
        <v>26</v>
      </c>
      <c r="V29" s="1" t="s">
        <v>26</v>
      </c>
      <c r="W29" s="2" t="s">
        <v>26</v>
      </c>
      <c r="X29" s="1" t="s">
        <v>26</v>
      </c>
      <c r="Y29" s="1" t="s">
        <v>26</v>
      </c>
      <c r="Z29" s="1" t="s">
        <v>26</v>
      </c>
      <c r="AA29" s="2">
        <v>35311020.880000003</v>
      </c>
      <c r="AB29" s="1">
        <v>1</v>
      </c>
      <c r="AC29" s="1" t="s">
        <v>26</v>
      </c>
      <c r="AD29" s="1" t="s">
        <v>26</v>
      </c>
      <c r="AE29" s="2">
        <v>133172993.01000001</v>
      </c>
      <c r="AF29" s="1">
        <v>0.59194990965677996</v>
      </c>
      <c r="AG29" s="1" t="s">
        <v>26</v>
      </c>
      <c r="AH29" s="1" t="s">
        <v>26</v>
      </c>
      <c r="AI29" s="2" t="s">
        <v>26</v>
      </c>
      <c r="AJ29" s="1" t="s">
        <v>26</v>
      </c>
      <c r="AK29" s="1" t="s">
        <v>26</v>
      </c>
      <c r="AL29" s="1" t="s">
        <v>26</v>
      </c>
      <c r="AM29" s="2" t="s">
        <v>26</v>
      </c>
      <c r="AN29" s="1" t="s">
        <v>26</v>
      </c>
      <c r="AO29" s="1" t="s">
        <v>26</v>
      </c>
      <c r="AP29" s="1" t="s">
        <v>26</v>
      </c>
      <c r="AQ29" s="2" t="s">
        <v>26</v>
      </c>
      <c r="AR29" s="1" t="s">
        <v>26</v>
      </c>
      <c r="AS29" s="1" t="s">
        <v>26</v>
      </c>
      <c r="AT29" s="1" t="s">
        <v>26</v>
      </c>
      <c r="AU29" s="2" t="s">
        <v>26</v>
      </c>
      <c r="AV29" s="1" t="s">
        <v>26</v>
      </c>
      <c r="AW29" s="1" t="s">
        <v>26</v>
      </c>
      <c r="AX29" s="1" t="s">
        <v>26</v>
      </c>
      <c r="AY29" s="2">
        <v>133172993.01000001</v>
      </c>
      <c r="AZ29" s="1">
        <v>0.30023303709325</v>
      </c>
      <c r="BA29" s="1" t="s">
        <v>26</v>
      </c>
      <c r="BB29" s="1" t="s">
        <v>26</v>
      </c>
    </row>
    <row r="30" spans="1:56">
      <c r="A30" s="3" t="s">
        <v>38</v>
      </c>
      <c r="B30" s="24" t="s">
        <v>43</v>
      </c>
      <c r="C30" s="2">
        <v>71723080.390000001</v>
      </c>
      <c r="D30" s="1">
        <v>0.68626721315563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20077342.149999999</v>
      </c>
      <c r="T30" s="1">
        <v>0.44321332854871998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91800422.540000007</v>
      </c>
      <c r="AF30" s="1">
        <v>0.40805009034321998</v>
      </c>
      <c r="AG30" s="1" t="s">
        <v>26</v>
      </c>
      <c r="AH30" s="1" t="s">
        <v>26</v>
      </c>
      <c r="AI30" s="2">
        <v>1513509.54</v>
      </c>
      <c r="AJ30" s="1">
        <v>1</v>
      </c>
      <c r="AK30" s="1" t="s">
        <v>26</v>
      </c>
      <c r="AL30" s="1" t="s">
        <v>26</v>
      </c>
      <c r="AM30" s="2">
        <v>212538769.71000001</v>
      </c>
      <c r="AN30" s="1">
        <v>1</v>
      </c>
      <c r="AO30" s="1" t="s">
        <v>26</v>
      </c>
      <c r="AP30" s="1" t="s">
        <v>26</v>
      </c>
      <c r="AQ30" s="2">
        <v>214052279.25</v>
      </c>
      <c r="AR30" s="1">
        <v>1</v>
      </c>
      <c r="AS30" s="1" t="s">
        <v>26</v>
      </c>
      <c r="AT30" s="1" t="s">
        <v>26</v>
      </c>
      <c r="AU30" s="2">
        <v>4539724.58</v>
      </c>
      <c r="AV30" s="1">
        <v>1</v>
      </c>
      <c r="AW30" s="1" t="s">
        <v>26</v>
      </c>
      <c r="AX30" s="1" t="s">
        <v>26</v>
      </c>
      <c r="AY30" s="2">
        <v>310392426.37</v>
      </c>
      <c r="AZ30" s="1">
        <v>0.69976696290675</v>
      </c>
      <c r="BA30" s="1" t="s">
        <v>26</v>
      </c>
      <c r="BB30" s="1" t="s">
        <v>26</v>
      </c>
    </row>
    <row r="31" spans="1:56" s="7" customFormat="1">
      <c r="A31" s="5" t="s">
        <v>47</v>
      </c>
      <c r="B31" s="24" t="s">
        <v>25</v>
      </c>
      <c r="C31" s="10" t="s">
        <v>26</v>
      </c>
      <c r="D31" s="11" t="s">
        <v>26</v>
      </c>
      <c r="E31" s="11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>
        <v>57032842.539999999</v>
      </c>
      <c r="L31" s="11">
        <v>2.3339820499779999E-2</v>
      </c>
      <c r="M31" s="11">
        <v>0.13500000000000001</v>
      </c>
      <c r="N31" s="11">
        <v>0.11169999999999999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>
        <v>5289899.51</v>
      </c>
      <c r="AB31" s="11">
        <v>4.2795027830000002E-5</v>
      </c>
      <c r="AC31" s="11">
        <v>0.13500000000000001</v>
      </c>
      <c r="AD31" s="11">
        <v>0.13500000000000001</v>
      </c>
      <c r="AE31" s="10">
        <v>62322742.049999997</v>
      </c>
      <c r="AF31" s="11">
        <v>1.0891407533E-4</v>
      </c>
      <c r="AG31" s="11">
        <v>0.13500000000000001</v>
      </c>
      <c r="AH31" s="11">
        <v>0.13489999999999999</v>
      </c>
      <c r="AI31" s="10">
        <v>1012219.65</v>
      </c>
      <c r="AJ31" s="11">
        <v>6.4355762729999998E-5</v>
      </c>
      <c r="AK31" s="11">
        <v>0.13500000000000001</v>
      </c>
      <c r="AL31" s="11">
        <v>0.13489999999999999</v>
      </c>
      <c r="AM31" s="10" t="s">
        <v>26</v>
      </c>
      <c r="AN31" s="11" t="s">
        <v>26</v>
      </c>
      <c r="AO31" s="11" t="s">
        <v>26</v>
      </c>
      <c r="AP31" s="11" t="s">
        <v>26</v>
      </c>
      <c r="AQ31" s="10">
        <v>1012219.65</v>
      </c>
      <c r="AR31" s="11">
        <v>2.61751519E-5</v>
      </c>
      <c r="AS31" s="11">
        <v>0.13500000000000001</v>
      </c>
      <c r="AT31" s="11">
        <v>0.13500000000000001</v>
      </c>
      <c r="AU31" s="10" t="s">
        <v>26</v>
      </c>
      <c r="AV31" s="11" t="s">
        <v>26</v>
      </c>
      <c r="AW31" s="11" t="s">
        <v>26</v>
      </c>
      <c r="AX31" s="11" t="s">
        <v>26</v>
      </c>
      <c r="AY31" s="10">
        <v>63334961.700000003</v>
      </c>
      <c r="AZ31" s="11">
        <v>9.7280927570000006E-5</v>
      </c>
      <c r="BA31" s="11">
        <v>0.13500000000000001</v>
      </c>
      <c r="BB31" s="11">
        <v>0.13489999999999999</v>
      </c>
    </row>
    <row r="32" spans="1:56" s="7" customFormat="1">
      <c r="A32" s="3" t="s">
        <v>38</v>
      </c>
      <c r="B32" s="24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>
        <v>57032842.539999999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>
        <v>5289899.51</v>
      </c>
      <c r="AB32" s="1">
        <v>1</v>
      </c>
      <c r="AC32" s="1" t="s">
        <v>26</v>
      </c>
      <c r="AD32" s="1" t="s">
        <v>26</v>
      </c>
      <c r="AE32" s="2">
        <v>62322742.049999997</v>
      </c>
      <c r="AF32" s="1">
        <v>1</v>
      </c>
      <c r="AG32" s="1" t="s">
        <v>26</v>
      </c>
      <c r="AH32" s="1" t="s">
        <v>26</v>
      </c>
      <c r="AI32" s="2">
        <v>1012219.65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1012219.65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63334961.700000003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48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31161007.66</v>
      </c>
      <c r="L33" s="11">
        <v>1.2752166874140001E-2</v>
      </c>
      <c r="M33" s="11">
        <v>0.13500000000000001</v>
      </c>
      <c r="N33" s="11">
        <v>0.1222</v>
      </c>
      <c r="O33" s="10" t="s">
        <v>26</v>
      </c>
      <c r="P33" s="11" t="s">
        <v>26</v>
      </c>
      <c r="Q33" s="11" t="s">
        <v>26</v>
      </c>
      <c r="R33" s="11" t="s">
        <v>26</v>
      </c>
      <c r="S33" s="10">
        <v>101626911.34</v>
      </c>
      <c r="T33" s="11">
        <v>1.0132172418900001E-3</v>
      </c>
      <c r="U33" s="11">
        <v>0.13500000000000001</v>
      </c>
      <c r="V33" s="11">
        <v>0.13400000000000001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>
        <v>77140822.650000006</v>
      </c>
      <c r="AB33" s="11">
        <v>6.2406547538999997E-4</v>
      </c>
      <c r="AC33" s="11">
        <v>0.13500000000000001</v>
      </c>
      <c r="AD33" s="11">
        <v>0.13439999999999999</v>
      </c>
      <c r="AE33" s="10">
        <v>209928741.65000001</v>
      </c>
      <c r="AF33" s="11">
        <v>3.6686759969000002E-4</v>
      </c>
      <c r="AG33" s="11">
        <v>0.13500000000000001</v>
      </c>
      <c r="AH33" s="11">
        <v>0.1346</v>
      </c>
      <c r="AI33" s="10" t="s">
        <v>26</v>
      </c>
      <c r="AJ33" s="11" t="s">
        <v>26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 t="s">
        <v>26</v>
      </c>
      <c r="AR33" s="11" t="s">
        <v>26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209928741.65000001</v>
      </c>
      <c r="AZ33" s="11">
        <v>3.2244533134000001E-4</v>
      </c>
      <c r="BA33" s="11">
        <v>0.13500000000000001</v>
      </c>
      <c r="BB33" s="11">
        <v>0.13469999999999999</v>
      </c>
    </row>
    <row r="34" spans="1:54" s="7" customFormat="1">
      <c r="A34" s="3" t="s">
        <v>38</v>
      </c>
      <c r="B34" s="24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31161007.66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101626911.34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77140822.650000006</v>
      </c>
      <c r="AB34" s="1">
        <v>1</v>
      </c>
      <c r="AC34" s="1" t="s">
        <v>26</v>
      </c>
      <c r="AD34" s="1" t="s">
        <v>26</v>
      </c>
      <c r="AE34" s="2">
        <v>209928741.65000001</v>
      </c>
      <c r="AF34" s="1">
        <v>1</v>
      </c>
      <c r="AG34" s="1" t="s">
        <v>26</v>
      </c>
      <c r="AH34" s="1" t="s">
        <v>26</v>
      </c>
      <c r="AI34" s="2" t="s">
        <v>26</v>
      </c>
      <c r="AJ34" s="1" t="s">
        <v>26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 t="s">
        <v>26</v>
      </c>
      <c r="AR34" s="1" t="s">
        <v>26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209928741.65000001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49</v>
      </c>
      <c r="B35" s="24" t="s">
        <v>25</v>
      </c>
      <c r="C35" s="10">
        <v>8573644.9299999997</v>
      </c>
      <c r="D35" s="11">
        <v>1.68114328618E-3</v>
      </c>
      <c r="E35" s="11">
        <v>0.13500000000000001</v>
      </c>
      <c r="F35" s="11">
        <v>0.1333</v>
      </c>
      <c r="G35" s="10">
        <v>871625886.14999998</v>
      </c>
      <c r="H35" s="11">
        <v>6.4744288741700002E-3</v>
      </c>
      <c r="I35" s="11">
        <v>0.1211</v>
      </c>
      <c r="J35" s="11">
        <v>0.11459999999999999</v>
      </c>
      <c r="K35" s="10">
        <v>76306591.099999994</v>
      </c>
      <c r="L35" s="11">
        <v>3.1227307984429999E-2</v>
      </c>
      <c r="M35" s="11">
        <v>0.13500000000000001</v>
      </c>
      <c r="N35" s="11">
        <v>0.1038</v>
      </c>
      <c r="O35" s="10">
        <v>1439699241.9000001</v>
      </c>
      <c r="P35" s="11">
        <v>7.1826120759600001E-3</v>
      </c>
      <c r="Q35" s="11">
        <v>0.11749999999999999</v>
      </c>
      <c r="R35" s="11">
        <v>0.1103</v>
      </c>
      <c r="S35" s="10">
        <v>803652481.05999994</v>
      </c>
      <c r="T35" s="11">
        <v>8.0123910050700006E-3</v>
      </c>
      <c r="U35" s="11">
        <v>0.13500000000000001</v>
      </c>
      <c r="V35" s="11">
        <v>0.127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558514519.72000003</v>
      </c>
      <c r="AB35" s="11">
        <v>4.5183550977300002E-3</v>
      </c>
      <c r="AC35" s="11">
        <v>0.09</v>
      </c>
      <c r="AD35" s="11">
        <v>8.5500000000000007E-2</v>
      </c>
      <c r="AE35" s="10">
        <v>3758372364.8600001</v>
      </c>
      <c r="AF35" s="11">
        <v>6.5680622738600002E-3</v>
      </c>
      <c r="AG35" s="11">
        <v>0.11840000000000001</v>
      </c>
      <c r="AH35" s="11">
        <v>0.1118</v>
      </c>
      <c r="AI35" s="10">
        <v>80455310.159999996</v>
      </c>
      <c r="AJ35" s="11">
        <v>5.1152562105499996E-3</v>
      </c>
      <c r="AK35" s="11">
        <v>0.107</v>
      </c>
      <c r="AL35" s="11">
        <v>0.1019</v>
      </c>
      <c r="AM35" s="10">
        <v>1932029806.22</v>
      </c>
      <c r="AN35" s="11">
        <v>8.4211778356359998E-2</v>
      </c>
      <c r="AO35" s="11">
        <v>0.13500000000000001</v>
      </c>
      <c r="AP35" s="11">
        <v>5.0799999999999998E-2</v>
      </c>
      <c r="AQ35" s="10">
        <v>2012485116.3800001</v>
      </c>
      <c r="AR35" s="11">
        <v>5.2041178639100003E-2</v>
      </c>
      <c r="AS35" s="11">
        <v>0.13389999999999999</v>
      </c>
      <c r="AT35" s="11">
        <v>8.1900000000000001E-2</v>
      </c>
      <c r="AU35" s="10">
        <v>6484791.6100000003</v>
      </c>
      <c r="AV35" s="11">
        <v>1.6146654353000001E-4</v>
      </c>
      <c r="AW35" s="11">
        <v>0.13500000000000001</v>
      </c>
      <c r="AX35" s="11">
        <v>0.1348</v>
      </c>
      <c r="AY35" s="10">
        <v>5777342272.8500004</v>
      </c>
      <c r="AZ35" s="11">
        <v>8.8738541888500003E-3</v>
      </c>
      <c r="BA35" s="11">
        <v>0.12379999999999999</v>
      </c>
      <c r="BB35" s="11">
        <v>0.1149</v>
      </c>
    </row>
    <row r="36" spans="1:54" s="7" customFormat="1">
      <c r="A36" s="3" t="s">
        <v>36</v>
      </c>
      <c r="B36" s="24" t="s">
        <v>46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268776478.81</v>
      </c>
      <c r="H36" s="1">
        <v>0.30836220341871001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558514519.72000003</v>
      </c>
      <c r="P36" s="1">
        <v>0.38793833007991002</v>
      </c>
      <c r="Q36" s="1" t="s">
        <v>26</v>
      </c>
      <c r="R36" s="1" t="s">
        <v>26</v>
      </c>
      <c r="S36" s="2" t="s">
        <v>26</v>
      </c>
      <c r="T36" s="1" t="s">
        <v>26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558514519.72000003</v>
      </c>
      <c r="AB36" s="1">
        <v>1</v>
      </c>
      <c r="AC36" s="1" t="s">
        <v>26</v>
      </c>
      <c r="AD36" s="1" t="s">
        <v>26</v>
      </c>
      <c r="AE36" s="2">
        <v>1385805518.25</v>
      </c>
      <c r="AF36" s="1">
        <v>0.36872491166840998</v>
      </c>
      <c r="AG36" s="1" t="s">
        <v>26</v>
      </c>
      <c r="AH36" s="1" t="s">
        <v>26</v>
      </c>
      <c r="AI36" s="2">
        <v>50036470.5</v>
      </c>
      <c r="AJ36" s="1">
        <v>0.62191632100470995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50036470.5</v>
      </c>
      <c r="AR36" s="1">
        <v>2.4863026361160001E-2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1435841988.75</v>
      </c>
      <c r="AZ36" s="1">
        <v>0.24852984658665001</v>
      </c>
      <c r="BA36" s="1" t="s">
        <v>26</v>
      </c>
      <c r="BB36" s="1" t="s">
        <v>26</v>
      </c>
    </row>
    <row r="37" spans="1:54">
      <c r="A37" s="3" t="s">
        <v>38</v>
      </c>
      <c r="B37" s="24" t="s">
        <v>43</v>
      </c>
      <c r="C37" s="2">
        <v>8573644.9299999997</v>
      </c>
      <c r="D37" s="1">
        <v>1</v>
      </c>
      <c r="E37" s="1" t="s">
        <v>26</v>
      </c>
      <c r="F37" s="1" t="s">
        <v>26</v>
      </c>
      <c r="G37" s="2">
        <v>602849407.34000003</v>
      </c>
      <c r="H37" s="1">
        <v>0.69163779658128999</v>
      </c>
      <c r="I37" s="1" t="s">
        <v>26</v>
      </c>
      <c r="J37" s="1" t="s">
        <v>26</v>
      </c>
      <c r="K37" s="2">
        <v>76306591.099999994</v>
      </c>
      <c r="L37" s="1">
        <v>1</v>
      </c>
      <c r="M37" s="1" t="s">
        <v>26</v>
      </c>
      <c r="N37" s="1" t="s">
        <v>26</v>
      </c>
      <c r="O37" s="2">
        <v>881184722.17999995</v>
      </c>
      <c r="P37" s="1">
        <v>0.61206166992009003</v>
      </c>
      <c r="Q37" s="1" t="s">
        <v>26</v>
      </c>
      <c r="R37" s="1" t="s">
        <v>26</v>
      </c>
      <c r="S37" s="2">
        <v>803652481.05999994</v>
      </c>
      <c r="T37" s="1">
        <v>1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2372566846.6100001</v>
      </c>
      <c r="AF37" s="1">
        <v>0.63127508833158996</v>
      </c>
      <c r="AG37" s="1" t="s">
        <v>26</v>
      </c>
      <c r="AH37" s="1" t="s">
        <v>26</v>
      </c>
      <c r="AI37" s="2">
        <v>30418839.66</v>
      </c>
      <c r="AJ37" s="1">
        <v>0.37808367899529</v>
      </c>
      <c r="AK37" s="1" t="s">
        <v>26</v>
      </c>
      <c r="AL37" s="1" t="s">
        <v>26</v>
      </c>
      <c r="AM37" s="2">
        <v>1932029806.22</v>
      </c>
      <c r="AN37" s="1">
        <v>1</v>
      </c>
      <c r="AO37" s="1" t="s">
        <v>26</v>
      </c>
      <c r="AP37" s="1" t="s">
        <v>26</v>
      </c>
      <c r="AQ37" s="2">
        <v>1962448645.8800001</v>
      </c>
      <c r="AR37" s="1">
        <v>0.97513697363884</v>
      </c>
      <c r="AS37" s="1" t="s">
        <v>26</v>
      </c>
      <c r="AT37" s="1" t="s">
        <v>26</v>
      </c>
      <c r="AU37" s="2">
        <v>6484791.6100000003</v>
      </c>
      <c r="AV37" s="1">
        <v>1</v>
      </c>
      <c r="AW37" s="1" t="s">
        <v>26</v>
      </c>
      <c r="AX37" s="1" t="s">
        <v>26</v>
      </c>
      <c r="AY37" s="2">
        <v>4341500284.1000004</v>
      </c>
      <c r="AZ37" s="1">
        <v>0.75147015341334999</v>
      </c>
      <c r="BA37" s="1" t="s">
        <v>26</v>
      </c>
      <c r="BB37" s="1" t="s">
        <v>26</v>
      </c>
    </row>
    <row r="38" spans="1:54" s="7" customFormat="1">
      <c r="A38" s="5" t="s">
        <v>50</v>
      </c>
      <c r="B38" s="24" t="s">
        <v>25</v>
      </c>
      <c r="C38" s="10" t="s">
        <v>26</v>
      </c>
      <c r="D38" s="11" t="s">
        <v>26</v>
      </c>
      <c r="E38" s="11" t="s">
        <v>26</v>
      </c>
      <c r="F38" s="11" t="s">
        <v>26</v>
      </c>
      <c r="G38" s="10">
        <v>120651052.39</v>
      </c>
      <c r="H38" s="11">
        <v>8.9619488098E-4</v>
      </c>
      <c r="I38" s="11">
        <v>0.13500000000000001</v>
      </c>
      <c r="J38" s="11">
        <v>0.1341</v>
      </c>
      <c r="K38" s="10" t="s">
        <v>26</v>
      </c>
      <c r="L38" s="11" t="s">
        <v>26</v>
      </c>
      <c r="M38" s="11" t="s">
        <v>26</v>
      </c>
      <c r="N38" s="11" t="s">
        <v>26</v>
      </c>
      <c r="O38" s="10">
        <v>102363117.15000001</v>
      </c>
      <c r="P38" s="11">
        <v>5.1068621833000002E-4</v>
      </c>
      <c r="Q38" s="11">
        <v>0.13500000000000001</v>
      </c>
      <c r="R38" s="11">
        <v>0.13450000000000001</v>
      </c>
      <c r="S38" s="10">
        <v>357693839.60000002</v>
      </c>
      <c r="T38" s="11">
        <v>3.56619679591E-3</v>
      </c>
      <c r="U38" s="11">
        <v>0.13500000000000001</v>
      </c>
      <c r="V38" s="11">
        <v>0.13139999999999999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10">
        <v>580708009.13999999</v>
      </c>
      <c r="AF38" s="11">
        <v>1.0148346136800001E-3</v>
      </c>
      <c r="AG38" s="11">
        <v>0.13500000000000001</v>
      </c>
      <c r="AH38" s="11">
        <v>0.13400000000000001</v>
      </c>
      <c r="AI38" s="10">
        <v>22508378.27</v>
      </c>
      <c r="AJ38" s="11">
        <v>1.4310568377199999E-3</v>
      </c>
      <c r="AK38" s="11">
        <v>0.13500000000000001</v>
      </c>
      <c r="AL38" s="11">
        <v>0.1336</v>
      </c>
      <c r="AM38" s="10" t="s">
        <v>26</v>
      </c>
      <c r="AN38" s="11" t="s">
        <v>26</v>
      </c>
      <c r="AO38" s="11" t="s">
        <v>26</v>
      </c>
      <c r="AP38" s="11" t="s">
        <v>26</v>
      </c>
      <c r="AQ38" s="10">
        <v>22508378.27</v>
      </c>
      <c r="AR38" s="11">
        <v>5.8204779995000005E-4</v>
      </c>
      <c r="AS38" s="11">
        <v>0.13500000000000001</v>
      </c>
      <c r="AT38" s="11">
        <v>0.13439999999999999</v>
      </c>
      <c r="AU38" s="10">
        <v>51184326.609999999</v>
      </c>
      <c r="AV38" s="11">
        <v>1.2744521023499999E-3</v>
      </c>
      <c r="AW38" s="11">
        <v>0.13500000000000001</v>
      </c>
      <c r="AX38" s="11">
        <v>0.13370000000000001</v>
      </c>
      <c r="AY38" s="10">
        <v>654400714.01999998</v>
      </c>
      <c r="AZ38" s="11">
        <v>1.00514323768E-3</v>
      </c>
      <c r="BA38" s="11">
        <v>0.13500000000000001</v>
      </c>
      <c r="BB38" s="11">
        <v>0.13400000000000001</v>
      </c>
    </row>
    <row r="39" spans="1:54" s="7" customFormat="1">
      <c r="A39" s="3" t="s">
        <v>38</v>
      </c>
      <c r="B39" s="24" t="s">
        <v>43</v>
      </c>
      <c r="C39" s="2" t="s">
        <v>26</v>
      </c>
      <c r="D39" s="1" t="s">
        <v>26</v>
      </c>
      <c r="E39" s="1" t="s">
        <v>26</v>
      </c>
      <c r="F39" s="1" t="s">
        <v>26</v>
      </c>
      <c r="G39" s="2">
        <v>120651052.39</v>
      </c>
      <c r="H39" s="1">
        <v>1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102363117.15000001</v>
      </c>
      <c r="P39" s="1">
        <v>1</v>
      </c>
      <c r="Q39" s="1" t="s">
        <v>26</v>
      </c>
      <c r="R39" s="1" t="s">
        <v>26</v>
      </c>
      <c r="S39" s="2">
        <v>357693839.60000002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580708009.13999999</v>
      </c>
      <c r="AF39" s="1">
        <v>1</v>
      </c>
      <c r="AG39" s="1" t="s">
        <v>26</v>
      </c>
      <c r="AH39" s="1" t="s">
        <v>26</v>
      </c>
      <c r="AI39" s="2">
        <v>22508378.27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22508378.27</v>
      </c>
      <c r="AR39" s="1">
        <v>1</v>
      </c>
      <c r="AS39" s="1" t="s">
        <v>26</v>
      </c>
      <c r="AT39" s="1" t="s">
        <v>26</v>
      </c>
      <c r="AU39" s="2">
        <v>51184326.609999999</v>
      </c>
      <c r="AV39" s="1">
        <v>1</v>
      </c>
      <c r="AW39" s="1" t="s">
        <v>26</v>
      </c>
      <c r="AX39" s="1" t="s">
        <v>26</v>
      </c>
      <c r="AY39" s="2">
        <v>654400714.01999998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51</v>
      </c>
      <c r="B40" s="24" t="s">
        <v>25</v>
      </c>
      <c r="C40" s="10">
        <v>24628570.93</v>
      </c>
      <c r="D40" s="11">
        <v>4.8292362239499998E-3</v>
      </c>
      <c r="E40" s="11">
        <v>0.13500000000000001</v>
      </c>
      <c r="F40" s="11">
        <v>0.13020000000000001</v>
      </c>
      <c r="G40" s="10">
        <v>4269352848.8899999</v>
      </c>
      <c r="H40" s="11">
        <v>3.171271275682E-2</v>
      </c>
      <c r="I40" s="11">
        <v>0.14050000000000001</v>
      </c>
      <c r="J40" s="11">
        <v>0.10879999999999999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6036054666.8900003</v>
      </c>
      <c r="P40" s="11">
        <v>3.0113677829229999E-2</v>
      </c>
      <c r="Q40" s="11">
        <v>0.05</v>
      </c>
      <c r="R40" s="11">
        <v>1.9900000000000001E-2</v>
      </c>
      <c r="S40" s="10">
        <v>7636911127.7600002</v>
      </c>
      <c r="T40" s="11">
        <v>7.613977368166E-2</v>
      </c>
      <c r="U40" s="11">
        <v>0.1457</v>
      </c>
      <c r="V40" s="11">
        <v>6.9599999999999995E-2</v>
      </c>
      <c r="W40" s="10">
        <v>550584394.16999996</v>
      </c>
      <c r="X40" s="11">
        <v>9.665603607928E-2</v>
      </c>
      <c r="Y40" s="11">
        <v>0.15</v>
      </c>
      <c r="Z40" s="11">
        <v>5.33E-2</v>
      </c>
      <c r="AA40" s="10">
        <v>3961253218.5</v>
      </c>
      <c r="AB40" s="11">
        <v>3.204634443914E-2</v>
      </c>
      <c r="AC40" s="11">
        <v>0.13500000000000001</v>
      </c>
      <c r="AD40" s="11">
        <v>0.10299999999999999</v>
      </c>
      <c r="AE40" s="10">
        <v>22478784827.139999</v>
      </c>
      <c r="AF40" s="11">
        <v>3.9283510054989999E-2</v>
      </c>
      <c r="AG40" s="11">
        <v>0.1409</v>
      </c>
      <c r="AH40" s="11">
        <v>0.1016</v>
      </c>
      <c r="AI40" s="10">
        <v>959907526.73000002</v>
      </c>
      <c r="AJ40" s="11">
        <v>6.1029818018189998E-2</v>
      </c>
      <c r="AK40" s="11">
        <v>0.1462</v>
      </c>
      <c r="AL40" s="11">
        <v>8.5199999999999998E-2</v>
      </c>
      <c r="AM40" s="10">
        <v>631854289.04999995</v>
      </c>
      <c r="AN40" s="11">
        <v>2.754076214129E-2</v>
      </c>
      <c r="AO40" s="11">
        <v>0.15</v>
      </c>
      <c r="AP40" s="11">
        <v>0.1225</v>
      </c>
      <c r="AQ40" s="10">
        <v>1591761815.78</v>
      </c>
      <c r="AR40" s="11">
        <v>4.1161626653369997E-2</v>
      </c>
      <c r="AS40" s="11">
        <v>0.1477</v>
      </c>
      <c r="AT40" s="11">
        <v>0.1065</v>
      </c>
      <c r="AU40" s="10">
        <v>2093283798.3099999</v>
      </c>
      <c r="AV40" s="11">
        <v>5.2121227615320002E-2</v>
      </c>
      <c r="AW40" s="11">
        <v>0.14199999999999999</v>
      </c>
      <c r="AX40" s="11">
        <v>8.9899999999999994E-2</v>
      </c>
      <c r="AY40" s="10">
        <v>26163830441.23</v>
      </c>
      <c r="AZ40" s="11">
        <v>4.0186993498440002E-2</v>
      </c>
      <c r="BA40" s="11">
        <v>0.1414</v>
      </c>
      <c r="BB40" s="11">
        <v>0.1012</v>
      </c>
    </row>
    <row r="41" spans="1:54" s="7" customFormat="1">
      <c r="A41" s="3" t="s">
        <v>36</v>
      </c>
      <c r="B41" s="24" t="s">
        <v>37</v>
      </c>
      <c r="C41" s="2">
        <v>24628570.93</v>
      </c>
      <c r="D41" s="1">
        <v>1</v>
      </c>
      <c r="E41" s="1" t="s">
        <v>26</v>
      </c>
      <c r="F41" s="1" t="s">
        <v>26</v>
      </c>
      <c r="G41" s="2">
        <v>2706101246</v>
      </c>
      <c r="H41" s="1">
        <v>0.63384342821502004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4712137479.21</v>
      </c>
      <c r="P41" s="1">
        <v>0.78066514292154998</v>
      </c>
      <c r="Q41" s="1" t="s">
        <v>26</v>
      </c>
      <c r="R41" s="1" t="s">
        <v>26</v>
      </c>
      <c r="S41" s="2">
        <v>2170568980</v>
      </c>
      <c r="T41" s="1">
        <v>0.28422079865640998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3961253218.5</v>
      </c>
      <c r="AB41" s="1">
        <v>1</v>
      </c>
      <c r="AC41" s="1" t="s">
        <v>26</v>
      </c>
      <c r="AD41" s="1" t="s">
        <v>26</v>
      </c>
      <c r="AE41" s="2">
        <v>13574689494.639999</v>
      </c>
      <c r="AF41" s="1">
        <v>0.60388893790426001</v>
      </c>
      <c r="AG41" s="1" t="s">
        <v>26</v>
      </c>
      <c r="AH41" s="1" t="s">
        <v>26</v>
      </c>
      <c r="AI41" s="2">
        <v>241489234.5</v>
      </c>
      <c r="AJ41" s="1">
        <v>0.25157551928221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241489234.5</v>
      </c>
      <c r="AR41" s="1">
        <v>0.15171191575647999</v>
      </c>
      <c r="AS41" s="1" t="s">
        <v>26</v>
      </c>
      <c r="AT41" s="1" t="s">
        <v>26</v>
      </c>
      <c r="AU41" s="2">
        <v>1112394841</v>
      </c>
      <c r="AV41" s="1">
        <v>0.53141138430349999</v>
      </c>
      <c r="AW41" s="1" t="s">
        <v>26</v>
      </c>
      <c r="AX41" s="1" t="s">
        <v>26</v>
      </c>
      <c r="AY41" s="2">
        <v>14928573570.139999</v>
      </c>
      <c r="AZ41" s="1">
        <v>0.57058058083938001</v>
      </c>
      <c r="BA41" s="1" t="s">
        <v>26</v>
      </c>
      <c r="BB41" s="1" t="s">
        <v>26</v>
      </c>
    </row>
    <row r="42" spans="1:54">
      <c r="A42" s="3" t="s">
        <v>38</v>
      </c>
      <c r="B42" s="24" t="s">
        <v>39</v>
      </c>
      <c r="C42" s="2" t="s">
        <v>26</v>
      </c>
      <c r="D42" s="1" t="s">
        <v>26</v>
      </c>
      <c r="E42" s="1" t="s">
        <v>26</v>
      </c>
      <c r="F42" s="1" t="s">
        <v>26</v>
      </c>
      <c r="G42" s="2">
        <v>1563251602.8900001</v>
      </c>
      <c r="H42" s="1">
        <v>0.36615657178498001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1323917187.6800001</v>
      </c>
      <c r="P42" s="1">
        <v>0.21933485707844999</v>
      </c>
      <c r="Q42" s="1" t="s">
        <v>26</v>
      </c>
      <c r="R42" s="1" t="s">
        <v>26</v>
      </c>
      <c r="S42" s="2">
        <v>5466342147.7600002</v>
      </c>
      <c r="T42" s="1">
        <v>0.71577920134358997</v>
      </c>
      <c r="U42" s="1" t="s">
        <v>26</v>
      </c>
      <c r="V42" s="1" t="s">
        <v>26</v>
      </c>
      <c r="W42" s="2">
        <v>550584394.16999996</v>
      </c>
      <c r="X42" s="1">
        <v>1</v>
      </c>
      <c r="Y42" s="1" t="s">
        <v>26</v>
      </c>
      <c r="Z42" s="1" t="s">
        <v>26</v>
      </c>
      <c r="AA42" s="2" t="s">
        <v>26</v>
      </c>
      <c r="AB42" s="1" t="s">
        <v>26</v>
      </c>
      <c r="AC42" s="1" t="s">
        <v>26</v>
      </c>
      <c r="AD42" s="1" t="s">
        <v>26</v>
      </c>
      <c r="AE42" s="2">
        <v>8904095332.5</v>
      </c>
      <c r="AF42" s="1">
        <v>0.39611106209573999</v>
      </c>
      <c r="AG42" s="1" t="s">
        <v>26</v>
      </c>
      <c r="AH42" s="1" t="s">
        <v>26</v>
      </c>
      <c r="AI42" s="2">
        <v>718418292.23000002</v>
      </c>
      <c r="AJ42" s="1">
        <v>0.74842448071779</v>
      </c>
      <c r="AK42" s="1" t="s">
        <v>26</v>
      </c>
      <c r="AL42" s="1" t="s">
        <v>26</v>
      </c>
      <c r="AM42" s="2">
        <v>631854289.04999995</v>
      </c>
      <c r="AN42" s="1">
        <v>1</v>
      </c>
      <c r="AO42" s="1" t="s">
        <v>26</v>
      </c>
      <c r="AP42" s="1" t="s">
        <v>26</v>
      </c>
      <c r="AQ42" s="2">
        <v>1350272581.28</v>
      </c>
      <c r="AR42" s="1">
        <v>0.84828808424351998</v>
      </c>
      <c r="AS42" s="1" t="s">
        <v>26</v>
      </c>
      <c r="AT42" s="1" t="s">
        <v>26</v>
      </c>
      <c r="AU42" s="2">
        <v>980888957.30999994</v>
      </c>
      <c r="AV42" s="1">
        <v>0.46858861569650001</v>
      </c>
      <c r="AW42" s="1" t="s">
        <v>26</v>
      </c>
      <c r="AX42" s="1" t="s">
        <v>26</v>
      </c>
      <c r="AY42" s="2">
        <v>11235256871.09</v>
      </c>
      <c r="AZ42" s="1">
        <v>0.42941941916061999</v>
      </c>
      <c r="BA42" s="1" t="s">
        <v>26</v>
      </c>
      <c r="BB42" s="1" t="s">
        <v>26</v>
      </c>
    </row>
    <row r="43" spans="1:54" s="7" customFormat="1">
      <c r="A43" s="5" t="s">
        <v>52</v>
      </c>
      <c r="B43" s="24" t="s">
        <v>25</v>
      </c>
      <c r="C43" s="10" t="s">
        <v>26</v>
      </c>
      <c r="D43" s="11" t="s">
        <v>26</v>
      </c>
      <c r="E43" s="11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>
        <v>107524571.38</v>
      </c>
      <c r="L43" s="11">
        <v>4.400279003391E-2</v>
      </c>
      <c r="M43" s="11">
        <v>0.15</v>
      </c>
      <c r="N43" s="11">
        <v>0.106</v>
      </c>
      <c r="O43" s="10" t="s">
        <v>26</v>
      </c>
      <c r="P43" s="11" t="s">
        <v>26</v>
      </c>
      <c r="Q43" s="11" t="s">
        <v>26</v>
      </c>
      <c r="R43" s="11" t="s">
        <v>26</v>
      </c>
      <c r="S43" s="10" t="s">
        <v>26</v>
      </c>
      <c r="T43" s="11" t="s">
        <v>26</v>
      </c>
      <c r="U43" s="11" t="s">
        <v>26</v>
      </c>
      <c r="V43" s="11" t="s">
        <v>26</v>
      </c>
      <c r="W43" s="10" t="s">
        <v>26</v>
      </c>
      <c r="X43" s="11" t="s">
        <v>26</v>
      </c>
      <c r="Y43" s="11" t="s">
        <v>26</v>
      </c>
      <c r="Z43" s="11" t="s">
        <v>26</v>
      </c>
      <c r="AA43" s="10">
        <v>220972373.28</v>
      </c>
      <c r="AB43" s="11">
        <v>1.7876556723500001E-3</v>
      </c>
      <c r="AC43" s="11">
        <v>0.15</v>
      </c>
      <c r="AD43" s="11">
        <v>0.1482</v>
      </c>
      <c r="AE43" s="10">
        <v>328496944.66000003</v>
      </c>
      <c r="AF43" s="11">
        <v>5.7407520593E-4</v>
      </c>
      <c r="AG43" s="11">
        <v>0.15</v>
      </c>
      <c r="AH43" s="11">
        <v>0.14940000000000001</v>
      </c>
      <c r="AI43" s="10" t="s">
        <v>26</v>
      </c>
      <c r="AJ43" s="11" t="s">
        <v>26</v>
      </c>
      <c r="AK43" s="11" t="s">
        <v>26</v>
      </c>
      <c r="AL43" s="11" t="s">
        <v>26</v>
      </c>
      <c r="AM43" s="10">
        <v>115646151.51000001</v>
      </c>
      <c r="AN43" s="11">
        <v>5.0406924610399998E-3</v>
      </c>
      <c r="AO43" s="11">
        <v>0.15</v>
      </c>
      <c r="AP43" s="11">
        <v>0.14499999999999999</v>
      </c>
      <c r="AQ43" s="10">
        <v>115646151.51000001</v>
      </c>
      <c r="AR43" s="11">
        <v>2.9905125661200001E-3</v>
      </c>
      <c r="AS43" s="11">
        <v>0.15</v>
      </c>
      <c r="AT43" s="11">
        <v>0.14699999999999999</v>
      </c>
      <c r="AU43" s="10" t="s">
        <v>26</v>
      </c>
      <c r="AV43" s="11" t="s">
        <v>26</v>
      </c>
      <c r="AW43" s="11" t="s">
        <v>26</v>
      </c>
      <c r="AX43" s="11" t="s">
        <v>26</v>
      </c>
      <c r="AY43" s="10">
        <v>444143096.17000002</v>
      </c>
      <c r="AZ43" s="11">
        <v>6.8219276066000002E-4</v>
      </c>
      <c r="BA43" s="11">
        <v>0.15</v>
      </c>
      <c r="BB43" s="11">
        <v>0.14929999999999999</v>
      </c>
    </row>
    <row r="44" spans="1:54" s="7" customFormat="1">
      <c r="A44" s="3" t="s">
        <v>38</v>
      </c>
      <c r="B44" s="24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107524571.38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220972373.28</v>
      </c>
      <c r="AB44" s="1">
        <v>1</v>
      </c>
      <c r="AC44" s="1" t="s">
        <v>26</v>
      </c>
      <c r="AD44" s="1" t="s">
        <v>26</v>
      </c>
      <c r="AE44" s="2">
        <v>328496944.66000003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115646151.51000001</v>
      </c>
      <c r="AN44" s="1">
        <v>1</v>
      </c>
      <c r="AO44" s="1" t="s">
        <v>26</v>
      </c>
      <c r="AP44" s="1" t="s">
        <v>26</v>
      </c>
      <c r="AQ44" s="2">
        <v>115646151.51000001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444143096.17000002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53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>
        <v>1000364490.05</v>
      </c>
      <c r="P45" s="11">
        <v>4.9907854762200003E-3</v>
      </c>
      <c r="Q45" s="11">
        <v>0.15</v>
      </c>
      <c r="R45" s="11">
        <v>0.14499999999999999</v>
      </c>
      <c r="S45" s="10">
        <v>146905952.66999999</v>
      </c>
      <c r="T45" s="11">
        <v>1.46464791873E-3</v>
      </c>
      <c r="U45" s="11">
        <v>0.15</v>
      </c>
      <c r="V45" s="11">
        <v>0.14849999999999999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 t="s">
        <v>26</v>
      </c>
      <c r="AB45" s="11" t="s">
        <v>26</v>
      </c>
      <c r="AC45" s="11" t="s">
        <v>26</v>
      </c>
      <c r="AD45" s="11" t="s">
        <v>26</v>
      </c>
      <c r="AE45" s="10">
        <v>1147270442.72</v>
      </c>
      <c r="AF45" s="11">
        <v>2.0049486802299998E-3</v>
      </c>
      <c r="AG45" s="11">
        <v>0.15</v>
      </c>
      <c r="AH45" s="11">
        <v>0.14799999999999999</v>
      </c>
      <c r="AI45" s="10" t="s">
        <v>26</v>
      </c>
      <c r="AJ45" s="11" t="s">
        <v>26</v>
      </c>
      <c r="AK45" s="11" t="s">
        <v>26</v>
      </c>
      <c r="AL45" s="11" t="s">
        <v>26</v>
      </c>
      <c r="AM45" s="10" t="s">
        <v>26</v>
      </c>
      <c r="AN45" s="11" t="s">
        <v>26</v>
      </c>
      <c r="AO45" s="11" t="s">
        <v>26</v>
      </c>
      <c r="AP45" s="11" t="s">
        <v>26</v>
      </c>
      <c r="AQ45" s="10" t="s">
        <v>26</v>
      </c>
      <c r="AR45" s="11" t="s">
        <v>26</v>
      </c>
      <c r="AS45" s="11" t="s">
        <v>26</v>
      </c>
      <c r="AT45" s="11" t="s">
        <v>26</v>
      </c>
      <c r="AU45" s="10">
        <v>10981078.18</v>
      </c>
      <c r="AV45" s="11">
        <v>2.7342077350000002E-4</v>
      </c>
      <c r="AW45" s="11">
        <v>0.15</v>
      </c>
      <c r="AX45" s="11">
        <v>0.1497</v>
      </c>
      <c r="AY45" s="10">
        <v>1158251520.9000001</v>
      </c>
      <c r="AZ45" s="11">
        <v>1.7790455585099999E-3</v>
      </c>
      <c r="BA45" s="11">
        <v>0.15</v>
      </c>
      <c r="BB45" s="11">
        <v>0.1482</v>
      </c>
    </row>
    <row r="46" spans="1:54" s="7" customFormat="1">
      <c r="A46" s="3" t="s">
        <v>38</v>
      </c>
      <c r="B46" s="24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1000364490.05</v>
      </c>
      <c r="P46" s="1">
        <v>1</v>
      </c>
      <c r="Q46" s="1" t="s">
        <v>26</v>
      </c>
      <c r="R46" s="1" t="s">
        <v>26</v>
      </c>
      <c r="S46" s="2">
        <v>146905952.66999999</v>
      </c>
      <c r="T46" s="1">
        <v>1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1147270442.72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>
        <v>10981078.18</v>
      </c>
      <c r="AV46" s="1">
        <v>1</v>
      </c>
      <c r="AW46" s="1" t="s">
        <v>26</v>
      </c>
      <c r="AX46" s="1" t="s">
        <v>26</v>
      </c>
      <c r="AY46" s="2">
        <v>1158251520.9000001</v>
      </c>
      <c r="AZ46" s="1">
        <v>1</v>
      </c>
      <c r="BA46" s="1" t="s">
        <v>26</v>
      </c>
      <c r="BB46" s="1" t="s">
        <v>26</v>
      </c>
    </row>
    <row r="47" spans="1:54" s="7" customFormat="1">
      <c r="A47" s="13" t="s">
        <v>54</v>
      </c>
      <c r="B47" s="25" t="s">
        <v>25</v>
      </c>
      <c r="C47" s="55">
        <v>74733390.510000005</v>
      </c>
      <c r="D47" s="56">
        <v>1.465392359204E-2</v>
      </c>
      <c r="E47" s="56" t="s">
        <v>26</v>
      </c>
      <c r="F47" s="56" t="s">
        <v>26</v>
      </c>
      <c r="G47" s="55">
        <v>922785914.98000002</v>
      </c>
      <c r="H47" s="56">
        <v>6.8544450865399998E-3</v>
      </c>
      <c r="I47" s="56" t="s">
        <v>26</v>
      </c>
      <c r="J47" s="56" t="s">
        <v>26</v>
      </c>
      <c r="K47" s="55">
        <v>99158444.950000003</v>
      </c>
      <c r="L47" s="56">
        <v>4.0579080457839999E-2</v>
      </c>
      <c r="M47" s="56" t="s">
        <v>26</v>
      </c>
      <c r="N47" s="56" t="s">
        <v>26</v>
      </c>
      <c r="O47" s="55">
        <v>3756750440.3600001</v>
      </c>
      <c r="P47" s="56">
        <v>1.874230415214E-2</v>
      </c>
      <c r="Q47" s="56" t="s">
        <v>26</v>
      </c>
      <c r="R47" s="56" t="s">
        <v>26</v>
      </c>
      <c r="S47" s="55">
        <v>1300067023.24</v>
      </c>
      <c r="T47" s="56">
        <v>1.2961629023110001E-2</v>
      </c>
      <c r="U47" s="56" t="s">
        <v>26</v>
      </c>
      <c r="V47" s="56" t="s">
        <v>26</v>
      </c>
      <c r="W47" s="55">
        <v>165589402.31999999</v>
      </c>
      <c r="X47" s="56">
        <v>2.9069503993330002E-2</v>
      </c>
      <c r="Y47" s="56" t="s">
        <v>26</v>
      </c>
      <c r="Z47" s="56" t="s">
        <v>26</v>
      </c>
      <c r="AA47" s="55">
        <v>2621304782.9099998</v>
      </c>
      <c r="AB47" s="56">
        <v>2.120622725172E-2</v>
      </c>
      <c r="AC47" s="56" t="s">
        <v>26</v>
      </c>
      <c r="AD47" s="56" t="s">
        <v>26</v>
      </c>
      <c r="AE47" s="55">
        <v>8940389399.2700005</v>
      </c>
      <c r="AF47" s="56">
        <v>1.5624059732880001E-2</v>
      </c>
      <c r="AG47" s="56" t="s">
        <v>26</v>
      </c>
      <c r="AH47" s="56" t="s">
        <v>26</v>
      </c>
      <c r="AI47" s="55">
        <v>206244284</v>
      </c>
      <c r="AJ47" s="56">
        <v>1.311277468851E-2</v>
      </c>
      <c r="AK47" s="56" t="s">
        <v>26</v>
      </c>
      <c r="AL47" s="56" t="s">
        <v>26</v>
      </c>
      <c r="AM47" s="55">
        <v>360943598.11000001</v>
      </c>
      <c r="AN47" s="56">
        <v>1.5732522441080001E-2</v>
      </c>
      <c r="AO47" s="56" t="s">
        <v>26</v>
      </c>
      <c r="AP47" s="56" t="s">
        <v>26</v>
      </c>
      <c r="AQ47" s="55">
        <v>567187882.11000001</v>
      </c>
      <c r="AR47" s="56">
        <v>1.466700332568E-2</v>
      </c>
      <c r="AS47" s="56" t="s">
        <v>26</v>
      </c>
      <c r="AT47" s="56" t="s">
        <v>26</v>
      </c>
      <c r="AU47" s="55">
        <v>515243758</v>
      </c>
      <c r="AV47" s="56">
        <v>1.282919077183E-2</v>
      </c>
      <c r="AW47" s="56" t="s">
        <v>26</v>
      </c>
      <c r="AX47" s="56" t="s">
        <v>26</v>
      </c>
      <c r="AY47" s="55">
        <v>10022821039.379999</v>
      </c>
      <c r="AZ47" s="56">
        <v>1.5394804092250001E-2</v>
      </c>
      <c r="BA47" s="56" t="s">
        <v>26</v>
      </c>
      <c r="BB47" s="56" t="s">
        <v>26</v>
      </c>
    </row>
    <row r="48" spans="1:54" s="7" customFormat="1">
      <c r="A48" s="5" t="s">
        <v>55</v>
      </c>
      <c r="B48" s="24" t="s">
        <v>25</v>
      </c>
      <c r="C48" s="10">
        <v>36028533.100000001</v>
      </c>
      <c r="D48" s="11">
        <v>7.0645713726899999E-3</v>
      </c>
      <c r="E48" s="11">
        <v>0.12</v>
      </c>
      <c r="F48" s="11">
        <v>0.1129</v>
      </c>
      <c r="G48" s="10" t="s">
        <v>26</v>
      </c>
      <c r="H48" s="11" t="s">
        <v>26</v>
      </c>
      <c r="I48" s="11" t="s">
        <v>26</v>
      </c>
      <c r="J48" s="11" t="s">
        <v>26</v>
      </c>
      <c r="K48" s="10">
        <v>30881599.800000001</v>
      </c>
      <c r="L48" s="11">
        <v>1.263782347114E-2</v>
      </c>
      <c r="M48" s="11">
        <v>0.12</v>
      </c>
      <c r="N48" s="11">
        <v>0.1074</v>
      </c>
      <c r="O48" s="10">
        <v>826597487.98000002</v>
      </c>
      <c r="P48" s="11">
        <v>4.12386762897E-3</v>
      </c>
      <c r="Q48" s="11">
        <v>0.12</v>
      </c>
      <c r="R48" s="11">
        <v>0.1159</v>
      </c>
      <c r="S48" s="10">
        <v>308815998</v>
      </c>
      <c r="T48" s="11">
        <v>3.07888618888E-3</v>
      </c>
      <c r="U48" s="11">
        <v>0.12</v>
      </c>
      <c r="V48" s="11">
        <v>0.1169</v>
      </c>
      <c r="W48" s="10" t="s">
        <v>26</v>
      </c>
      <c r="X48" s="11" t="s">
        <v>26</v>
      </c>
      <c r="Y48" s="11" t="s">
        <v>26</v>
      </c>
      <c r="Z48" s="11" t="s">
        <v>26</v>
      </c>
      <c r="AA48" s="10">
        <v>905860260.79999995</v>
      </c>
      <c r="AB48" s="11">
        <v>7.3283651233799997E-3</v>
      </c>
      <c r="AC48" s="11">
        <v>0.12</v>
      </c>
      <c r="AD48" s="11">
        <v>0.11269999999999999</v>
      </c>
      <c r="AE48" s="10">
        <v>2108183879.6800001</v>
      </c>
      <c r="AF48" s="11">
        <v>3.6842232919599999E-3</v>
      </c>
      <c r="AG48" s="11">
        <v>0.12</v>
      </c>
      <c r="AH48" s="11">
        <v>0.1163</v>
      </c>
      <c r="AI48" s="10" t="s">
        <v>26</v>
      </c>
      <c r="AJ48" s="11" t="s">
        <v>26</v>
      </c>
      <c r="AK48" s="11" t="s">
        <v>26</v>
      </c>
      <c r="AL48" s="11" t="s">
        <v>26</v>
      </c>
      <c r="AM48" s="10" t="s">
        <v>26</v>
      </c>
      <c r="AN48" s="11" t="s">
        <v>26</v>
      </c>
      <c r="AO48" s="11" t="s">
        <v>26</v>
      </c>
      <c r="AP48" s="11" t="s">
        <v>26</v>
      </c>
      <c r="AQ48" s="10" t="s">
        <v>26</v>
      </c>
      <c r="AR48" s="11" t="s">
        <v>26</v>
      </c>
      <c r="AS48" s="11" t="s">
        <v>26</v>
      </c>
      <c r="AT48" s="11" t="s">
        <v>26</v>
      </c>
      <c r="AU48" s="10">
        <v>205877332</v>
      </c>
      <c r="AV48" s="11">
        <v>5.1261942077199998E-3</v>
      </c>
      <c r="AW48" s="11">
        <v>0.12</v>
      </c>
      <c r="AX48" s="11">
        <v>0.1149</v>
      </c>
      <c r="AY48" s="10">
        <v>2314061211.6799998</v>
      </c>
      <c r="AZ48" s="11">
        <v>3.5543405266199998E-3</v>
      </c>
      <c r="BA48" s="11">
        <v>0.12</v>
      </c>
      <c r="BB48" s="11">
        <v>0.1164</v>
      </c>
    </row>
    <row r="49" spans="1:54">
      <c r="A49" s="3" t="s">
        <v>36</v>
      </c>
      <c r="B49" s="24" t="s">
        <v>56</v>
      </c>
      <c r="C49" s="2">
        <v>36028533.100000001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30881599.800000001</v>
      </c>
      <c r="L49" s="1">
        <v>1</v>
      </c>
      <c r="M49" s="1" t="s">
        <v>26</v>
      </c>
      <c r="N49" s="1" t="s">
        <v>26</v>
      </c>
      <c r="O49" s="2">
        <v>826597487.98000002</v>
      </c>
      <c r="P49" s="1">
        <v>1</v>
      </c>
      <c r="Q49" s="1" t="s">
        <v>26</v>
      </c>
      <c r="R49" s="1" t="s">
        <v>26</v>
      </c>
      <c r="S49" s="2">
        <v>308815998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905860260.79999995</v>
      </c>
      <c r="AB49" s="1">
        <v>1</v>
      </c>
      <c r="AC49" s="1" t="s">
        <v>26</v>
      </c>
      <c r="AD49" s="1" t="s">
        <v>26</v>
      </c>
      <c r="AE49" s="2">
        <v>2108183879.6800001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205877332</v>
      </c>
      <c r="AV49" s="1">
        <v>1</v>
      </c>
      <c r="AW49" s="1" t="s">
        <v>26</v>
      </c>
      <c r="AX49" s="1" t="s">
        <v>26</v>
      </c>
      <c r="AY49" s="2">
        <v>2314061211.6799998</v>
      </c>
      <c r="AZ49" s="1">
        <v>1</v>
      </c>
      <c r="BA49" s="1" t="s">
        <v>26</v>
      </c>
      <c r="BB49" s="1" t="s">
        <v>26</v>
      </c>
    </row>
    <row r="50" spans="1:54" s="8" customFormat="1">
      <c r="A50" s="5" t="s">
        <v>57</v>
      </c>
      <c r="B50" s="24" t="s">
        <v>25</v>
      </c>
      <c r="C50" s="10">
        <v>33696616.359999999</v>
      </c>
      <c r="D50" s="11">
        <v>6.6073228857900001E-3</v>
      </c>
      <c r="E50" s="11">
        <v>0.09</v>
      </c>
      <c r="F50" s="11">
        <v>8.3400000000000002E-2</v>
      </c>
      <c r="G50" s="10" t="s">
        <v>26</v>
      </c>
      <c r="H50" s="11" t="s">
        <v>26</v>
      </c>
      <c r="I50" s="11" t="s">
        <v>26</v>
      </c>
      <c r="J50" s="11" t="s">
        <v>26</v>
      </c>
      <c r="K50" s="10">
        <v>16715774.15</v>
      </c>
      <c r="L50" s="11">
        <v>6.8406754915299999E-3</v>
      </c>
      <c r="M50" s="11">
        <v>0.09</v>
      </c>
      <c r="N50" s="11">
        <v>8.3199999999999996E-2</v>
      </c>
      <c r="O50" s="10">
        <v>389930476.18000001</v>
      </c>
      <c r="P50" s="11">
        <v>1.9453502964300001E-3</v>
      </c>
      <c r="Q50" s="11">
        <v>0.09</v>
      </c>
      <c r="R50" s="11">
        <v>8.8099999999999998E-2</v>
      </c>
      <c r="S50" s="10">
        <v>295162360.61000001</v>
      </c>
      <c r="T50" s="11">
        <v>2.94275983578E-3</v>
      </c>
      <c r="U50" s="11">
        <v>0.09</v>
      </c>
      <c r="V50" s="11">
        <v>8.7099999999999997E-2</v>
      </c>
      <c r="W50" s="10" t="s">
        <v>26</v>
      </c>
      <c r="X50" s="11" t="s">
        <v>26</v>
      </c>
      <c r="Y50" s="11" t="s">
        <v>26</v>
      </c>
      <c r="Z50" s="11" t="s">
        <v>26</v>
      </c>
      <c r="AA50" s="10">
        <v>106644887.59</v>
      </c>
      <c r="AB50" s="11">
        <v>8.6275191507999998E-4</v>
      </c>
      <c r="AC50" s="11">
        <v>0.09</v>
      </c>
      <c r="AD50" s="11">
        <v>8.9099999999999999E-2</v>
      </c>
      <c r="AE50" s="10">
        <v>842150114.88999999</v>
      </c>
      <c r="AF50" s="11">
        <v>1.47172601902E-3</v>
      </c>
      <c r="AG50" s="11">
        <v>0.09</v>
      </c>
      <c r="AH50" s="11">
        <v>8.8499999999999995E-2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10" t="s">
        <v>26</v>
      </c>
      <c r="AV50" s="11" t="s">
        <v>26</v>
      </c>
      <c r="AW50" s="11" t="s">
        <v>26</v>
      </c>
      <c r="AX50" s="11" t="s">
        <v>26</v>
      </c>
      <c r="AY50" s="10">
        <v>842150114.88999999</v>
      </c>
      <c r="AZ50" s="11">
        <v>1.2935216526399999E-3</v>
      </c>
      <c r="BA50" s="11">
        <v>0.09</v>
      </c>
      <c r="BB50" s="11">
        <v>8.8700000000000001E-2</v>
      </c>
    </row>
    <row r="51" spans="1:54" s="8" customFormat="1">
      <c r="A51" s="3" t="s">
        <v>36</v>
      </c>
      <c r="B51" s="24" t="s">
        <v>46</v>
      </c>
      <c r="C51" s="2">
        <v>33696616.359999999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16715774.15</v>
      </c>
      <c r="L51" s="1">
        <v>1</v>
      </c>
      <c r="M51" s="1" t="s">
        <v>26</v>
      </c>
      <c r="N51" s="1" t="s">
        <v>26</v>
      </c>
      <c r="O51" s="2">
        <v>389930476.18000001</v>
      </c>
      <c r="P51" s="1">
        <v>1</v>
      </c>
      <c r="Q51" s="1" t="s">
        <v>26</v>
      </c>
      <c r="R51" s="1" t="s">
        <v>26</v>
      </c>
      <c r="S51" s="2">
        <v>295162360.61000001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106644887.59</v>
      </c>
      <c r="AB51" s="1">
        <v>1</v>
      </c>
      <c r="AC51" s="1" t="s">
        <v>26</v>
      </c>
      <c r="AD51" s="1" t="s">
        <v>26</v>
      </c>
      <c r="AE51" s="2">
        <v>842150114.88999999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842150114.88999999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4" t="s">
        <v>25</v>
      </c>
      <c r="C52" s="10">
        <v>5008241.05</v>
      </c>
      <c r="D52" s="11">
        <v>9.8202933356000008E-4</v>
      </c>
      <c r="E52" s="11">
        <v>0.12</v>
      </c>
      <c r="F52" s="11">
        <v>0.11899999999999999</v>
      </c>
      <c r="G52" s="10">
        <v>80131853.599999994</v>
      </c>
      <c r="H52" s="11">
        <v>5.9521865393E-4</v>
      </c>
      <c r="I52" s="11">
        <v>0.12</v>
      </c>
      <c r="J52" s="11">
        <v>0.11940000000000001</v>
      </c>
      <c r="K52" s="10" t="s">
        <v>26</v>
      </c>
      <c r="L52" s="11" t="s">
        <v>26</v>
      </c>
      <c r="M52" s="11" t="s">
        <v>26</v>
      </c>
      <c r="N52" s="11" t="s">
        <v>26</v>
      </c>
      <c r="O52" s="10">
        <v>260428524.19999999</v>
      </c>
      <c r="P52" s="11">
        <v>1.29926932543E-3</v>
      </c>
      <c r="Q52" s="11">
        <v>0.12</v>
      </c>
      <c r="R52" s="11">
        <v>0.1187</v>
      </c>
      <c r="S52" s="10">
        <v>139229097.83000001</v>
      </c>
      <c r="T52" s="11">
        <v>1.3881099074400001E-3</v>
      </c>
      <c r="U52" s="11">
        <v>0.12</v>
      </c>
      <c r="V52" s="11">
        <v>0.1186</v>
      </c>
      <c r="W52" s="10" t="s">
        <v>26</v>
      </c>
      <c r="X52" s="11" t="s">
        <v>26</v>
      </c>
      <c r="Y52" s="11" t="s">
        <v>26</v>
      </c>
      <c r="Z52" s="11" t="s">
        <v>26</v>
      </c>
      <c r="AA52" s="10">
        <v>133519703.06</v>
      </c>
      <c r="AB52" s="11">
        <v>1.0801678553900001E-3</v>
      </c>
      <c r="AC52" s="11">
        <v>0.12</v>
      </c>
      <c r="AD52" s="11">
        <v>0.11890000000000001</v>
      </c>
      <c r="AE52" s="10">
        <v>618317419.74000001</v>
      </c>
      <c r="AF52" s="11">
        <v>1.08056012646E-3</v>
      </c>
      <c r="AG52" s="11">
        <v>0.12</v>
      </c>
      <c r="AH52" s="11">
        <v>0.11890000000000001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10">
        <v>618317419.74000001</v>
      </c>
      <c r="AZ52" s="11">
        <v>9.4972019418000002E-4</v>
      </c>
      <c r="BA52" s="11">
        <v>0.12</v>
      </c>
      <c r="BB52" s="11">
        <v>0.1191</v>
      </c>
    </row>
    <row r="53" spans="1:54" s="7" customFormat="1">
      <c r="A53" s="3" t="s">
        <v>36</v>
      </c>
      <c r="B53" s="24" t="s">
        <v>56</v>
      </c>
      <c r="C53" s="2">
        <v>5008241.05</v>
      </c>
      <c r="D53" s="1">
        <v>1</v>
      </c>
      <c r="E53" s="1" t="s">
        <v>26</v>
      </c>
      <c r="F53" s="1" t="s">
        <v>26</v>
      </c>
      <c r="G53" s="2">
        <v>80131853.599999994</v>
      </c>
      <c r="H53" s="1">
        <v>1</v>
      </c>
      <c r="I53" s="1" t="s">
        <v>26</v>
      </c>
      <c r="J53" s="1" t="s">
        <v>26</v>
      </c>
      <c r="K53" s="2" t="s">
        <v>26</v>
      </c>
      <c r="L53" s="1" t="s">
        <v>26</v>
      </c>
      <c r="M53" s="1" t="s">
        <v>26</v>
      </c>
      <c r="N53" s="1" t="s">
        <v>26</v>
      </c>
      <c r="O53" s="2">
        <v>260428524.19999999</v>
      </c>
      <c r="P53" s="1">
        <v>1</v>
      </c>
      <c r="Q53" s="1" t="s">
        <v>26</v>
      </c>
      <c r="R53" s="1" t="s">
        <v>26</v>
      </c>
      <c r="S53" s="2">
        <v>139229097.83000001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133519703.06</v>
      </c>
      <c r="AB53" s="1">
        <v>1</v>
      </c>
      <c r="AC53" s="1" t="s">
        <v>26</v>
      </c>
      <c r="AD53" s="1" t="s">
        <v>26</v>
      </c>
      <c r="AE53" s="2">
        <v>618317419.74000001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618317419.74000001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59</v>
      </c>
      <c r="B54" s="24" t="s">
        <v>25</v>
      </c>
      <c r="C54" s="10" t="s">
        <v>26</v>
      </c>
      <c r="D54" s="11" t="s">
        <v>26</v>
      </c>
      <c r="E54" s="11" t="s">
        <v>26</v>
      </c>
      <c r="F54" s="11" t="s">
        <v>26</v>
      </c>
      <c r="G54" s="10">
        <v>842654061.38</v>
      </c>
      <c r="H54" s="11">
        <v>6.2592264326099996E-3</v>
      </c>
      <c r="I54" s="11">
        <v>0.13880000000000001</v>
      </c>
      <c r="J54" s="11">
        <v>0.13250000000000001</v>
      </c>
      <c r="K54" s="10">
        <v>51561071</v>
      </c>
      <c r="L54" s="11">
        <v>2.1100581495169999E-2</v>
      </c>
      <c r="M54" s="11">
        <v>0.12</v>
      </c>
      <c r="N54" s="11">
        <v>9.8900000000000002E-2</v>
      </c>
      <c r="O54" s="10">
        <v>2279793952</v>
      </c>
      <c r="P54" s="11">
        <v>1.137381690132E-2</v>
      </c>
      <c r="Q54" s="11">
        <v>0.12</v>
      </c>
      <c r="R54" s="11">
        <v>0.1086</v>
      </c>
      <c r="S54" s="10">
        <v>556859566.79999995</v>
      </c>
      <c r="T54" s="11">
        <v>5.5518730910099996E-3</v>
      </c>
      <c r="U54" s="11">
        <v>0.12</v>
      </c>
      <c r="V54" s="11">
        <v>0.1144</v>
      </c>
      <c r="W54" s="10">
        <v>165589402.31999999</v>
      </c>
      <c r="X54" s="11">
        <v>2.9069503993330002E-2</v>
      </c>
      <c r="Y54" s="11">
        <v>0.14130000000000001</v>
      </c>
      <c r="Z54" s="11">
        <v>0.11219999999999999</v>
      </c>
      <c r="AA54" s="10">
        <v>1475279931.46</v>
      </c>
      <c r="AB54" s="11">
        <v>1.193494235787E-2</v>
      </c>
      <c r="AC54" s="11">
        <v>0.12</v>
      </c>
      <c r="AD54" s="11">
        <v>0.1081</v>
      </c>
      <c r="AE54" s="10">
        <v>5371737984.96</v>
      </c>
      <c r="AF54" s="11">
        <v>9.3875502954299996E-3</v>
      </c>
      <c r="AG54" s="11">
        <v>0.1236</v>
      </c>
      <c r="AH54" s="11">
        <v>0.1142</v>
      </c>
      <c r="AI54" s="10">
        <v>206244284</v>
      </c>
      <c r="AJ54" s="11">
        <v>1.311277468851E-2</v>
      </c>
      <c r="AK54" s="11">
        <v>0.12</v>
      </c>
      <c r="AL54" s="11">
        <v>0.1069</v>
      </c>
      <c r="AM54" s="10">
        <v>360943598.11000001</v>
      </c>
      <c r="AN54" s="11">
        <v>1.5732522441080001E-2</v>
      </c>
      <c r="AO54" s="11">
        <v>0.13139999999999999</v>
      </c>
      <c r="AP54" s="11">
        <v>0.1157</v>
      </c>
      <c r="AQ54" s="10">
        <v>567187882.11000001</v>
      </c>
      <c r="AR54" s="11">
        <v>1.466700332568E-2</v>
      </c>
      <c r="AS54" s="11">
        <v>0.1273</v>
      </c>
      <c r="AT54" s="11">
        <v>0.11260000000000001</v>
      </c>
      <c r="AU54" s="10">
        <v>309366426</v>
      </c>
      <c r="AV54" s="11">
        <v>7.7029965641100002E-3</v>
      </c>
      <c r="AW54" s="11">
        <v>0.12</v>
      </c>
      <c r="AX54" s="11">
        <v>0.1123</v>
      </c>
      <c r="AY54" s="10">
        <v>6248292293.0699997</v>
      </c>
      <c r="AZ54" s="11">
        <v>9.5972217188100006E-3</v>
      </c>
      <c r="BA54" s="11">
        <v>0.12379999999999999</v>
      </c>
      <c r="BB54" s="11">
        <v>0.1142</v>
      </c>
    </row>
    <row r="55" spans="1:54" s="7" customFormat="1">
      <c r="A55" s="3" t="s">
        <v>36</v>
      </c>
      <c r="B55" s="24" t="s">
        <v>56</v>
      </c>
      <c r="C55" s="2" t="s">
        <v>26</v>
      </c>
      <c r="D55" s="1" t="s">
        <v>26</v>
      </c>
      <c r="E55" s="1" t="s">
        <v>26</v>
      </c>
      <c r="F55" s="1" t="s">
        <v>26</v>
      </c>
      <c r="G55" s="2">
        <v>313276869</v>
      </c>
      <c r="H55" s="1">
        <v>0.37177399760816998</v>
      </c>
      <c r="I55" s="1" t="s">
        <v>26</v>
      </c>
      <c r="J55" s="1" t="s">
        <v>26</v>
      </c>
      <c r="K55" s="2">
        <v>51561071</v>
      </c>
      <c r="L55" s="1">
        <v>1</v>
      </c>
      <c r="M55" s="1" t="s">
        <v>26</v>
      </c>
      <c r="N55" s="1" t="s">
        <v>26</v>
      </c>
      <c r="O55" s="2">
        <v>2279793952</v>
      </c>
      <c r="P55" s="1">
        <v>1</v>
      </c>
      <c r="Q55" s="1" t="s">
        <v>26</v>
      </c>
      <c r="R55" s="1" t="s">
        <v>26</v>
      </c>
      <c r="S55" s="2">
        <v>556859566.79999995</v>
      </c>
      <c r="T55" s="1">
        <v>1</v>
      </c>
      <c r="U55" s="1" t="s">
        <v>26</v>
      </c>
      <c r="V55" s="1" t="s">
        <v>26</v>
      </c>
      <c r="W55" s="2">
        <v>48062294.5</v>
      </c>
      <c r="X55" s="1">
        <v>0.29024982170731001</v>
      </c>
      <c r="Y55" s="1" t="s">
        <v>26</v>
      </c>
      <c r="Z55" s="1" t="s">
        <v>26</v>
      </c>
      <c r="AA55" s="2">
        <v>1475279931.46</v>
      </c>
      <c r="AB55" s="1">
        <v>1</v>
      </c>
      <c r="AC55" s="1" t="s">
        <v>26</v>
      </c>
      <c r="AD55" s="1" t="s">
        <v>26</v>
      </c>
      <c r="AE55" s="2">
        <v>4724833684.7600002</v>
      </c>
      <c r="AF55" s="1">
        <v>0.87957262584078999</v>
      </c>
      <c r="AG55" s="1" t="s">
        <v>26</v>
      </c>
      <c r="AH55" s="1" t="s">
        <v>26</v>
      </c>
      <c r="AI55" s="2">
        <v>206244284</v>
      </c>
      <c r="AJ55" s="1">
        <v>1</v>
      </c>
      <c r="AK55" s="1" t="s">
        <v>26</v>
      </c>
      <c r="AL55" s="1" t="s">
        <v>26</v>
      </c>
      <c r="AM55" s="2">
        <v>223465681.71000001</v>
      </c>
      <c r="AN55" s="1">
        <v>0.61911523817053005</v>
      </c>
      <c r="AO55" s="1" t="s">
        <v>26</v>
      </c>
      <c r="AP55" s="1" t="s">
        <v>26</v>
      </c>
      <c r="AQ55" s="2">
        <v>429709965.70999998</v>
      </c>
      <c r="AR55" s="1">
        <v>0.75761485614155</v>
      </c>
      <c r="AS55" s="1" t="s">
        <v>26</v>
      </c>
      <c r="AT55" s="1" t="s">
        <v>26</v>
      </c>
      <c r="AU55" s="2">
        <v>309366426</v>
      </c>
      <c r="AV55" s="1">
        <v>1</v>
      </c>
      <c r="AW55" s="1" t="s">
        <v>26</v>
      </c>
      <c r="AX55" s="1" t="s">
        <v>26</v>
      </c>
      <c r="AY55" s="2">
        <v>5463910076.4700003</v>
      </c>
      <c r="AZ55" s="1">
        <v>0.87446454490133996</v>
      </c>
      <c r="BA55" s="1" t="s">
        <v>26</v>
      </c>
      <c r="BB55" s="1" t="s">
        <v>26</v>
      </c>
    </row>
    <row r="56" spans="1:54" s="7" customFormat="1">
      <c r="A56" s="3" t="s">
        <v>38</v>
      </c>
      <c r="B56" s="24" t="s">
        <v>39</v>
      </c>
      <c r="C56" s="2" t="s">
        <v>26</v>
      </c>
      <c r="D56" s="1" t="s">
        <v>26</v>
      </c>
      <c r="E56" s="1" t="s">
        <v>26</v>
      </c>
      <c r="F56" s="1" t="s">
        <v>26</v>
      </c>
      <c r="G56" s="2">
        <v>529377192.38</v>
      </c>
      <c r="H56" s="1">
        <v>0.62822600239183002</v>
      </c>
      <c r="I56" s="1" t="s">
        <v>26</v>
      </c>
      <c r="J56" s="1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 t="s">
        <v>26</v>
      </c>
      <c r="T56" s="1" t="s">
        <v>26</v>
      </c>
      <c r="U56" s="1" t="s">
        <v>26</v>
      </c>
      <c r="V56" s="1" t="s">
        <v>26</v>
      </c>
      <c r="W56" s="2">
        <v>117527107.81999999</v>
      </c>
      <c r="X56" s="1">
        <v>0.70975017829269005</v>
      </c>
      <c r="Y56" s="1" t="s">
        <v>26</v>
      </c>
      <c r="Z56" s="1" t="s">
        <v>26</v>
      </c>
      <c r="AA56" s="2" t="s">
        <v>26</v>
      </c>
      <c r="AB56" s="1" t="s">
        <v>26</v>
      </c>
      <c r="AC56" s="1" t="s">
        <v>26</v>
      </c>
      <c r="AD56" s="1" t="s">
        <v>26</v>
      </c>
      <c r="AE56" s="2">
        <v>646904300.20000005</v>
      </c>
      <c r="AF56" s="1">
        <v>0.12042737415921</v>
      </c>
      <c r="AG56" s="1" t="s">
        <v>26</v>
      </c>
      <c r="AH56" s="1" t="s">
        <v>26</v>
      </c>
      <c r="AI56" s="2" t="s">
        <v>26</v>
      </c>
      <c r="AJ56" s="1" t="s">
        <v>26</v>
      </c>
      <c r="AK56" s="1" t="s">
        <v>26</v>
      </c>
      <c r="AL56" s="1" t="s">
        <v>26</v>
      </c>
      <c r="AM56" s="2">
        <v>137477916.40000001</v>
      </c>
      <c r="AN56" s="1">
        <v>0.38088476182947001</v>
      </c>
      <c r="AO56" s="1" t="s">
        <v>26</v>
      </c>
      <c r="AP56" s="1" t="s">
        <v>26</v>
      </c>
      <c r="AQ56" s="2">
        <v>137477916.40000001</v>
      </c>
      <c r="AR56" s="1">
        <v>0.24238514385845</v>
      </c>
      <c r="AS56" s="1" t="s">
        <v>26</v>
      </c>
      <c r="AT56" s="1" t="s">
        <v>26</v>
      </c>
      <c r="AU56" s="2" t="s">
        <v>26</v>
      </c>
      <c r="AV56" s="1" t="s">
        <v>26</v>
      </c>
      <c r="AW56" s="1" t="s">
        <v>26</v>
      </c>
      <c r="AX56" s="1" t="s">
        <v>26</v>
      </c>
      <c r="AY56" s="2">
        <v>784382216.60000002</v>
      </c>
      <c r="AZ56" s="1">
        <v>0.12553545509865999</v>
      </c>
      <c r="BA56" s="1" t="s">
        <v>26</v>
      </c>
      <c r="BB56" s="1" t="s">
        <v>26</v>
      </c>
    </row>
    <row r="57" spans="1:54" s="7" customFormat="1">
      <c r="A57" s="13" t="s">
        <v>60</v>
      </c>
      <c r="B57" s="25" t="s">
        <v>25</v>
      </c>
      <c r="C57" s="55">
        <v>89167251.439999998</v>
      </c>
      <c r="D57" s="56">
        <v>1.748415374436E-2</v>
      </c>
      <c r="E57" s="56" t="s">
        <v>26</v>
      </c>
      <c r="F57" s="56" t="s">
        <v>26</v>
      </c>
      <c r="G57" s="55" t="s">
        <v>26</v>
      </c>
      <c r="H57" s="56" t="s">
        <v>26</v>
      </c>
      <c r="I57" s="56" t="s">
        <v>26</v>
      </c>
      <c r="J57" s="56" t="s">
        <v>26</v>
      </c>
      <c r="K57" s="55">
        <v>40449909.659999996</v>
      </c>
      <c r="L57" s="56">
        <v>1.6553508270859999E-2</v>
      </c>
      <c r="M57" s="56" t="s">
        <v>26</v>
      </c>
      <c r="N57" s="56" t="s">
        <v>26</v>
      </c>
      <c r="O57" s="55">
        <v>111151866.65000001</v>
      </c>
      <c r="P57" s="56">
        <v>5.5453299996999997E-4</v>
      </c>
      <c r="Q57" s="56" t="s">
        <v>26</v>
      </c>
      <c r="R57" s="56" t="s">
        <v>26</v>
      </c>
      <c r="S57" s="55">
        <v>39317071.5</v>
      </c>
      <c r="T57" s="56">
        <v>3.919900174E-4</v>
      </c>
      <c r="U57" s="56" t="s">
        <v>26</v>
      </c>
      <c r="V57" s="56" t="s">
        <v>26</v>
      </c>
      <c r="W57" s="55" t="s">
        <v>26</v>
      </c>
      <c r="X57" s="56" t="s">
        <v>26</v>
      </c>
      <c r="Y57" s="56" t="s">
        <v>26</v>
      </c>
      <c r="Z57" s="56" t="s">
        <v>26</v>
      </c>
      <c r="AA57" s="55">
        <v>111183801.98</v>
      </c>
      <c r="AB57" s="56">
        <v>8.9947151008999996E-4</v>
      </c>
      <c r="AC57" s="56" t="s">
        <v>26</v>
      </c>
      <c r="AD57" s="56" t="s">
        <v>26</v>
      </c>
      <c r="AE57" s="55">
        <v>391269901.23000002</v>
      </c>
      <c r="AF57" s="56">
        <v>6.8377606785000001E-4</v>
      </c>
      <c r="AG57" s="56" t="s">
        <v>26</v>
      </c>
      <c r="AH57" s="56" t="s">
        <v>26</v>
      </c>
      <c r="AI57" s="55">
        <v>32539816.77</v>
      </c>
      <c r="AJ57" s="56">
        <v>2.0688441756299999E-3</v>
      </c>
      <c r="AK57" s="56" t="s">
        <v>26</v>
      </c>
      <c r="AL57" s="56" t="s">
        <v>26</v>
      </c>
      <c r="AM57" s="55" t="s">
        <v>26</v>
      </c>
      <c r="AN57" s="56" t="s">
        <v>26</v>
      </c>
      <c r="AO57" s="56" t="s">
        <v>26</v>
      </c>
      <c r="AP57" s="56" t="s">
        <v>26</v>
      </c>
      <c r="AQ57" s="55">
        <v>32539816.77</v>
      </c>
      <c r="AR57" s="56">
        <v>8.4145239317999997E-4</v>
      </c>
      <c r="AS57" s="56" t="s">
        <v>26</v>
      </c>
      <c r="AT57" s="56" t="s">
        <v>26</v>
      </c>
      <c r="AU57" s="55">
        <v>50774712.090000004</v>
      </c>
      <c r="AV57" s="56">
        <v>1.26425300195E-3</v>
      </c>
      <c r="AW57" s="56" t="s">
        <v>26</v>
      </c>
      <c r="AX57" s="56" t="s">
        <v>26</v>
      </c>
      <c r="AY57" s="55">
        <v>474584430.08999997</v>
      </c>
      <c r="AZ57" s="56">
        <v>7.2894989322000003E-4</v>
      </c>
      <c r="BA57" s="56" t="s">
        <v>26</v>
      </c>
      <c r="BB57" s="56" t="s">
        <v>26</v>
      </c>
    </row>
    <row r="58" spans="1:54" s="7" customFormat="1">
      <c r="A58" s="5" t="s">
        <v>61</v>
      </c>
      <c r="B58" s="24" t="s">
        <v>25</v>
      </c>
      <c r="C58" s="10">
        <v>49248298.200000003</v>
      </c>
      <c r="D58" s="11">
        <v>9.6567383593299996E-3</v>
      </c>
      <c r="E58" s="11">
        <v>0.09</v>
      </c>
      <c r="F58" s="11">
        <v>8.0299999999999996E-2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10" t="s">
        <v>26</v>
      </c>
      <c r="P58" s="11" t="s">
        <v>26</v>
      </c>
      <c r="Q58" s="11" t="s">
        <v>26</v>
      </c>
      <c r="R58" s="11" t="s">
        <v>26</v>
      </c>
      <c r="S58" s="10" t="s">
        <v>26</v>
      </c>
      <c r="T58" s="11" t="s">
        <v>26</v>
      </c>
      <c r="U58" s="11" t="s">
        <v>26</v>
      </c>
      <c r="V58" s="11" t="s">
        <v>26</v>
      </c>
      <c r="W58" s="10" t="s">
        <v>26</v>
      </c>
      <c r="X58" s="11" t="s">
        <v>26</v>
      </c>
      <c r="Y58" s="11" t="s">
        <v>26</v>
      </c>
      <c r="Z58" s="11" t="s">
        <v>26</v>
      </c>
      <c r="AA58" s="10" t="s">
        <v>26</v>
      </c>
      <c r="AB58" s="11" t="s">
        <v>26</v>
      </c>
      <c r="AC58" s="11" t="s">
        <v>26</v>
      </c>
      <c r="AD58" s="11" t="s">
        <v>26</v>
      </c>
      <c r="AE58" s="10">
        <v>49248298.200000003</v>
      </c>
      <c r="AF58" s="11">
        <v>8.606541823E-5</v>
      </c>
      <c r="AG58" s="11">
        <v>0.09</v>
      </c>
      <c r="AH58" s="11">
        <v>8.9899999999999994E-2</v>
      </c>
      <c r="AI58" s="10" t="s">
        <v>26</v>
      </c>
      <c r="AJ58" s="11" t="s">
        <v>26</v>
      </c>
      <c r="AK58" s="11" t="s">
        <v>26</v>
      </c>
      <c r="AL58" s="11" t="s">
        <v>26</v>
      </c>
      <c r="AM58" s="10" t="s">
        <v>26</v>
      </c>
      <c r="AN58" s="11" t="s">
        <v>26</v>
      </c>
      <c r="AO58" s="11" t="s">
        <v>26</v>
      </c>
      <c r="AP58" s="11" t="s">
        <v>26</v>
      </c>
      <c r="AQ58" s="10" t="s">
        <v>26</v>
      </c>
      <c r="AR58" s="11" t="s">
        <v>26</v>
      </c>
      <c r="AS58" s="11" t="s">
        <v>26</v>
      </c>
      <c r="AT58" s="11" t="s">
        <v>26</v>
      </c>
      <c r="AU58" s="10" t="s">
        <v>26</v>
      </c>
      <c r="AV58" s="11" t="s">
        <v>26</v>
      </c>
      <c r="AW58" s="11" t="s">
        <v>26</v>
      </c>
      <c r="AX58" s="11" t="s">
        <v>26</v>
      </c>
      <c r="AY58" s="10">
        <v>49248298.200000003</v>
      </c>
      <c r="AZ58" s="11">
        <v>7.5644162430000002E-5</v>
      </c>
      <c r="BA58" s="11">
        <v>0.09</v>
      </c>
      <c r="BB58" s="11">
        <v>8.9899999999999994E-2</v>
      </c>
    </row>
    <row r="59" spans="1:54" s="7" customFormat="1">
      <c r="A59" s="3" t="s">
        <v>36</v>
      </c>
      <c r="B59" s="24" t="s">
        <v>46</v>
      </c>
      <c r="C59" s="2">
        <v>49248298.200000003</v>
      </c>
      <c r="D59" s="1">
        <v>1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49248298.200000003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49248298.200000003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62</v>
      </c>
      <c r="B60" s="24" t="s">
        <v>25</v>
      </c>
      <c r="C60" s="10">
        <v>17854409.640000001</v>
      </c>
      <c r="D60" s="11">
        <v>3.5009405148099999E-3</v>
      </c>
      <c r="E60" s="11">
        <v>0.12</v>
      </c>
      <c r="F60" s="11">
        <v>0.11650000000000001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>
        <v>81007695.980000004</v>
      </c>
      <c r="AB60" s="11">
        <v>6.5534829116000001E-4</v>
      </c>
      <c r="AC60" s="11">
        <v>0.13500000000000001</v>
      </c>
      <c r="AD60" s="11">
        <v>0.1343</v>
      </c>
      <c r="AE60" s="10">
        <v>98862105.620000005</v>
      </c>
      <c r="AF60" s="11">
        <v>1.7276959364E-4</v>
      </c>
      <c r="AG60" s="11">
        <v>0.1323</v>
      </c>
      <c r="AH60" s="11">
        <v>0.1321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98862105.620000005</v>
      </c>
      <c r="AZ60" s="11">
        <v>1.5184973793E-4</v>
      </c>
      <c r="BA60" s="11">
        <v>0.1323</v>
      </c>
      <c r="BB60" s="11">
        <v>0.1321</v>
      </c>
    </row>
    <row r="61" spans="1:54" s="7" customFormat="1">
      <c r="A61" s="3" t="s">
        <v>36</v>
      </c>
      <c r="B61" s="24" t="s">
        <v>56</v>
      </c>
      <c r="C61" s="2">
        <v>17854409.640000001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17854409.640000001</v>
      </c>
      <c r="AF61" s="1">
        <v>0.18059912367867001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17854409.640000001</v>
      </c>
      <c r="AZ61" s="1">
        <v>0.18059912367867001</v>
      </c>
      <c r="BA61" s="1" t="s">
        <v>26</v>
      </c>
      <c r="BB61" s="1" t="s">
        <v>26</v>
      </c>
    </row>
    <row r="62" spans="1:54" s="7" customFormat="1">
      <c r="A62" s="3" t="s">
        <v>38</v>
      </c>
      <c r="B62" s="24" t="s">
        <v>43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81007695.980000004</v>
      </c>
      <c r="AB62" s="1">
        <v>1</v>
      </c>
      <c r="AC62" s="1" t="s">
        <v>26</v>
      </c>
      <c r="AD62" s="1" t="s">
        <v>26</v>
      </c>
      <c r="AE62" s="2">
        <v>81007695.980000004</v>
      </c>
      <c r="AF62" s="1">
        <v>0.81940087632132996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81007695.980000004</v>
      </c>
      <c r="AZ62" s="1">
        <v>0.81940087632132996</v>
      </c>
      <c r="BA62" s="1" t="s">
        <v>26</v>
      </c>
      <c r="BB62" s="1" t="s">
        <v>26</v>
      </c>
    </row>
    <row r="63" spans="1:54" s="7" customFormat="1">
      <c r="A63" s="5" t="s">
        <v>63</v>
      </c>
      <c r="B63" s="24" t="s">
        <v>25</v>
      </c>
      <c r="C63" s="10">
        <v>22064543.600000001</v>
      </c>
      <c r="D63" s="11">
        <v>4.3264748702199997E-3</v>
      </c>
      <c r="E63" s="11">
        <v>0.12</v>
      </c>
      <c r="F63" s="11">
        <v>0.1157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10">
        <v>22064543.600000001</v>
      </c>
      <c r="AF63" s="11">
        <v>3.855958972E-5</v>
      </c>
      <c r="AG63" s="11">
        <v>0.12</v>
      </c>
      <c r="AH63" s="11">
        <v>0.12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10">
        <v>22064543.600000001</v>
      </c>
      <c r="AZ63" s="11">
        <v>3.3890590760000003E-5</v>
      </c>
      <c r="BA63" s="11">
        <v>0.12</v>
      </c>
      <c r="BB63" s="11">
        <v>0.12</v>
      </c>
    </row>
    <row r="64" spans="1:54" s="7" customFormat="1">
      <c r="A64" s="3" t="s">
        <v>36</v>
      </c>
      <c r="B64" s="24" t="s">
        <v>56</v>
      </c>
      <c r="C64" s="2">
        <v>22064543.600000001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22064543.600000001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22064543.600000001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64</v>
      </c>
      <c r="B65" s="24" t="s">
        <v>25</v>
      </c>
      <c r="C65" s="10" t="s">
        <v>26</v>
      </c>
      <c r="D65" s="11" t="s">
        <v>26</v>
      </c>
      <c r="E65" s="11" t="s">
        <v>26</v>
      </c>
      <c r="F65" s="11" t="s">
        <v>26</v>
      </c>
      <c r="G65" s="10" t="s">
        <v>26</v>
      </c>
      <c r="H65" s="11" t="s">
        <v>26</v>
      </c>
      <c r="I65" s="11" t="s">
        <v>26</v>
      </c>
      <c r="J65" s="11" t="s">
        <v>26</v>
      </c>
      <c r="K65" s="10">
        <v>40449909.659999996</v>
      </c>
      <c r="L65" s="11">
        <v>1.6553508270859999E-2</v>
      </c>
      <c r="M65" s="11">
        <v>0.13500000000000001</v>
      </c>
      <c r="N65" s="11">
        <v>0.11840000000000001</v>
      </c>
      <c r="O65" s="10">
        <v>111151866.65000001</v>
      </c>
      <c r="P65" s="11">
        <v>5.5453299996999997E-4</v>
      </c>
      <c r="Q65" s="11">
        <v>0.13389999999999999</v>
      </c>
      <c r="R65" s="11">
        <v>0.1333</v>
      </c>
      <c r="S65" s="10">
        <v>39317071.5</v>
      </c>
      <c r="T65" s="11">
        <v>3.919900174E-4</v>
      </c>
      <c r="U65" s="11">
        <v>0.13500000000000001</v>
      </c>
      <c r="V65" s="11">
        <v>0.1346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>
        <v>30176106</v>
      </c>
      <c r="AB65" s="11">
        <v>2.4412321893E-4</v>
      </c>
      <c r="AC65" s="11">
        <v>0.12</v>
      </c>
      <c r="AD65" s="11">
        <v>0.1198</v>
      </c>
      <c r="AE65" s="10">
        <v>221094953.81</v>
      </c>
      <c r="AF65" s="11">
        <v>3.8638146625000002E-4</v>
      </c>
      <c r="AG65" s="11">
        <v>0.13239999999999999</v>
      </c>
      <c r="AH65" s="11">
        <v>0.13200000000000001</v>
      </c>
      <c r="AI65" s="10">
        <v>32539816.77</v>
      </c>
      <c r="AJ65" s="11">
        <v>2.0688441756299999E-3</v>
      </c>
      <c r="AK65" s="11">
        <v>0.13500000000000001</v>
      </c>
      <c r="AL65" s="11">
        <v>0.13289999999999999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>
        <v>32539816.77</v>
      </c>
      <c r="AR65" s="11">
        <v>8.4145239317999997E-4</v>
      </c>
      <c r="AS65" s="11">
        <v>0.13500000000000001</v>
      </c>
      <c r="AT65" s="11">
        <v>0.13420000000000001</v>
      </c>
      <c r="AU65" s="10">
        <v>50774712.090000004</v>
      </c>
      <c r="AV65" s="11">
        <v>1.26425300195E-3</v>
      </c>
      <c r="AW65" s="11">
        <v>0.13500000000000001</v>
      </c>
      <c r="AX65" s="11">
        <v>0.13370000000000001</v>
      </c>
      <c r="AY65" s="10">
        <v>304409482.67000002</v>
      </c>
      <c r="AZ65" s="11">
        <v>4.6756540211E-4</v>
      </c>
      <c r="BA65" s="11">
        <v>0.1331</v>
      </c>
      <c r="BB65" s="11">
        <v>0.1326</v>
      </c>
    </row>
    <row r="66" spans="1:54" s="7" customFormat="1">
      <c r="A66" s="3" t="s">
        <v>36</v>
      </c>
      <c r="B66" s="24" t="s">
        <v>56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8189028.7000000002</v>
      </c>
      <c r="P66" s="1">
        <v>7.3674234601800004E-2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30176106</v>
      </c>
      <c r="AB66" s="1">
        <v>1</v>
      </c>
      <c r="AC66" s="1" t="s">
        <v>26</v>
      </c>
      <c r="AD66" s="1" t="s">
        <v>26</v>
      </c>
      <c r="AE66" s="2">
        <v>38365134.700000003</v>
      </c>
      <c r="AF66" s="1">
        <v>0.17352333935657999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38365134.700000003</v>
      </c>
      <c r="AZ66" s="1">
        <v>0.12603133898293001</v>
      </c>
      <c r="BA66" s="1" t="s">
        <v>26</v>
      </c>
      <c r="BB66" s="1" t="s">
        <v>26</v>
      </c>
    </row>
    <row r="67" spans="1:54" s="7" customFormat="1">
      <c r="A67" s="3" t="s">
        <v>38</v>
      </c>
      <c r="B67" s="24" t="s">
        <v>43</v>
      </c>
      <c r="C67" s="2" t="s">
        <v>26</v>
      </c>
      <c r="D67" s="1" t="s">
        <v>26</v>
      </c>
      <c r="E67" s="1" t="s">
        <v>26</v>
      </c>
      <c r="F67" s="1" t="s">
        <v>26</v>
      </c>
      <c r="G67" s="2" t="s">
        <v>26</v>
      </c>
      <c r="H67" s="1" t="s">
        <v>26</v>
      </c>
      <c r="I67" s="1" t="s">
        <v>26</v>
      </c>
      <c r="J67" s="1" t="s">
        <v>26</v>
      </c>
      <c r="K67" s="2">
        <v>40449909.659999996</v>
      </c>
      <c r="L67" s="1">
        <v>1</v>
      </c>
      <c r="M67" s="1" t="s">
        <v>26</v>
      </c>
      <c r="N67" s="1" t="s">
        <v>26</v>
      </c>
      <c r="O67" s="2">
        <v>102962837.95</v>
      </c>
      <c r="P67" s="1">
        <v>0.9263257653982</v>
      </c>
      <c r="Q67" s="1" t="s">
        <v>26</v>
      </c>
      <c r="R67" s="1" t="s">
        <v>26</v>
      </c>
      <c r="S67" s="2">
        <v>39317071.5</v>
      </c>
      <c r="T67" s="1">
        <v>1</v>
      </c>
      <c r="U67" s="1" t="s">
        <v>26</v>
      </c>
      <c r="V67" s="1" t="s">
        <v>26</v>
      </c>
      <c r="W67" s="2" t="s">
        <v>26</v>
      </c>
      <c r="X67" s="1" t="s">
        <v>26</v>
      </c>
      <c r="Y67" s="1" t="s">
        <v>26</v>
      </c>
      <c r="Z67" s="1" t="s">
        <v>26</v>
      </c>
      <c r="AA67" s="2" t="s">
        <v>26</v>
      </c>
      <c r="AB67" s="1" t="s">
        <v>26</v>
      </c>
      <c r="AC67" s="1" t="s">
        <v>26</v>
      </c>
      <c r="AD67" s="1" t="s">
        <v>26</v>
      </c>
      <c r="AE67" s="2">
        <v>182729819.11000001</v>
      </c>
      <c r="AF67" s="1">
        <v>0.82647666064341996</v>
      </c>
      <c r="AG67" s="1" t="s">
        <v>26</v>
      </c>
      <c r="AH67" s="1" t="s">
        <v>26</v>
      </c>
      <c r="AI67" s="2">
        <v>32539816.77</v>
      </c>
      <c r="AJ67" s="1">
        <v>1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>
        <v>32539816.77</v>
      </c>
      <c r="AR67" s="1">
        <v>1</v>
      </c>
      <c r="AS67" s="1" t="s">
        <v>26</v>
      </c>
      <c r="AT67" s="1" t="s">
        <v>26</v>
      </c>
      <c r="AU67" s="2">
        <v>50774712.090000004</v>
      </c>
      <c r="AV67" s="1">
        <v>1</v>
      </c>
      <c r="AW67" s="1" t="s">
        <v>26</v>
      </c>
      <c r="AX67" s="1" t="s">
        <v>26</v>
      </c>
      <c r="AY67" s="2">
        <v>266044347.97</v>
      </c>
      <c r="AZ67" s="1">
        <v>0.87396866101707005</v>
      </c>
      <c r="BA67" s="1" t="s">
        <v>26</v>
      </c>
      <c r="BB67" s="1" t="s">
        <v>26</v>
      </c>
    </row>
    <row r="68" spans="1:54" s="7" customFormat="1">
      <c r="A68" s="13" t="s">
        <v>65</v>
      </c>
      <c r="B68" s="25" t="s">
        <v>25</v>
      </c>
      <c r="C68" s="55">
        <v>602749224.34000003</v>
      </c>
      <c r="D68" s="56">
        <v>0.11818868404555</v>
      </c>
      <c r="E68" s="56" t="s">
        <v>26</v>
      </c>
      <c r="F68" s="56" t="s">
        <v>26</v>
      </c>
      <c r="G68" s="55">
        <v>4707678380.3900003</v>
      </c>
      <c r="H68" s="56">
        <v>3.4968590677059999E-2</v>
      </c>
      <c r="I68" s="56" t="s">
        <v>26</v>
      </c>
      <c r="J68" s="56" t="s">
        <v>26</v>
      </c>
      <c r="K68" s="55">
        <v>485079046.64999998</v>
      </c>
      <c r="L68" s="56">
        <v>0.19851119763271999</v>
      </c>
      <c r="M68" s="56" t="s">
        <v>26</v>
      </c>
      <c r="N68" s="56" t="s">
        <v>26</v>
      </c>
      <c r="O68" s="55">
        <v>10225130723.91</v>
      </c>
      <c r="P68" s="56">
        <v>5.1012840236619998E-2</v>
      </c>
      <c r="Q68" s="56" t="s">
        <v>26</v>
      </c>
      <c r="R68" s="56" t="s">
        <v>26</v>
      </c>
      <c r="S68" s="55">
        <v>5362797987.04</v>
      </c>
      <c r="T68" s="56">
        <v>5.3466934235939997E-2</v>
      </c>
      <c r="U68" s="56" t="s">
        <v>26</v>
      </c>
      <c r="V68" s="56" t="s">
        <v>26</v>
      </c>
      <c r="W68" s="55" t="s">
        <v>26</v>
      </c>
      <c r="X68" s="56" t="s">
        <v>26</v>
      </c>
      <c r="Y68" s="56" t="s">
        <v>26</v>
      </c>
      <c r="Z68" s="56" t="s">
        <v>26</v>
      </c>
      <c r="AA68" s="55">
        <v>5447969451.71</v>
      </c>
      <c r="AB68" s="56">
        <v>4.4073805917800003E-2</v>
      </c>
      <c r="AC68" s="56" t="s">
        <v>26</v>
      </c>
      <c r="AD68" s="56" t="s">
        <v>26</v>
      </c>
      <c r="AE68" s="55">
        <v>26831404814.040001</v>
      </c>
      <c r="AF68" s="56">
        <v>4.6890068520489998E-2</v>
      </c>
      <c r="AG68" s="56" t="s">
        <v>26</v>
      </c>
      <c r="AH68" s="56" t="s">
        <v>26</v>
      </c>
      <c r="AI68" s="55">
        <v>1119099554.28</v>
      </c>
      <c r="AJ68" s="56">
        <v>7.1151064284929996E-2</v>
      </c>
      <c r="AK68" s="56" t="s">
        <v>26</v>
      </c>
      <c r="AL68" s="56" t="s">
        <v>26</v>
      </c>
      <c r="AM68" s="55">
        <v>2170331675.3000002</v>
      </c>
      <c r="AN68" s="56">
        <v>9.4598690668100005E-2</v>
      </c>
      <c r="AO68" s="56" t="s">
        <v>26</v>
      </c>
      <c r="AP68" s="56" t="s">
        <v>26</v>
      </c>
      <c r="AQ68" s="55">
        <v>3289431229.5799999</v>
      </c>
      <c r="AR68" s="56">
        <v>8.5061935040560005E-2</v>
      </c>
      <c r="AS68" s="56" t="s">
        <v>26</v>
      </c>
      <c r="AT68" s="56" t="s">
        <v>26</v>
      </c>
      <c r="AU68" s="55">
        <v>1404974126.9200001</v>
      </c>
      <c r="AV68" s="56">
        <v>3.4982822836520003E-2</v>
      </c>
      <c r="AW68" s="56" t="s">
        <v>26</v>
      </c>
      <c r="AX68" s="56" t="s">
        <v>26</v>
      </c>
      <c r="AY68" s="55">
        <v>31525810170.540001</v>
      </c>
      <c r="AZ68" s="56">
        <v>4.8422861140390003E-2</v>
      </c>
      <c r="BA68" s="56" t="s">
        <v>26</v>
      </c>
      <c r="BB68" s="56" t="s">
        <v>26</v>
      </c>
    </row>
    <row r="69" spans="1:54" s="7" customFormat="1">
      <c r="A69" s="5" t="s">
        <v>105</v>
      </c>
      <c r="B69" s="24" t="s">
        <v>25</v>
      </c>
      <c r="C69" s="10" t="s">
        <v>26</v>
      </c>
      <c r="D69" s="11" t="s">
        <v>26</v>
      </c>
      <c r="E69" s="11" t="s">
        <v>26</v>
      </c>
      <c r="F69" s="11" t="s">
        <v>26</v>
      </c>
      <c r="G69" s="10" t="s">
        <v>26</v>
      </c>
      <c r="H69" s="11" t="s">
        <v>26</v>
      </c>
      <c r="I69" s="11" t="s">
        <v>26</v>
      </c>
      <c r="J69" s="11" t="s">
        <v>26</v>
      </c>
      <c r="K69" s="10">
        <v>25555934.23</v>
      </c>
      <c r="L69" s="11">
        <v>1.0458376105210001E-2</v>
      </c>
      <c r="M69" s="11">
        <v>0.08</v>
      </c>
      <c r="N69" s="11">
        <v>6.9500000000000006E-2</v>
      </c>
      <c r="O69" s="10" t="s">
        <v>26</v>
      </c>
      <c r="P69" s="11" t="s">
        <v>26</v>
      </c>
      <c r="Q69" s="11" t="s">
        <v>26</v>
      </c>
      <c r="R69" s="11" t="s">
        <v>26</v>
      </c>
      <c r="S69" s="10">
        <v>26900982.969999999</v>
      </c>
      <c r="T69" s="11">
        <v>2.6820198910999999E-4</v>
      </c>
      <c r="U69" s="11">
        <v>0.08</v>
      </c>
      <c r="V69" s="11">
        <v>7.9699999999999993E-2</v>
      </c>
      <c r="W69" s="10" t="s">
        <v>26</v>
      </c>
      <c r="X69" s="11" t="s">
        <v>26</v>
      </c>
      <c r="Y69" s="11" t="s">
        <v>26</v>
      </c>
      <c r="Z69" s="11" t="s">
        <v>26</v>
      </c>
      <c r="AA69" s="10" t="s">
        <v>26</v>
      </c>
      <c r="AB69" s="11" t="s">
        <v>26</v>
      </c>
      <c r="AC69" s="11" t="s">
        <v>26</v>
      </c>
      <c r="AD69" s="11" t="s">
        <v>26</v>
      </c>
      <c r="AE69" s="10">
        <v>52456917.200000003</v>
      </c>
      <c r="AF69" s="11">
        <v>9.1672741660000001E-5</v>
      </c>
      <c r="AG69" s="11">
        <v>0.08</v>
      </c>
      <c r="AH69" s="11">
        <v>7.9899999999999999E-2</v>
      </c>
      <c r="AI69" s="10" t="s">
        <v>26</v>
      </c>
      <c r="AJ69" s="11" t="s">
        <v>26</v>
      </c>
      <c r="AK69" s="11" t="s">
        <v>26</v>
      </c>
      <c r="AL69" s="11" t="s">
        <v>26</v>
      </c>
      <c r="AM69" s="10" t="s">
        <v>26</v>
      </c>
      <c r="AN69" s="11" t="s">
        <v>26</v>
      </c>
      <c r="AO69" s="11" t="s">
        <v>26</v>
      </c>
      <c r="AP69" s="11" t="s">
        <v>26</v>
      </c>
      <c r="AQ69" s="10" t="s">
        <v>26</v>
      </c>
      <c r="AR69" s="11" t="s">
        <v>26</v>
      </c>
      <c r="AS69" s="11" t="s">
        <v>26</v>
      </c>
      <c r="AT69" s="11" t="s">
        <v>26</v>
      </c>
      <c r="AU69" s="10" t="s">
        <v>26</v>
      </c>
      <c r="AV69" s="11" t="s">
        <v>26</v>
      </c>
      <c r="AW69" s="11" t="s">
        <v>26</v>
      </c>
      <c r="AX69" s="11" t="s">
        <v>26</v>
      </c>
      <c r="AY69" s="10">
        <v>52456917.200000003</v>
      </c>
      <c r="AZ69" s="11">
        <v>8.057252149E-5</v>
      </c>
      <c r="BA69" s="11">
        <v>0.08</v>
      </c>
      <c r="BB69" s="11">
        <v>7.9899999999999999E-2</v>
      </c>
    </row>
    <row r="70" spans="1:54" s="7" customFormat="1">
      <c r="A70" s="3" t="s">
        <v>67</v>
      </c>
      <c r="B70" s="24" t="s">
        <v>56</v>
      </c>
      <c r="C70" s="2" t="s">
        <v>26</v>
      </c>
      <c r="D70" s="1" t="s">
        <v>26</v>
      </c>
      <c r="E70" s="1" t="s">
        <v>26</v>
      </c>
      <c r="F70" s="1" t="s">
        <v>26</v>
      </c>
      <c r="G70" s="2" t="s">
        <v>26</v>
      </c>
      <c r="H70" s="1" t="s">
        <v>26</v>
      </c>
      <c r="I70" s="1" t="s">
        <v>26</v>
      </c>
      <c r="J70" s="1" t="s">
        <v>26</v>
      </c>
      <c r="K70" s="2">
        <v>25555934.23</v>
      </c>
      <c r="L70" s="1">
        <v>1</v>
      </c>
      <c r="M70" s="1" t="s">
        <v>26</v>
      </c>
      <c r="N70" s="1" t="s">
        <v>26</v>
      </c>
      <c r="O70" s="2" t="s">
        <v>26</v>
      </c>
      <c r="P70" s="1" t="s">
        <v>26</v>
      </c>
      <c r="Q70" s="1" t="s">
        <v>26</v>
      </c>
      <c r="R70" s="1" t="s">
        <v>26</v>
      </c>
      <c r="S70" s="2">
        <v>26900982.969999999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52456917.200000003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52456917.200000003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66</v>
      </c>
      <c r="B71" s="24" t="s">
        <v>25</v>
      </c>
      <c r="C71" s="10">
        <v>10750513.279999999</v>
      </c>
      <c r="D71" s="11">
        <v>2.10798946903E-3</v>
      </c>
      <c r="E71" s="11">
        <v>0.06</v>
      </c>
      <c r="F71" s="11">
        <v>5.79E-2</v>
      </c>
      <c r="G71" s="10">
        <v>276331131.25</v>
      </c>
      <c r="H71" s="11">
        <v>2.0525850406999998E-3</v>
      </c>
      <c r="I71" s="11">
        <v>7.4800000000000005E-2</v>
      </c>
      <c r="J71" s="11">
        <v>7.2700000000000001E-2</v>
      </c>
      <c r="K71" s="10">
        <v>82730692</v>
      </c>
      <c r="L71" s="11">
        <v>3.3856273247260003E-2</v>
      </c>
      <c r="M71" s="11">
        <v>0.08</v>
      </c>
      <c r="N71" s="11">
        <v>4.6100000000000002E-2</v>
      </c>
      <c r="O71" s="10">
        <v>164796330.63</v>
      </c>
      <c r="P71" s="11">
        <v>8.2216346304E-4</v>
      </c>
      <c r="Q71" s="11">
        <v>0.08</v>
      </c>
      <c r="R71" s="11">
        <v>7.9200000000000007E-2</v>
      </c>
      <c r="S71" s="10">
        <v>72359224</v>
      </c>
      <c r="T71" s="11">
        <v>7.2141928155999998E-4</v>
      </c>
      <c r="U71" s="11">
        <v>0.06</v>
      </c>
      <c r="V71" s="11">
        <v>5.9299999999999999E-2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>
        <v>77270863.180000007</v>
      </c>
      <c r="AB71" s="11">
        <v>6.2511749691000003E-4</v>
      </c>
      <c r="AC71" s="11">
        <v>7.0800000000000002E-2</v>
      </c>
      <c r="AD71" s="11">
        <v>7.0199999999999999E-2</v>
      </c>
      <c r="AE71" s="10">
        <v>684238754.34000003</v>
      </c>
      <c r="AF71" s="11">
        <v>1.19576303581E-3</v>
      </c>
      <c r="AG71" s="11">
        <v>7.4399999999999994E-2</v>
      </c>
      <c r="AH71" s="11">
        <v>7.3200000000000001E-2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10">
        <v>684238754.34000003</v>
      </c>
      <c r="AZ71" s="11">
        <v>1.05097372626E-3</v>
      </c>
      <c r="BA71" s="11">
        <v>7.4399999999999994E-2</v>
      </c>
      <c r="BB71" s="11">
        <v>7.3300000000000004E-2</v>
      </c>
    </row>
    <row r="72" spans="1:54" s="7" customFormat="1">
      <c r="A72" s="3" t="s">
        <v>67</v>
      </c>
      <c r="B72" s="24" t="s">
        <v>56</v>
      </c>
      <c r="C72" s="2" t="s">
        <v>26</v>
      </c>
      <c r="D72" s="1" t="s">
        <v>26</v>
      </c>
      <c r="E72" s="1" t="s">
        <v>26</v>
      </c>
      <c r="F72" s="1" t="s">
        <v>26</v>
      </c>
      <c r="G72" s="2">
        <v>203971907.25</v>
      </c>
      <c r="H72" s="1">
        <v>0.73814306164970001</v>
      </c>
      <c r="I72" s="1" t="s">
        <v>26</v>
      </c>
      <c r="J72" s="1" t="s">
        <v>26</v>
      </c>
      <c r="K72" s="2">
        <v>82730692</v>
      </c>
      <c r="L72" s="1">
        <v>1</v>
      </c>
      <c r="M72" s="1" t="s">
        <v>26</v>
      </c>
      <c r="N72" s="1" t="s">
        <v>26</v>
      </c>
      <c r="O72" s="2">
        <v>164796330.63</v>
      </c>
      <c r="P72" s="1">
        <v>1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41876865.609999999</v>
      </c>
      <c r="AB72" s="1">
        <v>0.54194898162907001</v>
      </c>
      <c r="AC72" s="1" t="s">
        <v>26</v>
      </c>
      <c r="AD72" s="1" t="s">
        <v>26</v>
      </c>
      <c r="AE72" s="2">
        <v>493375795.49000001</v>
      </c>
      <c r="AF72" s="1">
        <v>0.72105795288648999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493375795.49000001</v>
      </c>
      <c r="AZ72" s="1">
        <v>0.72105795288648999</v>
      </c>
      <c r="BA72" s="1" t="s">
        <v>26</v>
      </c>
      <c r="BB72" s="1" t="s">
        <v>26</v>
      </c>
    </row>
    <row r="73" spans="1:54" s="7" customFormat="1">
      <c r="A73" s="3" t="s">
        <v>67</v>
      </c>
      <c r="B73" s="24" t="s">
        <v>46</v>
      </c>
      <c r="C73" s="2">
        <v>10750513.279999999</v>
      </c>
      <c r="D73" s="1">
        <v>1</v>
      </c>
      <c r="E73" s="1" t="s">
        <v>26</v>
      </c>
      <c r="F73" s="1" t="s">
        <v>26</v>
      </c>
      <c r="G73" s="2">
        <v>72359224</v>
      </c>
      <c r="H73" s="1">
        <v>0.26185693835029999</v>
      </c>
      <c r="I73" s="1" t="s">
        <v>26</v>
      </c>
      <c r="J73" s="1" t="s">
        <v>26</v>
      </c>
      <c r="K73" s="2" t="s">
        <v>26</v>
      </c>
      <c r="L73" s="1" t="s">
        <v>26</v>
      </c>
      <c r="M73" s="1" t="s">
        <v>26</v>
      </c>
      <c r="N73" s="1" t="s">
        <v>26</v>
      </c>
      <c r="O73" s="2" t="s">
        <v>26</v>
      </c>
      <c r="P73" s="1" t="s">
        <v>26</v>
      </c>
      <c r="Q73" s="1" t="s">
        <v>26</v>
      </c>
      <c r="R73" s="1" t="s">
        <v>26</v>
      </c>
      <c r="S73" s="2">
        <v>72359224</v>
      </c>
      <c r="T73" s="1">
        <v>1</v>
      </c>
      <c r="U73" s="1" t="s">
        <v>26</v>
      </c>
      <c r="V73" s="1" t="s">
        <v>26</v>
      </c>
      <c r="W73" s="2" t="s">
        <v>26</v>
      </c>
      <c r="X73" s="1" t="s">
        <v>26</v>
      </c>
      <c r="Y73" s="1" t="s">
        <v>26</v>
      </c>
      <c r="Z73" s="1" t="s">
        <v>26</v>
      </c>
      <c r="AA73" s="2">
        <v>35393997.57</v>
      </c>
      <c r="AB73" s="1">
        <v>0.45805101837092999</v>
      </c>
      <c r="AC73" s="1" t="s">
        <v>26</v>
      </c>
      <c r="AD73" s="1" t="s">
        <v>26</v>
      </c>
      <c r="AE73" s="2">
        <v>190862958.84999999</v>
      </c>
      <c r="AF73" s="1">
        <v>0.27894204711351001</v>
      </c>
      <c r="AG73" s="1" t="s">
        <v>26</v>
      </c>
      <c r="AH73" s="1" t="s">
        <v>26</v>
      </c>
      <c r="AI73" s="2" t="s">
        <v>26</v>
      </c>
      <c r="AJ73" s="1" t="s">
        <v>26</v>
      </c>
      <c r="AK73" s="1" t="s">
        <v>26</v>
      </c>
      <c r="AL73" s="1" t="s">
        <v>26</v>
      </c>
      <c r="AM73" s="2" t="s">
        <v>26</v>
      </c>
      <c r="AN73" s="1" t="s">
        <v>26</v>
      </c>
      <c r="AO73" s="1" t="s">
        <v>26</v>
      </c>
      <c r="AP73" s="1" t="s">
        <v>26</v>
      </c>
      <c r="AQ73" s="2" t="s">
        <v>26</v>
      </c>
      <c r="AR73" s="1" t="s">
        <v>26</v>
      </c>
      <c r="AS73" s="1" t="s">
        <v>26</v>
      </c>
      <c r="AT73" s="1" t="s">
        <v>26</v>
      </c>
      <c r="AU73" s="2" t="s">
        <v>26</v>
      </c>
      <c r="AV73" s="1" t="s">
        <v>26</v>
      </c>
      <c r="AW73" s="1" t="s">
        <v>26</v>
      </c>
      <c r="AX73" s="1" t="s">
        <v>26</v>
      </c>
      <c r="AY73" s="2">
        <v>190862958.84999999</v>
      </c>
      <c r="AZ73" s="1">
        <v>0.27894204711351001</v>
      </c>
      <c r="BA73" s="1" t="s">
        <v>26</v>
      </c>
      <c r="BB73" s="1" t="s">
        <v>26</v>
      </c>
    </row>
    <row r="74" spans="1:54" s="7" customFormat="1">
      <c r="A74" s="5" t="s">
        <v>68</v>
      </c>
      <c r="B74" s="24" t="s">
        <v>25</v>
      </c>
      <c r="C74" s="10" t="s">
        <v>26</v>
      </c>
      <c r="D74" s="11" t="s">
        <v>26</v>
      </c>
      <c r="E74" s="11" t="s">
        <v>26</v>
      </c>
      <c r="F74" s="11" t="s">
        <v>26</v>
      </c>
      <c r="G74" s="10">
        <v>481609683.47000003</v>
      </c>
      <c r="H74" s="11">
        <v>3.57739219347E-3</v>
      </c>
      <c r="I74" s="11">
        <v>0.09</v>
      </c>
      <c r="J74" s="11">
        <v>8.6400000000000005E-2</v>
      </c>
      <c r="K74" s="10" t="s">
        <v>26</v>
      </c>
      <c r="L74" s="11" t="s">
        <v>26</v>
      </c>
      <c r="M74" s="11" t="s">
        <v>26</v>
      </c>
      <c r="N74" s="11" t="s">
        <v>26</v>
      </c>
      <c r="O74" s="10">
        <v>1059921376.9</v>
      </c>
      <c r="P74" s="11">
        <v>5.2879128221600003E-3</v>
      </c>
      <c r="Q74" s="11">
        <v>0.09</v>
      </c>
      <c r="R74" s="11">
        <v>8.4699999999999998E-2</v>
      </c>
      <c r="S74" s="10">
        <v>485439513.37</v>
      </c>
      <c r="T74" s="11">
        <v>4.8398173117100004E-3</v>
      </c>
      <c r="U74" s="11">
        <v>0.09</v>
      </c>
      <c r="V74" s="11">
        <v>8.5199999999999998E-2</v>
      </c>
      <c r="W74" s="10" t="s">
        <v>26</v>
      </c>
      <c r="X74" s="11" t="s">
        <v>26</v>
      </c>
      <c r="Y74" s="11" t="s">
        <v>26</v>
      </c>
      <c r="Z74" s="11" t="s">
        <v>26</v>
      </c>
      <c r="AA74" s="10">
        <v>1291183660.47</v>
      </c>
      <c r="AB74" s="11">
        <v>1.0445612546139999E-2</v>
      </c>
      <c r="AC74" s="11">
        <v>0.09</v>
      </c>
      <c r="AD74" s="11">
        <v>7.9600000000000004E-2</v>
      </c>
      <c r="AE74" s="10">
        <v>3318154234.21</v>
      </c>
      <c r="AF74" s="11">
        <v>5.7987451824499997E-3</v>
      </c>
      <c r="AG74" s="11">
        <v>0.09</v>
      </c>
      <c r="AH74" s="11">
        <v>8.4199999999999997E-2</v>
      </c>
      <c r="AI74" s="10">
        <v>90017983.790000007</v>
      </c>
      <c r="AJ74" s="11">
        <v>5.7232400164500003E-3</v>
      </c>
      <c r="AK74" s="11">
        <v>0.09</v>
      </c>
      <c r="AL74" s="11">
        <v>8.43E-2</v>
      </c>
      <c r="AM74" s="10">
        <v>12660443.35</v>
      </c>
      <c r="AN74" s="11">
        <v>5.5183333396000001E-4</v>
      </c>
      <c r="AO74" s="11">
        <v>0.09</v>
      </c>
      <c r="AP74" s="11">
        <v>8.9399999999999993E-2</v>
      </c>
      <c r="AQ74" s="10">
        <v>102678427.14</v>
      </c>
      <c r="AR74" s="11">
        <v>2.6551780809099998E-3</v>
      </c>
      <c r="AS74" s="11">
        <v>0.09</v>
      </c>
      <c r="AT74" s="11">
        <v>8.7300000000000003E-2</v>
      </c>
      <c r="AU74" s="10">
        <v>174575022.91</v>
      </c>
      <c r="AV74" s="11">
        <v>4.3467897245400003E-3</v>
      </c>
      <c r="AW74" s="11">
        <v>0.09</v>
      </c>
      <c r="AX74" s="11">
        <v>8.5699999999999998E-2</v>
      </c>
      <c r="AY74" s="10">
        <v>3595407684.2600002</v>
      </c>
      <c r="AZ74" s="11">
        <v>5.5224568725200001E-3</v>
      </c>
      <c r="BA74" s="11">
        <v>0.09</v>
      </c>
      <c r="BB74" s="11">
        <v>8.4500000000000006E-2</v>
      </c>
    </row>
    <row r="75" spans="1:54" s="7" customFormat="1">
      <c r="A75" s="3" t="s">
        <v>67</v>
      </c>
      <c r="B75" s="24" t="s">
        <v>37</v>
      </c>
      <c r="C75" s="2" t="s">
        <v>26</v>
      </c>
      <c r="D75" s="1" t="s">
        <v>26</v>
      </c>
      <c r="E75" s="1" t="s">
        <v>26</v>
      </c>
      <c r="F75" s="1" t="s">
        <v>26</v>
      </c>
      <c r="G75" s="2">
        <v>481609683.47000003</v>
      </c>
      <c r="H75" s="1">
        <v>1</v>
      </c>
      <c r="I75" s="1" t="s">
        <v>26</v>
      </c>
      <c r="J75" s="1" t="s">
        <v>26</v>
      </c>
      <c r="K75" s="2" t="s">
        <v>26</v>
      </c>
      <c r="L75" s="1" t="s">
        <v>26</v>
      </c>
      <c r="M75" s="1" t="s">
        <v>26</v>
      </c>
      <c r="N75" s="1" t="s">
        <v>26</v>
      </c>
      <c r="O75" s="2">
        <v>1059921376.9</v>
      </c>
      <c r="P75" s="1">
        <v>1</v>
      </c>
      <c r="Q75" s="1" t="s">
        <v>26</v>
      </c>
      <c r="R75" s="1" t="s">
        <v>26</v>
      </c>
      <c r="S75" s="2">
        <v>485439513.37</v>
      </c>
      <c r="T75" s="1">
        <v>1</v>
      </c>
      <c r="U75" s="1" t="s">
        <v>26</v>
      </c>
      <c r="V75" s="1" t="s">
        <v>26</v>
      </c>
      <c r="W75" s="2" t="s">
        <v>26</v>
      </c>
      <c r="X75" s="1" t="s">
        <v>26</v>
      </c>
      <c r="Y75" s="1" t="s">
        <v>26</v>
      </c>
      <c r="Z75" s="1" t="s">
        <v>26</v>
      </c>
      <c r="AA75" s="2">
        <v>1291183660.47</v>
      </c>
      <c r="AB75" s="1">
        <v>1</v>
      </c>
      <c r="AC75" s="1" t="s">
        <v>26</v>
      </c>
      <c r="AD75" s="1" t="s">
        <v>26</v>
      </c>
      <c r="AE75" s="2">
        <v>3318154234.21</v>
      </c>
      <c r="AF75" s="1">
        <v>1</v>
      </c>
      <c r="AG75" s="1" t="s">
        <v>26</v>
      </c>
      <c r="AH75" s="1" t="s">
        <v>26</v>
      </c>
      <c r="AI75" s="2">
        <v>90017983.790000007</v>
      </c>
      <c r="AJ75" s="1">
        <v>1</v>
      </c>
      <c r="AK75" s="1" t="s">
        <v>26</v>
      </c>
      <c r="AL75" s="1" t="s">
        <v>26</v>
      </c>
      <c r="AM75" s="2">
        <v>12660443.35</v>
      </c>
      <c r="AN75" s="1">
        <v>1</v>
      </c>
      <c r="AO75" s="1" t="s">
        <v>26</v>
      </c>
      <c r="AP75" s="1" t="s">
        <v>26</v>
      </c>
      <c r="AQ75" s="2">
        <v>102678427.14</v>
      </c>
      <c r="AR75" s="1">
        <v>1</v>
      </c>
      <c r="AS75" s="1" t="s">
        <v>26</v>
      </c>
      <c r="AT75" s="1" t="s">
        <v>26</v>
      </c>
      <c r="AU75" s="2">
        <v>174575022.91</v>
      </c>
      <c r="AV75" s="1">
        <v>1</v>
      </c>
      <c r="AW75" s="1" t="s">
        <v>26</v>
      </c>
      <c r="AX75" s="1" t="s">
        <v>26</v>
      </c>
      <c r="AY75" s="2">
        <v>3595407684.2600002</v>
      </c>
      <c r="AZ75" s="1">
        <v>1</v>
      </c>
      <c r="BA75" s="1" t="s">
        <v>26</v>
      </c>
      <c r="BB75" s="1" t="s">
        <v>26</v>
      </c>
    </row>
    <row r="76" spans="1:54" s="7" customFormat="1">
      <c r="A76" s="5" t="s">
        <v>69</v>
      </c>
      <c r="B76" s="24" t="s">
        <v>25</v>
      </c>
      <c r="C76" s="10">
        <v>310791799.08999997</v>
      </c>
      <c r="D76" s="11">
        <v>6.0940889284120003E-2</v>
      </c>
      <c r="E76" s="11">
        <v>0.08</v>
      </c>
      <c r="F76" s="11">
        <v>1.9099999999999999E-2</v>
      </c>
      <c r="G76" s="10">
        <v>401558616</v>
      </c>
      <c r="H76" s="11">
        <v>2.9827736181500001E-3</v>
      </c>
      <c r="I76" s="11">
        <v>0.08</v>
      </c>
      <c r="J76" s="11">
        <v>7.6999999999999999E-2</v>
      </c>
      <c r="K76" s="10">
        <v>158110761.43000001</v>
      </c>
      <c r="L76" s="11">
        <v>6.4704416376779997E-2</v>
      </c>
      <c r="M76" s="11">
        <v>0.08</v>
      </c>
      <c r="N76" s="11">
        <v>1.5299999999999999E-2</v>
      </c>
      <c r="O76" s="10">
        <v>1445167966.96</v>
      </c>
      <c r="P76" s="11">
        <v>7.2098953650800001E-3</v>
      </c>
      <c r="Q76" s="11">
        <v>0.08</v>
      </c>
      <c r="R76" s="11">
        <v>7.2800000000000004E-2</v>
      </c>
      <c r="S76" s="10">
        <v>315688729.25999999</v>
      </c>
      <c r="T76" s="11">
        <v>3.14740711233E-3</v>
      </c>
      <c r="U76" s="11">
        <v>0.08</v>
      </c>
      <c r="V76" s="11">
        <v>7.6899999999999996E-2</v>
      </c>
      <c r="W76" s="10" t="s">
        <v>26</v>
      </c>
      <c r="X76" s="11" t="s">
        <v>26</v>
      </c>
      <c r="Y76" s="11" t="s">
        <v>26</v>
      </c>
      <c r="Z76" s="11" t="s">
        <v>26</v>
      </c>
      <c r="AA76" s="10" t="s">
        <v>26</v>
      </c>
      <c r="AB76" s="11" t="s">
        <v>26</v>
      </c>
      <c r="AC76" s="11" t="s">
        <v>26</v>
      </c>
      <c r="AD76" s="11" t="s">
        <v>26</v>
      </c>
      <c r="AE76" s="10">
        <v>2631317872.7399998</v>
      </c>
      <c r="AF76" s="11">
        <v>4.5984426163000001E-3</v>
      </c>
      <c r="AG76" s="11">
        <v>0.08</v>
      </c>
      <c r="AH76" s="11">
        <v>7.5399999999999995E-2</v>
      </c>
      <c r="AI76" s="10" t="s">
        <v>26</v>
      </c>
      <c r="AJ76" s="11" t="s">
        <v>26</v>
      </c>
      <c r="AK76" s="11" t="s">
        <v>26</v>
      </c>
      <c r="AL76" s="11" t="s">
        <v>26</v>
      </c>
      <c r="AM76" s="10" t="s">
        <v>26</v>
      </c>
      <c r="AN76" s="11" t="s">
        <v>26</v>
      </c>
      <c r="AO76" s="11" t="s">
        <v>26</v>
      </c>
      <c r="AP76" s="11" t="s">
        <v>26</v>
      </c>
      <c r="AQ76" s="10" t="s">
        <v>26</v>
      </c>
      <c r="AR76" s="11" t="s">
        <v>26</v>
      </c>
      <c r="AS76" s="11" t="s">
        <v>26</v>
      </c>
      <c r="AT76" s="11" t="s">
        <v>26</v>
      </c>
      <c r="AU76" s="10" t="s">
        <v>26</v>
      </c>
      <c r="AV76" s="11" t="s">
        <v>26</v>
      </c>
      <c r="AW76" s="11" t="s">
        <v>26</v>
      </c>
      <c r="AX76" s="11" t="s">
        <v>26</v>
      </c>
      <c r="AY76" s="10">
        <v>2631317872.7399998</v>
      </c>
      <c r="AZ76" s="11">
        <v>4.0416388755300002E-3</v>
      </c>
      <c r="BA76" s="11">
        <v>0.08</v>
      </c>
      <c r="BB76" s="11">
        <v>7.5999999999999998E-2</v>
      </c>
    </row>
    <row r="77" spans="1:54" s="7" customFormat="1">
      <c r="A77" s="3" t="s">
        <v>67</v>
      </c>
      <c r="B77" s="24" t="s">
        <v>56</v>
      </c>
      <c r="C77" s="2">
        <v>310791799.08999997</v>
      </c>
      <c r="D77" s="1">
        <v>1</v>
      </c>
      <c r="E77" s="1" t="s">
        <v>26</v>
      </c>
      <c r="F77" s="1" t="s">
        <v>26</v>
      </c>
      <c r="G77" s="2">
        <v>401558616</v>
      </c>
      <c r="H77" s="1">
        <v>1</v>
      </c>
      <c r="I77" s="1" t="s">
        <v>26</v>
      </c>
      <c r="J77" s="1" t="s">
        <v>26</v>
      </c>
      <c r="K77" s="2">
        <v>158110761.43000001</v>
      </c>
      <c r="L77" s="1">
        <v>1</v>
      </c>
      <c r="M77" s="1" t="s">
        <v>26</v>
      </c>
      <c r="N77" s="1" t="s">
        <v>26</v>
      </c>
      <c r="O77" s="2">
        <v>1445167966.96</v>
      </c>
      <c r="P77" s="1">
        <v>1</v>
      </c>
      <c r="Q77" s="1" t="s">
        <v>26</v>
      </c>
      <c r="R77" s="1" t="s">
        <v>26</v>
      </c>
      <c r="S77" s="2">
        <v>315688729.25999999</v>
      </c>
      <c r="T77" s="1">
        <v>1</v>
      </c>
      <c r="U77" s="1" t="s">
        <v>26</v>
      </c>
      <c r="V77" s="1" t="s">
        <v>26</v>
      </c>
      <c r="W77" s="2" t="s">
        <v>26</v>
      </c>
      <c r="X77" s="1" t="s">
        <v>26</v>
      </c>
      <c r="Y77" s="1" t="s">
        <v>26</v>
      </c>
      <c r="Z77" s="1" t="s">
        <v>26</v>
      </c>
      <c r="AA77" s="2" t="s">
        <v>26</v>
      </c>
      <c r="AB77" s="1" t="s">
        <v>26</v>
      </c>
      <c r="AC77" s="1" t="s">
        <v>26</v>
      </c>
      <c r="AD77" s="1" t="s">
        <v>26</v>
      </c>
      <c r="AE77" s="2">
        <v>2631317872.7399998</v>
      </c>
      <c r="AF77" s="1">
        <v>1</v>
      </c>
      <c r="AG77" s="1" t="s">
        <v>26</v>
      </c>
      <c r="AH77" s="1" t="s">
        <v>26</v>
      </c>
      <c r="AI77" s="2" t="s">
        <v>26</v>
      </c>
      <c r="AJ77" s="1" t="s">
        <v>26</v>
      </c>
      <c r="AK77" s="1" t="s">
        <v>26</v>
      </c>
      <c r="AL77" s="1" t="s">
        <v>26</v>
      </c>
      <c r="AM77" s="2" t="s">
        <v>26</v>
      </c>
      <c r="AN77" s="1" t="s">
        <v>26</v>
      </c>
      <c r="AO77" s="1" t="s">
        <v>26</v>
      </c>
      <c r="AP77" s="1" t="s">
        <v>26</v>
      </c>
      <c r="AQ77" s="2" t="s">
        <v>26</v>
      </c>
      <c r="AR77" s="1" t="s">
        <v>26</v>
      </c>
      <c r="AS77" s="1" t="s">
        <v>26</v>
      </c>
      <c r="AT77" s="1" t="s">
        <v>26</v>
      </c>
      <c r="AU77" s="2" t="s">
        <v>26</v>
      </c>
      <c r="AV77" s="1" t="s">
        <v>26</v>
      </c>
      <c r="AW77" s="1" t="s">
        <v>26</v>
      </c>
      <c r="AX77" s="1" t="s">
        <v>26</v>
      </c>
      <c r="AY77" s="2">
        <v>2631317872.7399998</v>
      </c>
      <c r="AZ77" s="1">
        <v>1</v>
      </c>
      <c r="BA77" s="1" t="s">
        <v>26</v>
      </c>
      <c r="BB77" s="1" t="s">
        <v>26</v>
      </c>
    </row>
    <row r="78" spans="1:54" s="7" customFormat="1">
      <c r="A78" s="5" t="s">
        <v>70</v>
      </c>
      <c r="B78" s="24" t="s">
        <v>25</v>
      </c>
      <c r="C78" s="10" t="s">
        <v>26</v>
      </c>
      <c r="D78" s="11" t="s">
        <v>26</v>
      </c>
      <c r="E78" s="11" t="s">
        <v>26</v>
      </c>
      <c r="F78" s="11" t="s">
        <v>26</v>
      </c>
      <c r="G78" s="10">
        <v>2156765651.5799999</v>
      </c>
      <c r="H78" s="11">
        <v>1.6020434949550001E-2</v>
      </c>
      <c r="I78" s="11">
        <v>0.09</v>
      </c>
      <c r="J78" s="11">
        <v>7.3999999999999996E-2</v>
      </c>
      <c r="K78" s="10" t="s">
        <v>26</v>
      </c>
      <c r="L78" s="11" t="s">
        <v>26</v>
      </c>
      <c r="M78" s="11" t="s">
        <v>26</v>
      </c>
      <c r="N78" s="11" t="s">
        <v>26</v>
      </c>
      <c r="O78" s="10">
        <v>2067835777.29</v>
      </c>
      <c r="P78" s="11">
        <v>1.031636455227E-2</v>
      </c>
      <c r="Q78" s="11">
        <v>0.09</v>
      </c>
      <c r="R78" s="11">
        <v>7.9699999999999993E-2</v>
      </c>
      <c r="S78" s="10">
        <v>1292484550.1400001</v>
      </c>
      <c r="T78" s="11">
        <v>1.288603199492E-2</v>
      </c>
      <c r="U78" s="11">
        <v>0.09</v>
      </c>
      <c r="V78" s="11">
        <v>7.7100000000000002E-2</v>
      </c>
      <c r="W78" s="10" t="s">
        <v>26</v>
      </c>
      <c r="X78" s="11" t="s">
        <v>26</v>
      </c>
      <c r="Y78" s="11" t="s">
        <v>26</v>
      </c>
      <c r="Z78" s="11" t="s">
        <v>26</v>
      </c>
      <c r="AA78" s="10">
        <v>1720096394.4300001</v>
      </c>
      <c r="AB78" s="11">
        <v>1.391549554747E-2</v>
      </c>
      <c r="AC78" s="11">
        <v>0.09</v>
      </c>
      <c r="AD78" s="11">
        <v>7.6100000000000001E-2</v>
      </c>
      <c r="AE78" s="10">
        <v>7237182373.4399996</v>
      </c>
      <c r="AF78" s="11">
        <v>1.2647566526530001E-2</v>
      </c>
      <c r="AG78" s="11">
        <v>0.09</v>
      </c>
      <c r="AH78" s="11">
        <v>7.7399999999999997E-2</v>
      </c>
      <c r="AI78" s="10">
        <v>15227500.23</v>
      </c>
      <c r="AJ78" s="11">
        <v>9.6814697461000004E-4</v>
      </c>
      <c r="AK78" s="11">
        <v>0.09</v>
      </c>
      <c r="AL78" s="11">
        <v>8.8999999999999996E-2</v>
      </c>
      <c r="AM78" s="10">
        <v>109095558.62</v>
      </c>
      <c r="AN78" s="11">
        <v>4.7551704288400004E-3</v>
      </c>
      <c r="AO78" s="11">
        <v>0.09</v>
      </c>
      <c r="AP78" s="11">
        <v>8.5199999999999998E-2</v>
      </c>
      <c r="AQ78" s="10">
        <v>124323058.84999999</v>
      </c>
      <c r="AR78" s="11">
        <v>3.2148901186500002E-3</v>
      </c>
      <c r="AS78" s="11">
        <v>0.09</v>
      </c>
      <c r="AT78" s="11">
        <v>8.6800000000000002E-2</v>
      </c>
      <c r="AU78" s="10">
        <v>449546204.01999998</v>
      </c>
      <c r="AV78" s="11">
        <v>1.119336997795E-2</v>
      </c>
      <c r="AW78" s="11">
        <v>0.09</v>
      </c>
      <c r="AX78" s="11">
        <v>7.8799999999999995E-2</v>
      </c>
      <c r="AY78" s="10">
        <v>7811051636.3100004</v>
      </c>
      <c r="AZ78" s="11">
        <v>1.1997581242139999E-2</v>
      </c>
      <c r="BA78" s="11">
        <v>0.09</v>
      </c>
      <c r="BB78" s="11">
        <v>7.8E-2</v>
      </c>
    </row>
    <row r="79" spans="1:54" s="7" customFormat="1">
      <c r="A79" s="3" t="s">
        <v>67</v>
      </c>
      <c r="B79" s="24" t="s">
        <v>37</v>
      </c>
      <c r="C79" s="2" t="s">
        <v>26</v>
      </c>
      <c r="D79" s="1" t="s">
        <v>26</v>
      </c>
      <c r="E79" s="1" t="s">
        <v>26</v>
      </c>
      <c r="F79" s="1" t="s">
        <v>26</v>
      </c>
      <c r="G79" s="2">
        <v>2156765651.5799999</v>
      </c>
      <c r="H79" s="1">
        <v>1</v>
      </c>
      <c r="I79" s="1" t="s">
        <v>26</v>
      </c>
      <c r="J79" s="1" t="s">
        <v>26</v>
      </c>
      <c r="K79" s="2" t="s">
        <v>26</v>
      </c>
      <c r="L79" s="1" t="s">
        <v>26</v>
      </c>
      <c r="M79" s="1" t="s">
        <v>26</v>
      </c>
      <c r="N79" s="1" t="s">
        <v>26</v>
      </c>
      <c r="O79" s="2">
        <v>2067835777.29</v>
      </c>
      <c r="P79" s="1">
        <v>1</v>
      </c>
      <c r="Q79" s="1" t="s">
        <v>26</v>
      </c>
      <c r="R79" s="1" t="s">
        <v>26</v>
      </c>
      <c r="S79" s="2">
        <v>1292484550.1400001</v>
      </c>
      <c r="T79" s="1">
        <v>1</v>
      </c>
      <c r="U79" s="1" t="s">
        <v>26</v>
      </c>
      <c r="V79" s="1" t="s">
        <v>26</v>
      </c>
      <c r="W79" s="2" t="s">
        <v>26</v>
      </c>
      <c r="X79" s="1" t="s">
        <v>26</v>
      </c>
      <c r="Y79" s="1" t="s">
        <v>26</v>
      </c>
      <c r="Z79" s="1" t="s">
        <v>26</v>
      </c>
      <c r="AA79" s="2">
        <v>1720096394.4300001</v>
      </c>
      <c r="AB79" s="1">
        <v>1</v>
      </c>
      <c r="AC79" s="1" t="s">
        <v>26</v>
      </c>
      <c r="AD79" s="1" t="s">
        <v>26</v>
      </c>
      <c r="AE79" s="2">
        <v>7237182373.4399996</v>
      </c>
      <c r="AF79" s="1">
        <v>1</v>
      </c>
      <c r="AG79" s="1" t="s">
        <v>26</v>
      </c>
      <c r="AH79" s="1" t="s">
        <v>26</v>
      </c>
      <c r="AI79" s="2">
        <v>15227500.23</v>
      </c>
      <c r="AJ79" s="1">
        <v>1</v>
      </c>
      <c r="AK79" s="1" t="s">
        <v>26</v>
      </c>
      <c r="AL79" s="1" t="s">
        <v>26</v>
      </c>
      <c r="AM79" s="2">
        <v>109095558.62</v>
      </c>
      <c r="AN79" s="1">
        <v>1</v>
      </c>
      <c r="AO79" s="1" t="s">
        <v>26</v>
      </c>
      <c r="AP79" s="1" t="s">
        <v>26</v>
      </c>
      <c r="AQ79" s="2">
        <v>124323058.84999999</v>
      </c>
      <c r="AR79" s="1">
        <v>1</v>
      </c>
      <c r="AS79" s="1" t="s">
        <v>26</v>
      </c>
      <c r="AT79" s="1" t="s">
        <v>26</v>
      </c>
      <c r="AU79" s="2">
        <v>449546204.01999998</v>
      </c>
      <c r="AV79" s="1">
        <v>1</v>
      </c>
      <c r="AW79" s="1" t="s">
        <v>26</v>
      </c>
      <c r="AX79" s="1" t="s">
        <v>26</v>
      </c>
      <c r="AY79" s="2">
        <v>7811051636.3100004</v>
      </c>
      <c r="AZ79" s="1">
        <v>1</v>
      </c>
      <c r="BA79" s="1" t="s">
        <v>26</v>
      </c>
      <c r="BB79" s="1" t="s">
        <v>26</v>
      </c>
    </row>
    <row r="80" spans="1:54" s="7" customFormat="1">
      <c r="A80" s="5" t="s">
        <v>71</v>
      </c>
      <c r="B80" s="24" t="s">
        <v>25</v>
      </c>
      <c r="C80" s="10">
        <v>87815423.829999998</v>
      </c>
      <c r="D80" s="11">
        <v>1.7219083761960002E-2</v>
      </c>
      <c r="E80" s="11">
        <v>0.08</v>
      </c>
      <c r="F80" s="11">
        <v>6.2799999999999995E-2</v>
      </c>
      <c r="G80" s="10">
        <v>390170952.79000002</v>
      </c>
      <c r="H80" s="11">
        <v>2.89818616306E-3</v>
      </c>
      <c r="I80" s="11">
        <v>0.08</v>
      </c>
      <c r="J80" s="11">
        <v>7.7100000000000002E-2</v>
      </c>
      <c r="K80" s="10">
        <v>105722344.42</v>
      </c>
      <c r="L80" s="11">
        <v>4.3265256152150003E-2</v>
      </c>
      <c r="M80" s="11">
        <v>0.08</v>
      </c>
      <c r="N80" s="11">
        <v>3.6700000000000003E-2</v>
      </c>
      <c r="O80" s="10">
        <v>2951381548.29</v>
      </c>
      <c r="P80" s="11">
        <v>1.472434528863E-2</v>
      </c>
      <c r="Q80" s="11">
        <v>0.08</v>
      </c>
      <c r="R80" s="11">
        <v>6.5299999999999997E-2</v>
      </c>
      <c r="S80" s="10">
        <v>2933706903.5300002</v>
      </c>
      <c r="T80" s="11">
        <v>2.924896937338E-2</v>
      </c>
      <c r="U80" s="11">
        <v>0.08</v>
      </c>
      <c r="V80" s="11">
        <v>5.0799999999999998E-2</v>
      </c>
      <c r="W80" s="10" t="s">
        <v>26</v>
      </c>
      <c r="X80" s="11" t="s">
        <v>26</v>
      </c>
      <c r="Y80" s="11" t="s">
        <v>26</v>
      </c>
      <c r="Z80" s="11" t="s">
        <v>26</v>
      </c>
      <c r="AA80" s="10">
        <v>2038695998.4300001</v>
      </c>
      <c r="AB80" s="11">
        <v>1.6492950732679999E-2</v>
      </c>
      <c r="AC80" s="11">
        <v>0.08</v>
      </c>
      <c r="AD80" s="11">
        <v>6.3500000000000001E-2</v>
      </c>
      <c r="AE80" s="10">
        <v>8507493171.29</v>
      </c>
      <c r="AF80" s="11">
        <v>1.486753826362E-2</v>
      </c>
      <c r="AG80" s="11">
        <v>0.08</v>
      </c>
      <c r="AH80" s="11">
        <v>6.5100000000000005E-2</v>
      </c>
      <c r="AI80" s="10">
        <v>632819191.78999996</v>
      </c>
      <c r="AJ80" s="11">
        <v>4.0233917370070003E-2</v>
      </c>
      <c r="AK80" s="11">
        <v>0.08</v>
      </c>
      <c r="AL80" s="11">
        <v>3.9800000000000002E-2</v>
      </c>
      <c r="AM80" s="10">
        <v>1682252700.5899999</v>
      </c>
      <c r="AN80" s="11">
        <v>7.3324692561879998E-2</v>
      </c>
      <c r="AO80" s="11">
        <v>0.08</v>
      </c>
      <c r="AP80" s="11">
        <v>6.7000000000000002E-3</v>
      </c>
      <c r="AQ80" s="10">
        <v>2315071892.3800001</v>
      </c>
      <c r="AR80" s="11">
        <v>5.9865819097539998E-2</v>
      </c>
      <c r="AS80" s="11">
        <v>0.08</v>
      </c>
      <c r="AT80" s="11">
        <v>2.01E-2</v>
      </c>
      <c r="AU80" s="10">
        <v>780852899.99000001</v>
      </c>
      <c r="AV80" s="11">
        <v>1.9442663134030001E-2</v>
      </c>
      <c r="AW80" s="11">
        <v>0.08</v>
      </c>
      <c r="AX80" s="11">
        <v>6.0600000000000001E-2</v>
      </c>
      <c r="AY80" s="10">
        <v>11603417963.66</v>
      </c>
      <c r="AZ80" s="11">
        <v>1.782256169687E-2</v>
      </c>
      <c r="BA80" s="11">
        <v>0.08</v>
      </c>
      <c r="BB80" s="11">
        <v>6.2199999999999998E-2</v>
      </c>
    </row>
    <row r="81" spans="1:54" s="7" customFormat="1">
      <c r="A81" s="3" t="s">
        <v>67</v>
      </c>
      <c r="B81" s="24" t="s">
        <v>56</v>
      </c>
      <c r="C81" s="2">
        <v>87815423.829999998</v>
      </c>
      <c r="D81" s="1">
        <v>1</v>
      </c>
      <c r="E81" s="1" t="s">
        <v>26</v>
      </c>
      <c r="F81" s="1" t="s">
        <v>26</v>
      </c>
      <c r="G81" s="2">
        <v>390170952.79000002</v>
      </c>
      <c r="H81" s="1">
        <v>1</v>
      </c>
      <c r="I81" s="1" t="s">
        <v>26</v>
      </c>
      <c r="J81" s="1" t="s">
        <v>26</v>
      </c>
      <c r="K81" s="2">
        <v>105722344.42</v>
      </c>
      <c r="L81" s="1">
        <v>1</v>
      </c>
      <c r="M81" s="1" t="s">
        <v>26</v>
      </c>
      <c r="N81" s="1" t="s">
        <v>26</v>
      </c>
      <c r="O81" s="2">
        <v>2951381548.29</v>
      </c>
      <c r="P81" s="1">
        <v>1</v>
      </c>
      <c r="Q81" s="1" t="s">
        <v>26</v>
      </c>
      <c r="R81" s="1" t="s">
        <v>26</v>
      </c>
      <c r="S81" s="2">
        <v>2933706903.5300002</v>
      </c>
      <c r="T81" s="1">
        <v>1</v>
      </c>
      <c r="U81" s="1" t="s">
        <v>26</v>
      </c>
      <c r="V81" s="1" t="s">
        <v>26</v>
      </c>
      <c r="W81" s="2" t="s">
        <v>26</v>
      </c>
      <c r="X81" s="1" t="s">
        <v>26</v>
      </c>
      <c r="Y81" s="1" t="s">
        <v>26</v>
      </c>
      <c r="Z81" s="1" t="s">
        <v>26</v>
      </c>
      <c r="AA81" s="2">
        <v>2038695998.4300001</v>
      </c>
      <c r="AB81" s="1">
        <v>1</v>
      </c>
      <c r="AC81" s="1" t="s">
        <v>26</v>
      </c>
      <c r="AD81" s="1" t="s">
        <v>26</v>
      </c>
      <c r="AE81" s="2">
        <v>8507493171.29</v>
      </c>
      <c r="AF81" s="1">
        <v>1</v>
      </c>
      <c r="AG81" s="1" t="s">
        <v>26</v>
      </c>
      <c r="AH81" s="1" t="s">
        <v>26</v>
      </c>
      <c r="AI81" s="2">
        <v>632819191.78999996</v>
      </c>
      <c r="AJ81" s="1">
        <v>1</v>
      </c>
      <c r="AK81" s="1" t="s">
        <v>26</v>
      </c>
      <c r="AL81" s="1" t="s">
        <v>26</v>
      </c>
      <c r="AM81" s="2">
        <v>1682252700.5899999</v>
      </c>
      <c r="AN81" s="1">
        <v>1</v>
      </c>
      <c r="AO81" s="1" t="s">
        <v>26</v>
      </c>
      <c r="AP81" s="1" t="s">
        <v>26</v>
      </c>
      <c r="AQ81" s="2">
        <v>2315071892.3800001</v>
      </c>
      <c r="AR81" s="1">
        <v>1</v>
      </c>
      <c r="AS81" s="1" t="s">
        <v>26</v>
      </c>
      <c r="AT81" s="1" t="s">
        <v>26</v>
      </c>
      <c r="AU81" s="2">
        <v>780852899.99000001</v>
      </c>
      <c r="AV81" s="1">
        <v>1</v>
      </c>
      <c r="AW81" s="1" t="s">
        <v>26</v>
      </c>
      <c r="AX81" s="1" t="s">
        <v>26</v>
      </c>
      <c r="AY81" s="2">
        <v>11603417963.66</v>
      </c>
      <c r="AZ81" s="1">
        <v>1</v>
      </c>
      <c r="BA81" s="1" t="s">
        <v>26</v>
      </c>
      <c r="BB81" s="1" t="s">
        <v>26</v>
      </c>
    </row>
    <row r="82" spans="1:54" s="7" customFormat="1">
      <c r="A82" s="5" t="s">
        <v>72</v>
      </c>
      <c r="B82" s="24" t="s">
        <v>25</v>
      </c>
      <c r="C82" s="10">
        <v>90755660.900000006</v>
      </c>
      <c r="D82" s="11">
        <v>1.779561333024E-2</v>
      </c>
      <c r="E82" s="11">
        <v>0.08</v>
      </c>
      <c r="F82" s="11">
        <v>6.2199999999999998E-2</v>
      </c>
      <c r="G82" s="10" t="s">
        <v>26</v>
      </c>
      <c r="H82" s="11" t="s">
        <v>26</v>
      </c>
      <c r="I82" s="11" t="s">
        <v>26</v>
      </c>
      <c r="J82" s="11" t="s">
        <v>26</v>
      </c>
      <c r="K82" s="10">
        <v>104021658.90000001</v>
      </c>
      <c r="L82" s="11">
        <v>4.2569276555209999E-2</v>
      </c>
      <c r="M82" s="11">
        <v>0.08</v>
      </c>
      <c r="N82" s="11">
        <v>3.7400000000000003E-2</v>
      </c>
      <c r="O82" s="10">
        <v>1755025792.71</v>
      </c>
      <c r="P82" s="11">
        <v>8.7557658471100006E-3</v>
      </c>
      <c r="Q82" s="11">
        <v>0.08</v>
      </c>
      <c r="R82" s="11">
        <v>7.1199999999999999E-2</v>
      </c>
      <c r="S82" s="10" t="s">
        <v>26</v>
      </c>
      <c r="T82" s="11" t="s">
        <v>26</v>
      </c>
      <c r="U82" s="11" t="s">
        <v>26</v>
      </c>
      <c r="V82" s="11" t="s">
        <v>26</v>
      </c>
      <c r="W82" s="10" t="s">
        <v>26</v>
      </c>
      <c r="X82" s="11" t="s">
        <v>26</v>
      </c>
      <c r="Y82" s="11" t="s">
        <v>26</v>
      </c>
      <c r="Z82" s="11" t="s">
        <v>26</v>
      </c>
      <c r="AA82" s="10" t="s">
        <v>26</v>
      </c>
      <c r="AB82" s="11" t="s">
        <v>26</v>
      </c>
      <c r="AC82" s="11" t="s">
        <v>26</v>
      </c>
      <c r="AD82" s="11" t="s">
        <v>26</v>
      </c>
      <c r="AE82" s="10">
        <v>1949803112.51</v>
      </c>
      <c r="AF82" s="11">
        <v>3.40743998239E-3</v>
      </c>
      <c r="AG82" s="11">
        <v>0.08</v>
      </c>
      <c r="AH82" s="11">
        <v>7.6600000000000001E-2</v>
      </c>
      <c r="AI82" s="10" t="s">
        <v>26</v>
      </c>
      <c r="AJ82" s="11" t="s">
        <v>26</v>
      </c>
      <c r="AK82" s="11" t="s">
        <v>26</v>
      </c>
      <c r="AL82" s="11" t="s">
        <v>26</v>
      </c>
      <c r="AM82" s="10">
        <v>366322972.74000001</v>
      </c>
      <c r="AN82" s="11">
        <v>1.596699434341E-2</v>
      </c>
      <c r="AO82" s="11">
        <v>0.08</v>
      </c>
      <c r="AP82" s="11">
        <v>6.4000000000000001E-2</v>
      </c>
      <c r="AQ82" s="10">
        <v>366322972.74000001</v>
      </c>
      <c r="AR82" s="11">
        <v>9.4728050949600007E-3</v>
      </c>
      <c r="AS82" s="11">
        <v>0.08</v>
      </c>
      <c r="AT82" s="11">
        <v>7.0499999999999993E-2</v>
      </c>
      <c r="AU82" s="10" t="s">
        <v>26</v>
      </c>
      <c r="AV82" s="11" t="s">
        <v>26</v>
      </c>
      <c r="AW82" s="11" t="s">
        <v>26</v>
      </c>
      <c r="AX82" s="11" t="s">
        <v>26</v>
      </c>
      <c r="AY82" s="10">
        <v>2316126085.25</v>
      </c>
      <c r="AZ82" s="11">
        <v>3.55751212112E-3</v>
      </c>
      <c r="BA82" s="11">
        <v>0.08</v>
      </c>
      <c r="BB82" s="11">
        <v>7.6399999999999996E-2</v>
      </c>
    </row>
    <row r="83" spans="1:54" s="7" customFormat="1">
      <c r="A83" s="3" t="s">
        <v>67</v>
      </c>
      <c r="B83" s="24" t="s">
        <v>56</v>
      </c>
      <c r="C83" s="2">
        <v>90755660.900000006</v>
      </c>
      <c r="D83" s="1">
        <v>1</v>
      </c>
      <c r="E83" s="1" t="s">
        <v>26</v>
      </c>
      <c r="F83" s="1" t="s">
        <v>26</v>
      </c>
      <c r="G83" s="2" t="s">
        <v>26</v>
      </c>
      <c r="H83" s="1" t="s">
        <v>26</v>
      </c>
      <c r="I83" s="1" t="s">
        <v>26</v>
      </c>
      <c r="J83" s="1" t="s">
        <v>26</v>
      </c>
      <c r="K83" s="2">
        <v>104021658.90000001</v>
      </c>
      <c r="L83" s="1">
        <v>1</v>
      </c>
      <c r="M83" s="1" t="s">
        <v>26</v>
      </c>
      <c r="N83" s="1" t="s">
        <v>26</v>
      </c>
      <c r="O83" s="2">
        <v>1755025792.71</v>
      </c>
      <c r="P83" s="1">
        <v>1</v>
      </c>
      <c r="Q83" s="1" t="s">
        <v>26</v>
      </c>
      <c r="R83" s="1" t="s">
        <v>26</v>
      </c>
      <c r="S83" s="2" t="s">
        <v>26</v>
      </c>
      <c r="T83" s="1" t="s">
        <v>26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 t="s">
        <v>26</v>
      </c>
      <c r="AB83" s="1" t="s">
        <v>26</v>
      </c>
      <c r="AC83" s="1" t="s">
        <v>26</v>
      </c>
      <c r="AD83" s="1" t="s">
        <v>26</v>
      </c>
      <c r="AE83" s="2">
        <v>1949803112.51</v>
      </c>
      <c r="AF83" s="1">
        <v>1</v>
      </c>
      <c r="AG83" s="1" t="s">
        <v>26</v>
      </c>
      <c r="AH83" s="1" t="s">
        <v>26</v>
      </c>
      <c r="AI83" s="2" t="s">
        <v>26</v>
      </c>
      <c r="AJ83" s="1" t="s">
        <v>26</v>
      </c>
      <c r="AK83" s="1" t="s">
        <v>26</v>
      </c>
      <c r="AL83" s="1" t="s">
        <v>26</v>
      </c>
      <c r="AM83" s="2">
        <v>366322972.74000001</v>
      </c>
      <c r="AN83" s="1">
        <v>1</v>
      </c>
      <c r="AO83" s="1" t="s">
        <v>26</v>
      </c>
      <c r="AP83" s="1" t="s">
        <v>26</v>
      </c>
      <c r="AQ83" s="2">
        <v>366322972.74000001</v>
      </c>
      <c r="AR83" s="1">
        <v>1</v>
      </c>
      <c r="AS83" s="1" t="s">
        <v>26</v>
      </c>
      <c r="AT83" s="1" t="s">
        <v>26</v>
      </c>
      <c r="AU83" s="2" t="s">
        <v>26</v>
      </c>
      <c r="AV83" s="1" t="s">
        <v>26</v>
      </c>
      <c r="AW83" s="1" t="s">
        <v>26</v>
      </c>
      <c r="AX83" s="1" t="s">
        <v>26</v>
      </c>
      <c r="AY83" s="2">
        <v>2316126085.25</v>
      </c>
      <c r="AZ83" s="1">
        <v>1</v>
      </c>
      <c r="BA83" s="1" t="s">
        <v>26</v>
      </c>
      <c r="BB83" s="1" t="s">
        <v>26</v>
      </c>
    </row>
    <row r="84" spans="1:54" s="7" customFormat="1">
      <c r="A84" s="5" t="s">
        <v>73</v>
      </c>
      <c r="B84" s="24" t="s">
        <v>25</v>
      </c>
      <c r="C84" s="10">
        <v>90206918.530000001</v>
      </c>
      <c r="D84" s="11">
        <v>1.7688014455000001E-2</v>
      </c>
      <c r="E84" s="11">
        <v>0.06</v>
      </c>
      <c r="F84" s="11">
        <v>4.2299999999999997E-2</v>
      </c>
      <c r="G84" s="10">
        <v>416718616.80000001</v>
      </c>
      <c r="H84" s="11">
        <v>3.0953819613299999E-3</v>
      </c>
      <c r="I84" s="11">
        <v>0.06</v>
      </c>
      <c r="J84" s="11">
        <v>5.6899999999999999E-2</v>
      </c>
      <c r="K84" s="10">
        <v>8937655.6699999999</v>
      </c>
      <c r="L84" s="11">
        <v>3.6575991961200001E-3</v>
      </c>
      <c r="M84" s="11">
        <v>0.06</v>
      </c>
      <c r="N84" s="11">
        <v>5.6300000000000003E-2</v>
      </c>
      <c r="O84" s="10">
        <v>406605211.89999998</v>
      </c>
      <c r="P84" s="11">
        <v>2.0285400034600002E-3</v>
      </c>
      <c r="Q84" s="11">
        <v>0.06</v>
      </c>
      <c r="R84" s="11">
        <v>5.8000000000000003E-2</v>
      </c>
      <c r="S84" s="10">
        <v>129596012.7</v>
      </c>
      <c r="T84" s="11">
        <v>1.2920683391400001E-3</v>
      </c>
      <c r="U84" s="11">
        <v>0.06</v>
      </c>
      <c r="V84" s="11">
        <v>5.8700000000000002E-2</v>
      </c>
      <c r="W84" s="10" t="s">
        <v>26</v>
      </c>
      <c r="X84" s="11" t="s">
        <v>26</v>
      </c>
      <c r="Y84" s="11" t="s">
        <v>26</v>
      </c>
      <c r="Z84" s="11" t="s">
        <v>26</v>
      </c>
      <c r="AA84" s="10">
        <v>168195731.19999999</v>
      </c>
      <c r="AB84" s="11">
        <v>1.3606952239400001E-3</v>
      </c>
      <c r="AC84" s="11">
        <v>0.06</v>
      </c>
      <c r="AD84" s="11">
        <v>5.8599999999999999E-2</v>
      </c>
      <c r="AE84" s="10">
        <v>1220260146.8</v>
      </c>
      <c r="AF84" s="11">
        <v>2.1325041418E-3</v>
      </c>
      <c r="AG84" s="11">
        <v>0.06</v>
      </c>
      <c r="AH84" s="11">
        <v>5.79E-2</v>
      </c>
      <c r="AI84" s="10">
        <v>270739062.47000003</v>
      </c>
      <c r="AJ84" s="11">
        <v>1.721327862617E-2</v>
      </c>
      <c r="AK84" s="11">
        <v>0.06</v>
      </c>
      <c r="AL84" s="11">
        <v>4.2799999999999998E-2</v>
      </c>
      <c r="AM84" s="10" t="s">
        <v>26</v>
      </c>
      <c r="AN84" s="11" t="s">
        <v>26</v>
      </c>
      <c r="AO84" s="11" t="s">
        <v>26</v>
      </c>
      <c r="AP84" s="11" t="s">
        <v>26</v>
      </c>
      <c r="AQ84" s="10">
        <v>270739062.47000003</v>
      </c>
      <c r="AR84" s="11">
        <v>7.0010852750700004E-3</v>
      </c>
      <c r="AS84" s="11">
        <v>0.06</v>
      </c>
      <c r="AT84" s="11">
        <v>5.2999999999999999E-2</v>
      </c>
      <c r="AU84" s="10" t="s">
        <v>26</v>
      </c>
      <c r="AV84" s="11" t="s">
        <v>26</v>
      </c>
      <c r="AW84" s="11" t="s">
        <v>26</v>
      </c>
      <c r="AX84" s="11" t="s">
        <v>26</v>
      </c>
      <c r="AY84" s="10">
        <v>1490999209.27</v>
      </c>
      <c r="AZ84" s="11">
        <v>2.29013774048E-3</v>
      </c>
      <c r="BA84" s="11">
        <v>0.06</v>
      </c>
      <c r="BB84" s="11">
        <v>5.7700000000000001E-2</v>
      </c>
    </row>
    <row r="85" spans="1:54" s="7" customFormat="1">
      <c r="A85" s="3" t="s">
        <v>67</v>
      </c>
      <c r="B85" s="24" t="s">
        <v>46</v>
      </c>
      <c r="C85" s="2">
        <v>90206918.530000001</v>
      </c>
      <c r="D85" s="1">
        <v>1</v>
      </c>
      <c r="E85" s="1" t="s">
        <v>26</v>
      </c>
      <c r="F85" s="1" t="s">
        <v>26</v>
      </c>
      <c r="G85" s="2">
        <v>416718616.80000001</v>
      </c>
      <c r="H85" s="1">
        <v>1</v>
      </c>
      <c r="I85" s="1" t="s">
        <v>26</v>
      </c>
      <c r="J85" s="1" t="s">
        <v>26</v>
      </c>
      <c r="K85" s="2">
        <v>8937655.6699999999</v>
      </c>
      <c r="L85" s="1">
        <v>1</v>
      </c>
      <c r="M85" s="1" t="s">
        <v>26</v>
      </c>
      <c r="N85" s="1" t="s">
        <v>26</v>
      </c>
      <c r="O85" s="2">
        <v>406605211.89999998</v>
      </c>
      <c r="P85" s="1">
        <v>1</v>
      </c>
      <c r="Q85" s="1" t="s">
        <v>26</v>
      </c>
      <c r="R85" s="1" t="s">
        <v>26</v>
      </c>
      <c r="S85" s="2">
        <v>129596012.7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>
        <v>168195731.19999999</v>
      </c>
      <c r="AB85" s="1">
        <v>1</v>
      </c>
      <c r="AC85" s="1" t="s">
        <v>26</v>
      </c>
      <c r="AD85" s="1" t="s">
        <v>26</v>
      </c>
      <c r="AE85" s="2">
        <v>1220260146.8</v>
      </c>
      <c r="AF85" s="1">
        <v>1</v>
      </c>
      <c r="AG85" s="1" t="s">
        <v>26</v>
      </c>
      <c r="AH85" s="1" t="s">
        <v>26</v>
      </c>
      <c r="AI85" s="2">
        <v>270739062.47000003</v>
      </c>
      <c r="AJ85" s="1">
        <v>1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270739062.47000003</v>
      </c>
      <c r="AR85" s="1">
        <v>1</v>
      </c>
      <c r="AS85" s="1" t="s">
        <v>26</v>
      </c>
      <c r="AT85" s="1" t="s">
        <v>26</v>
      </c>
      <c r="AU85" s="2" t="s">
        <v>26</v>
      </c>
      <c r="AV85" s="1" t="s">
        <v>26</v>
      </c>
      <c r="AW85" s="1" t="s">
        <v>26</v>
      </c>
      <c r="AX85" s="1" t="s">
        <v>26</v>
      </c>
      <c r="AY85" s="2">
        <v>1490999209.27</v>
      </c>
      <c r="AZ85" s="1">
        <v>1</v>
      </c>
      <c r="BA85" s="1" t="s">
        <v>26</v>
      </c>
      <c r="BB85" s="1" t="s">
        <v>26</v>
      </c>
    </row>
    <row r="86" spans="1:54" s="7" customFormat="1">
      <c r="A86" s="5" t="s">
        <v>74</v>
      </c>
      <c r="B86" s="24" t="s">
        <v>25</v>
      </c>
      <c r="C86" s="10">
        <v>12428908.710000001</v>
      </c>
      <c r="D86" s="11">
        <v>2.43709374519E-3</v>
      </c>
      <c r="E86" s="11">
        <v>0.06</v>
      </c>
      <c r="F86" s="11">
        <v>5.7599999999999998E-2</v>
      </c>
      <c r="G86" s="10">
        <v>584523728.5</v>
      </c>
      <c r="H86" s="11">
        <v>4.3418367508000003E-3</v>
      </c>
      <c r="I86" s="11">
        <v>0.06</v>
      </c>
      <c r="J86" s="11">
        <v>5.57E-2</v>
      </c>
      <c r="K86" s="10" t="s">
        <v>26</v>
      </c>
      <c r="L86" s="11" t="s">
        <v>26</v>
      </c>
      <c r="M86" s="11" t="s">
        <v>26</v>
      </c>
      <c r="N86" s="11" t="s">
        <v>26</v>
      </c>
      <c r="O86" s="10">
        <v>374396719.23000002</v>
      </c>
      <c r="P86" s="11">
        <v>1.8678528948800001E-3</v>
      </c>
      <c r="Q86" s="11">
        <v>0.06</v>
      </c>
      <c r="R86" s="11">
        <v>5.8099999999999999E-2</v>
      </c>
      <c r="S86" s="10">
        <v>106622071.06999999</v>
      </c>
      <c r="T86" s="11">
        <v>1.0630188337799999E-3</v>
      </c>
      <c r="U86" s="11">
        <v>0.06</v>
      </c>
      <c r="V86" s="11">
        <v>5.8900000000000001E-2</v>
      </c>
      <c r="W86" s="10" t="s">
        <v>26</v>
      </c>
      <c r="X86" s="11" t="s">
        <v>26</v>
      </c>
      <c r="Y86" s="11" t="s">
        <v>26</v>
      </c>
      <c r="Z86" s="11" t="s">
        <v>26</v>
      </c>
      <c r="AA86" s="10">
        <v>152526804</v>
      </c>
      <c r="AB86" s="11">
        <v>1.23393437066E-3</v>
      </c>
      <c r="AC86" s="11">
        <v>0.06</v>
      </c>
      <c r="AD86" s="11">
        <v>5.8799999999999998E-2</v>
      </c>
      <c r="AE86" s="10">
        <v>1230498231.51</v>
      </c>
      <c r="AF86" s="11">
        <v>2.1503960299399999E-3</v>
      </c>
      <c r="AG86" s="11">
        <v>0.06</v>
      </c>
      <c r="AH86" s="11">
        <v>5.7799999999999997E-2</v>
      </c>
      <c r="AI86" s="10">
        <v>110295816</v>
      </c>
      <c r="AJ86" s="11">
        <v>7.0124812976299997E-3</v>
      </c>
      <c r="AK86" s="11">
        <v>0.06</v>
      </c>
      <c r="AL86" s="11">
        <v>5.2999999999999999E-2</v>
      </c>
      <c r="AM86" s="10" t="s">
        <v>26</v>
      </c>
      <c r="AN86" s="11" t="s">
        <v>26</v>
      </c>
      <c r="AO86" s="11" t="s">
        <v>26</v>
      </c>
      <c r="AP86" s="11" t="s">
        <v>26</v>
      </c>
      <c r="AQ86" s="10">
        <v>110295816</v>
      </c>
      <c r="AR86" s="11">
        <v>2.8521573734300002E-3</v>
      </c>
      <c r="AS86" s="11">
        <v>0.06</v>
      </c>
      <c r="AT86" s="11">
        <v>5.7099999999999998E-2</v>
      </c>
      <c r="AU86" s="10" t="s">
        <v>26</v>
      </c>
      <c r="AV86" s="11" t="s">
        <v>26</v>
      </c>
      <c r="AW86" s="11" t="s">
        <v>26</v>
      </c>
      <c r="AX86" s="11" t="s">
        <v>26</v>
      </c>
      <c r="AY86" s="10">
        <v>1340794047.51</v>
      </c>
      <c r="AZ86" s="11">
        <v>2.0594263439799999E-3</v>
      </c>
      <c r="BA86" s="11">
        <v>0.06</v>
      </c>
      <c r="BB86" s="11">
        <v>5.79E-2</v>
      </c>
    </row>
    <row r="87" spans="1:54" s="7" customFormat="1">
      <c r="A87" s="3" t="s">
        <v>67</v>
      </c>
      <c r="B87" s="24" t="s">
        <v>46</v>
      </c>
      <c r="C87" s="2">
        <v>12428908.710000001</v>
      </c>
      <c r="D87" s="1">
        <v>1</v>
      </c>
      <c r="E87" s="1" t="s">
        <v>26</v>
      </c>
      <c r="F87" s="1" t="s">
        <v>26</v>
      </c>
      <c r="G87" s="2">
        <v>584523728.5</v>
      </c>
      <c r="H87" s="1">
        <v>1</v>
      </c>
      <c r="I87" s="1" t="s">
        <v>26</v>
      </c>
      <c r="J87" s="1" t="s">
        <v>26</v>
      </c>
      <c r="K87" s="2" t="s">
        <v>26</v>
      </c>
      <c r="L87" s="1" t="s">
        <v>26</v>
      </c>
      <c r="M87" s="1" t="s">
        <v>26</v>
      </c>
      <c r="N87" s="1" t="s">
        <v>26</v>
      </c>
      <c r="O87" s="2">
        <v>374396719.23000002</v>
      </c>
      <c r="P87" s="1">
        <v>1</v>
      </c>
      <c r="Q87" s="1" t="s">
        <v>26</v>
      </c>
      <c r="R87" s="1" t="s">
        <v>26</v>
      </c>
      <c r="S87" s="2">
        <v>106622071.06999999</v>
      </c>
      <c r="T87" s="1">
        <v>1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2">
        <v>152526804</v>
      </c>
      <c r="AB87" s="1">
        <v>1</v>
      </c>
      <c r="AC87" s="1" t="s">
        <v>26</v>
      </c>
      <c r="AD87" s="1" t="s">
        <v>26</v>
      </c>
      <c r="AE87" s="2">
        <v>1230498231.51</v>
      </c>
      <c r="AF87" s="1">
        <v>1</v>
      </c>
      <c r="AG87" s="1" t="s">
        <v>26</v>
      </c>
      <c r="AH87" s="1" t="s">
        <v>26</v>
      </c>
      <c r="AI87" s="2">
        <v>110295816</v>
      </c>
      <c r="AJ87" s="1">
        <v>1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>
        <v>110295816</v>
      </c>
      <c r="AR87" s="1">
        <v>1</v>
      </c>
      <c r="AS87" s="1" t="s">
        <v>26</v>
      </c>
      <c r="AT87" s="1" t="s">
        <v>26</v>
      </c>
      <c r="AU87" s="2" t="s">
        <v>26</v>
      </c>
      <c r="AV87" s="1" t="s">
        <v>26</v>
      </c>
      <c r="AW87" s="1" t="s">
        <v>26</v>
      </c>
      <c r="AX87" s="1" t="s">
        <v>26</v>
      </c>
      <c r="AY87" s="2">
        <v>1340794047.51</v>
      </c>
      <c r="AZ87" s="1">
        <v>1</v>
      </c>
      <c r="BA87" s="1" t="s">
        <v>26</v>
      </c>
      <c r="BB87" s="1" t="s">
        <v>26</v>
      </c>
    </row>
    <row r="88" spans="1:54" s="7" customFormat="1">
      <c r="A88" s="13" t="s">
        <v>75</v>
      </c>
      <c r="B88" s="25" t="s">
        <v>25</v>
      </c>
      <c r="C88" s="55" t="s">
        <v>26</v>
      </c>
      <c r="D88" s="56" t="s">
        <v>26</v>
      </c>
      <c r="E88" s="56" t="s">
        <v>26</v>
      </c>
      <c r="F88" s="56" t="s">
        <v>26</v>
      </c>
      <c r="G88" s="55" t="s">
        <v>26</v>
      </c>
      <c r="H88" s="56" t="s">
        <v>26</v>
      </c>
      <c r="I88" s="56" t="s">
        <v>26</v>
      </c>
      <c r="J88" s="56" t="s">
        <v>26</v>
      </c>
      <c r="K88" s="55" t="s">
        <v>26</v>
      </c>
      <c r="L88" s="56" t="s">
        <v>26</v>
      </c>
      <c r="M88" s="56" t="s">
        <v>26</v>
      </c>
      <c r="N88" s="56" t="s">
        <v>26</v>
      </c>
      <c r="O88" s="55">
        <v>129690233.75</v>
      </c>
      <c r="P88" s="56">
        <v>6.4702030253999999E-4</v>
      </c>
      <c r="Q88" s="56" t="s">
        <v>26</v>
      </c>
      <c r="R88" s="56" t="s">
        <v>26</v>
      </c>
      <c r="S88" s="55">
        <v>259419342.90000001</v>
      </c>
      <c r="T88" s="56">
        <v>2.58640302691E-3</v>
      </c>
      <c r="U88" s="56" t="s">
        <v>26</v>
      </c>
      <c r="V88" s="56" t="s">
        <v>26</v>
      </c>
      <c r="W88" s="55" t="s">
        <v>26</v>
      </c>
      <c r="X88" s="56" t="s">
        <v>26</v>
      </c>
      <c r="Y88" s="56" t="s">
        <v>26</v>
      </c>
      <c r="Z88" s="56" t="s">
        <v>26</v>
      </c>
      <c r="AA88" s="55">
        <v>144215539.93000001</v>
      </c>
      <c r="AB88" s="56">
        <v>1.1666966515800001E-3</v>
      </c>
      <c r="AC88" s="56" t="s">
        <v>26</v>
      </c>
      <c r="AD88" s="56" t="s">
        <v>26</v>
      </c>
      <c r="AE88" s="55">
        <v>533325116.57999998</v>
      </c>
      <c r="AF88" s="56">
        <v>9.3202914395999997E-4</v>
      </c>
      <c r="AG88" s="56" t="s">
        <v>26</v>
      </c>
      <c r="AH88" s="56" t="s">
        <v>26</v>
      </c>
      <c r="AI88" s="55">
        <v>12973882.800000001</v>
      </c>
      <c r="AJ88" s="56">
        <v>8.2486456686999996E-4</v>
      </c>
      <c r="AK88" s="56" t="s">
        <v>26</v>
      </c>
      <c r="AL88" s="56" t="s">
        <v>26</v>
      </c>
      <c r="AM88" s="55" t="s">
        <v>26</v>
      </c>
      <c r="AN88" s="56" t="s">
        <v>26</v>
      </c>
      <c r="AO88" s="56" t="s">
        <v>26</v>
      </c>
      <c r="AP88" s="56" t="s">
        <v>26</v>
      </c>
      <c r="AQ88" s="55">
        <v>12973882.800000001</v>
      </c>
      <c r="AR88" s="56">
        <v>3.3549373704000002E-4</v>
      </c>
      <c r="AS88" s="56" t="s">
        <v>26</v>
      </c>
      <c r="AT88" s="56" t="s">
        <v>26</v>
      </c>
      <c r="AU88" s="55">
        <v>38921648.399999999</v>
      </c>
      <c r="AV88" s="56">
        <v>9.6912043033000001E-4</v>
      </c>
      <c r="AW88" s="56" t="s">
        <v>26</v>
      </c>
      <c r="AX88" s="56" t="s">
        <v>26</v>
      </c>
      <c r="AY88" s="55">
        <v>585220647.77999997</v>
      </c>
      <c r="AZ88" s="56">
        <v>8.9888437476000002E-4</v>
      </c>
      <c r="BA88" s="56" t="s">
        <v>26</v>
      </c>
      <c r="BB88" s="56" t="s">
        <v>26</v>
      </c>
    </row>
    <row r="89" spans="1:54" s="7" customFormat="1">
      <c r="A89" s="5" t="s">
        <v>76</v>
      </c>
      <c r="B89" s="24" t="s">
        <v>25</v>
      </c>
      <c r="C89" s="10" t="s">
        <v>26</v>
      </c>
      <c r="D89" s="11" t="s">
        <v>26</v>
      </c>
      <c r="E89" s="11" t="s">
        <v>26</v>
      </c>
      <c r="F89" s="11" t="s">
        <v>26</v>
      </c>
      <c r="G89" s="10" t="s">
        <v>26</v>
      </c>
      <c r="H89" s="11" t="s">
        <v>26</v>
      </c>
      <c r="I89" s="11" t="s">
        <v>26</v>
      </c>
      <c r="J89" s="11" t="s">
        <v>26</v>
      </c>
      <c r="K89" s="10" t="s">
        <v>26</v>
      </c>
      <c r="L89" s="11" t="s">
        <v>26</v>
      </c>
      <c r="M89" s="11" t="s">
        <v>26</v>
      </c>
      <c r="N89" s="11" t="s">
        <v>26</v>
      </c>
      <c r="O89" s="10" t="s">
        <v>26</v>
      </c>
      <c r="P89" s="11" t="s">
        <v>26</v>
      </c>
      <c r="Q89" s="11" t="s">
        <v>26</v>
      </c>
      <c r="R89" s="11" t="s">
        <v>26</v>
      </c>
      <c r="S89" s="10">
        <v>103791062.40000001</v>
      </c>
      <c r="T89" s="11">
        <v>1.0347937626999999E-3</v>
      </c>
      <c r="U89" s="11">
        <v>0.1</v>
      </c>
      <c r="V89" s="11">
        <v>9.9000000000000005E-2</v>
      </c>
      <c r="W89" s="10" t="s">
        <v>26</v>
      </c>
      <c r="X89" s="11" t="s">
        <v>26</v>
      </c>
      <c r="Y89" s="11" t="s">
        <v>26</v>
      </c>
      <c r="Z89" s="11" t="s">
        <v>26</v>
      </c>
      <c r="AA89" s="10" t="s">
        <v>26</v>
      </c>
      <c r="AB89" s="11" t="s">
        <v>26</v>
      </c>
      <c r="AC89" s="11" t="s">
        <v>26</v>
      </c>
      <c r="AD89" s="11" t="s">
        <v>26</v>
      </c>
      <c r="AE89" s="10">
        <v>103791062.40000001</v>
      </c>
      <c r="AF89" s="11">
        <v>1.8138334766999999E-4</v>
      </c>
      <c r="AG89" s="11">
        <v>0.1</v>
      </c>
      <c r="AH89" s="11">
        <v>9.98E-2</v>
      </c>
      <c r="AI89" s="10">
        <v>12973882.800000001</v>
      </c>
      <c r="AJ89" s="11">
        <v>8.2486456686999996E-4</v>
      </c>
      <c r="AK89" s="11">
        <v>0.1</v>
      </c>
      <c r="AL89" s="11">
        <v>9.9199999999999997E-2</v>
      </c>
      <c r="AM89" s="10" t="s">
        <v>26</v>
      </c>
      <c r="AN89" s="11" t="s">
        <v>26</v>
      </c>
      <c r="AO89" s="11" t="s">
        <v>26</v>
      </c>
      <c r="AP89" s="11" t="s">
        <v>26</v>
      </c>
      <c r="AQ89" s="10">
        <v>12973882.800000001</v>
      </c>
      <c r="AR89" s="11">
        <v>3.3549373704000002E-4</v>
      </c>
      <c r="AS89" s="11">
        <v>0.1</v>
      </c>
      <c r="AT89" s="11">
        <v>9.9699999999999997E-2</v>
      </c>
      <c r="AU89" s="10">
        <v>38921648.399999999</v>
      </c>
      <c r="AV89" s="11">
        <v>9.6912043033000001E-4</v>
      </c>
      <c r="AW89" s="11">
        <v>0.1</v>
      </c>
      <c r="AX89" s="11">
        <v>9.9000000000000005E-2</v>
      </c>
      <c r="AY89" s="10">
        <v>155686593.59999999</v>
      </c>
      <c r="AZ89" s="11">
        <v>2.3913073962000001E-4</v>
      </c>
      <c r="BA89" s="11">
        <v>0.1</v>
      </c>
      <c r="BB89" s="11">
        <v>9.98E-2</v>
      </c>
    </row>
    <row r="90" spans="1:54" s="7" customFormat="1">
      <c r="A90" s="3" t="s">
        <v>77</v>
      </c>
      <c r="B90" s="24" t="s">
        <v>29</v>
      </c>
      <c r="C90" s="2" t="s">
        <v>26</v>
      </c>
      <c r="D90" s="1" t="s">
        <v>26</v>
      </c>
      <c r="E90" s="1" t="s">
        <v>26</v>
      </c>
      <c r="F90" s="1" t="s">
        <v>26</v>
      </c>
      <c r="G90" s="2" t="s">
        <v>26</v>
      </c>
      <c r="H90" s="1" t="s">
        <v>26</v>
      </c>
      <c r="I90" s="1" t="s">
        <v>26</v>
      </c>
      <c r="J90" s="1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 t="s">
        <v>26</v>
      </c>
      <c r="P90" s="1" t="s">
        <v>26</v>
      </c>
      <c r="Q90" s="1" t="s">
        <v>26</v>
      </c>
      <c r="R90" s="1" t="s">
        <v>26</v>
      </c>
      <c r="S90" s="2">
        <v>103791062.40000001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 t="s">
        <v>26</v>
      </c>
      <c r="AB90" s="1" t="s">
        <v>26</v>
      </c>
      <c r="AC90" s="1" t="s">
        <v>26</v>
      </c>
      <c r="AD90" s="1" t="s">
        <v>26</v>
      </c>
      <c r="AE90" s="2">
        <v>103791062.40000001</v>
      </c>
      <c r="AF90" s="1">
        <v>1</v>
      </c>
      <c r="AG90" s="1" t="s">
        <v>26</v>
      </c>
      <c r="AH90" s="1" t="s">
        <v>26</v>
      </c>
      <c r="AI90" s="2">
        <v>12973882.800000001</v>
      </c>
      <c r="AJ90" s="1">
        <v>1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>
        <v>12973882.800000001</v>
      </c>
      <c r="AR90" s="1">
        <v>1</v>
      </c>
      <c r="AS90" s="1" t="s">
        <v>26</v>
      </c>
      <c r="AT90" s="1" t="s">
        <v>26</v>
      </c>
      <c r="AU90" s="2">
        <v>38921648.399999999</v>
      </c>
      <c r="AV90" s="1">
        <v>1</v>
      </c>
      <c r="AW90" s="1" t="s">
        <v>26</v>
      </c>
      <c r="AX90" s="1" t="s">
        <v>26</v>
      </c>
      <c r="AY90" s="2">
        <v>155686593.59999999</v>
      </c>
      <c r="AZ90" s="1">
        <v>1</v>
      </c>
      <c r="BA90" s="1" t="s">
        <v>26</v>
      </c>
      <c r="BB90" s="1" t="s">
        <v>26</v>
      </c>
    </row>
    <row r="91" spans="1:54" s="7" customFormat="1">
      <c r="A91" s="5" t="s">
        <v>78</v>
      </c>
      <c r="B91" s="24" t="s">
        <v>25</v>
      </c>
      <c r="C91" s="10" t="s">
        <v>26</v>
      </c>
      <c r="D91" s="11" t="s">
        <v>26</v>
      </c>
      <c r="E91" s="11" t="s">
        <v>26</v>
      </c>
      <c r="F91" s="11" t="s">
        <v>26</v>
      </c>
      <c r="G91" s="10" t="s">
        <v>26</v>
      </c>
      <c r="H91" s="11" t="s">
        <v>26</v>
      </c>
      <c r="I91" s="11" t="s">
        <v>26</v>
      </c>
      <c r="J91" s="11" t="s">
        <v>26</v>
      </c>
      <c r="K91" s="10" t="s">
        <v>26</v>
      </c>
      <c r="L91" s="11" t="s">
        <v>26</v>
      </c>
      <c r="M91" s="11" t="s">
        <v>26</v>
      </c>
      <c r="N91" s="11" t="s">
        <v>26</v>
      </c>
      <c r="O91" s="10">
        <v>129690233.75</v>
      </c>
      <c r="P91" s="11">
        <v>6.4702030253999999E-4</v>
      </c>
      <c r="Q91" s="11">
        <v>0.09</v>
      </c>
      <c r="R91" s="11">
        <v>8.9399999999999993E-2</v>
      </c>
      <c r="S91" s="10">
        <v>155628280.5</v>
      </c>
      <c r="T91" s="11">
        <v>1.5516092642E-3</v>
      </c>
      <c r="U91" s="11">
        <v>0.09</v>
      </c>
      <c r="V91" s="11">
        <v>8.8400000000000006E-2</v>
      </c>
      <c r="W91" s="10" t="s">
        <v>26</v>
      </c>
      <c r="X91" s="11" t="s">
        <v>26</v>
      </c>
      <c r="Y91" s="11" t="s">
        <v>26</v>
      </c>
      <c r="Z91" s="11" t="s">
        <v>26</v>
      </c>
      <c r="AA91" s="10">
        <v>144215539.93000001</v>
      </c>
      <c r="AB91" s="11">
        <v>1.1666966515800001E-3</v>
      </c>
      <c r="AC91" s="11">
        <v>0.09</v>
      </c>
      <c r="AD91" s="11">
        <v>8.8800000000000004E-2</v>
      </c>
      <c r="AE91" s="10">
        <v>429534054.18000001</v>
      </c>
      <c r="AF91" s="11">
        <v>7.5064579629999999E-4</v>
      </c>
      <c r="AG91" s="11">
        <v>0.09</v>
      </c>
      <c r="AH91" s="11">
        <v>8.9200000000000002E-2</v>
      </c>
      <c r="AI91" s="10" t="s">
        <v>26</v>
      </c>
      <c r="AJ91" s="11" t="s">
        <v>26</v>
      </c>
      <c r="AK91" s="11" t="s">
        <v>26</v>
      </c>
      <c r="AL91" s="11" t="s">
        <v>26</v>
      </c>
      <c r="AM91" s="10" t="s">
        <v>26</v>
      </c>
      <c r="AN91" s="11" t="s">
        <v>26</v>
      </c>
      <c r="AO91" s="11" t="s">
        <v>26</v>
      </c>
      <c r="AP91" s="11" t="s">
        <v>26</v>
      </c>
      <c r="AQ91" s="10" t="s">
        <v>26</v>
      </c>
      <c r="AR91" s="11" t="s">
        <v>26</v>
      </c>
      <c r="AS91" s="11" t="s">
        <v>26</v>
      </c>
      <c r="AT91" s="11" t="s">
        <v>26</v>
      </c>
      <c r="AU91" s="10" t="s">
        <v>26</v>
      </c>
      <c r="AV91" s="11" t="s">
        <v>26</v>
      </c>
      <c r="AW91" s="11" t="s">
        <v>26</v>
      </c>
      <c r="AX91" s="11" t="s">
        <v>26</v>
      </c>
      <c r="AY91" s="10">
        <v>429534054.18000001</v>
      </c>
      <c r="AZ91" s="11">
        <v>6.5975363513999996E-4</v>
      </c>
      <c r="BA91" s="11">
        <v>0.09</v>
      </c>
      <c r="BB91" s="11">
        <v>8.9300000000000004E-2</v>
      </c>
    </row>
    <row r="92" spans="1:54" s="7" customFormat="1">
      <c r="A92" s="3" t="s">
        <v>77</v>
      </c>
      <c r="B92" s="24" t="s">
        <v>37</v>
      </c>
      <c r="C92" s="2" t="s">
        <v>26</v>
      </c>
      <c r="D92" s="1" t="s">
        <v>26</v>
      </c>
      <c r="E92" s="1" t="s">
        <v>26</v>
      </c>
      <c r="F92" s="1" t="s">
        <v>26</v>
      </c>
      <c r="G92" s="2" t="s">
        <v>26</v>
      </c>
      <c r="H92" s="1" t="s">
        <v>26</v>
      </c>
      <c r="I92" s="1" t="s">
        <v>26</v>
      </c>
      <c r="J92" s="1" t="s">
        <v>26</v>
      </c>
      <c r="K92" s="2" t="s">
        <v>26</v>
      </c>
      <c r="L92" s="1" t="s">
        <v>26</v>
      </c>
      <c r="M92" s="1" t="s">
        <v>26</v>
      </c>
      <c r="N92" s="1" t="s">
        <v>26</v>
      </c>
      <c r="O92" s="2">
        <v>129690233.75</v>
      </c>
      <c r="P92" s="1">
        <v>1</v>
      </c>
      <c r="Q92" s="1" t="s">
        <v>26</v>
      </c>
      <c r="R92" s="1" t="s">
        <v>26</v>
      </c>
      <c r="S92" s="2">
        <v>155628280.5</v>
      </c>
      <c r="T92" s="1">
        <v>1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2">
        <v>144215539.93000001</v>
      </c>
      <c r="AB92" s="1">
        <v>1</v>
      </c>
      <c r="AC92" s="1" t="s">
        <v>26</v>
      </c>
      <c r="AD92" s="1" t="s">
        <v>26</v>
      </c>
      <c r="AE92" s="2">
        <v>429534054.18000001</v>
      </c>
      <c r="AF92" s="1">
        <v>1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2">
        <v>429534054.18000001</v>
      </c>
      <c r="AZ92" s="1">
        <v>1</v>
      </c>
      <c r="BA92" s="1" t="s">
        <v>26</v>
      </c>
      <c r="BB92" s="1" t="s">
        <v>26</v>
      </c>
    </row>
    <row r="93" spans="1:54" s="7" customFormat="1">
      <c r="A93" s="13" t="s">
        <v>79</v>
      </c>
      <c r="B93" s="25" t="s">
        <v>25</v>
      </c>
      <c r="C93" s="55" t="s">
        <v>26</v>
      </c>
      <c r="D93" s="56" t="s">
        <v>26</v>
      </c>
      <c r="E93" s="56" t="s">
        <v>26</v>
      </c>
      <c r="F93" s="56" t="s">
        <v>26</v>
      </c>
      <c r="G93" s="55">
        <v>684314891.54999995</v>
      </c>
      <c r="H93" s="56">
        <v>5.0830845701999999E-3</v>
      </c>
      <c r="I93" s="56">
        <v>0.05</v>
      </c>
      <c r="J93" s="56">
        <f>+I93-H93</f>
        <v>4.4916915429800003E-2</v>
      </c>
      <c r="K93" s="55">
        <v>23010178.719999999</v>
      </c>
      <c r="L93" s="56">
        <v>9.4165645104599995E-3</v>
      </c>
      <c r="M93" s="56">
        <v>0.05</v>
      </c>
      <c r="N93" s="56">
        <f>+M93-L93</f>
        <v>4.0583435489540007E-2</v>
      </c>
      <c r="O93" s="55">
        <v>1380610722.96</v>
      </c>
      <c r="P93" s="56">
        <v>6.8878214020899999E-3</v>
      </c>
      <c r="Q93" s="56">
        <v>0.05</v>
      </c>
      <c r="R93" s="56">
        <f>+Q93-P93</f>
        <v>4.311217859791E-2</v>
      </c>
      <c r="S93" s="55">
        <v>1274039495.8800001</v>
      </c>
      <c r="T93" s="56">
        <v>1.2702135360089999E-2</v>
      </c>
      <c r="U93" s="56">
        <v>0.05</v>
      </c>
      <c r="V93" s="56">
        <f>+U93-T93</f>
        <v>3.729786463991E-2</v>
      </c>
      <c r="W93" s="55" t="s">
        <v>26</v>
      </c>
      <c r="X93" s="56" t="s">
        <v>26</v>
      </c>
      <c r="Y93" s="56" t="s">
        <v>26</v>
      </c>
      <c r="Z93" s="56" t="s">
        <v>26</v>
      </c>
      <c r="AA93" s="55">
        <v>362419288.74000001</v>
      </c>
      <c r="AB93" s="56">
        <v>2.9319542876300002E-3</v>
      </c>
      <c r="AC93" s="56">
        <v>0.05</v>
      </c>
      <c r="AD93" s="56">
        <f>+AC93-AB93</f>
        <v>4.7068045712369999E-2</v>
      </c>
      <c r="AE93" s="55">
        <v>3724394577.8499999</v>
      </c>
      <c r="AF93" s="56">
        <v>6.50868331953E-3</v>
      </c>
      <c r="AG93" s="56">
        <v>0.05</v>
      </c>
      <c r="AH93" s="56">
        <f>+AG93-AF93</f>
        <v>4.3491316680470002E-2</v>
      </c>
      <c r="AI93" s="55" t="s">
        <v>26</v>
      </c>
      <c r="AJ93" s="56" t="s">
        <v>26</v>
      </c>
      <c r="AK93" s="56" t="s">
        <v>26</v>
      </c>
      <c r="AL93" s="56" t="s">
        <v>26</v>
      </c>
      <c r="AM93" s="55" t="s">
        <v>26</v>
      </c>
      <c r="AN93" s="56" t="s">
        <v>26</v>
      </c>
      <c r="AO93" s="56" t="s">
        <v>26</v>
      </c>
      <c r="AP93" s="56" t="s">
        <v>26</v>
      </c>
      <c r="AQ93" s="55" t="s">
        <v>26</v>
      </c>
      <c r="AR93" s="56" t="s">
        <v>26</v>
      </c>
      <c r="AS93" s="56" t="s">
        <v>26</v>
      </c>
      <c r="AT93" s="56" t="s">
        <v>26</v>
      </c>
      <c r="AU93" s="55">
        <v>619894656</v>
      </c>
      <c r="AV93" s="56">
        <v>1.5434921193669999E-2</v>
      </c>
      <c r="AW93" s="56">
        <v>0.05</v>
      </c>
      <c r="AX93" s="56">
        <f>+AW93-AV93</f>
        <v>3.4565078806330002E-2</v>
      </c>
      <c r="AY93" s="55">
        <v>4344289233.8500004</v>
      </c>
      <c r="AZ93" s="56">
        <v>6.6727203261799997E-3</v>
      </c>
      <c r="BA93" s="56">
        <v>0.05</v>
      </c>
      <c r="BB93" s="56">
        <f>+BA93-AZ93</f>
        <v>4.3327279673820003E-2</v>
      </c>
    </row>
    <row r="94" spans="1:54" s="7" customFormat="1">
      <c r="A94" s="5" t="s">
        <v>80</v>
      </c>
      <c r="B94" s="24" t="s">
        <v>25</v>
      </c>
      <c r="C94" s="10" t="s">
        <v>26</v>
      </c>
      <c r="D94" s="11" t="s">
        <v>26</v>
      </c>
      <c r="E94" s="11" t="s">
        <v>26</v>
      </c>
      <c r="F94" s="11" t="s">
        <v>26</v>
      </c>
      <c r="G94" s="10" t="s">
        <v>26</v>
      </c>
      <c r="H94" s="11" t="s">
        <v>26</v>
      </c>
      <c r="I94" s="11" t="s">
        <v>26</v>
      </c>
      <c r="J94" s="11" t="s">
        <v>26</v>
      </c>
      <c r="K94" s="10" t="s">
        <v>26</v>
      </c>
      <c r="L94" s="11" t="s">
        <v>26</v>
      </c>
      <c r="M94" s="11" t="s">
        <v>26</v>
      </c>
      <c r="N94" s="11" t="s">
        <v>26</v>
      </c>
      <c r="O94" s="10" t="s">
        <v>26</v>
      </c>
      <c r="P94" s="11" t="s">
        <v>26</v>
      </c>
      <c r="Q94" s="11" t="s">
        <v>26</v>
      </c>
      <c r="R94" s="11" t="s">
        <v>26</v>
      </c>
      <c r="S94" s="10">
        <v>583734134.39999998</v>
      </c>
      <c r="T94" s="11">
        <v>5.8198117196799999E-3</v>
      </c>
      <c r="U94" s="1" t="s">
        <v>26</v>
      </c>
      <c r="V94" s="1" t="s">
        <v>26</v>
      </c>
      <c r="W94" s="10" t="s">
        <v>26</v>
      </c>
      <c r="X94" s="11" t="s">
        <v>26</v>
      </c>
      <c r="Y94" s="11" t="s">
        <v>26</v>
      </c>
      <c r="Z94" s="11" t="s">
        <v>26</v>
      </c>
      <c r="AA94" s="10" t="s">
        <v>26</v>
      </c>
      <c r="AB94" s="11" t="s">
        <v>26</v>
      </c>
      <c r="AC94" s="11" t="s">
        <v>26</v>
      </c>
      <c r="AD94" s="11" t="s">
        <v>26</v>
      </c>
      <c r="AE94" s="10">
        <v>583734134.39999998</v>
      </c>
      <c r="AF94" s="11">
        <v>1.0201230144100001E-3</v>
      </c>
      <c r="AG94" s="1" t="s">
        <v>26</v>
      </c>
      <c r="AH94" s="1" t="s">
        <v>26</v>
      </c>
      <c r="AI94" s="10" t="s">
        <v>26</v>
      </c>
      <c r="AJ94" s="11" t="s">
        <v>26</v>
      </c>
      <c r="AK94" s="11" t="s">
        <v>26</v>
      </c>
      <c r="AL94" s="11" t="s">
        <v>26</v>
      </c>
      <c r="AM94" s="10" t="s">
        <v>26</v>
      </c>
      <c r="AN94" s="11" t="s">
        <v>26</v>
      </c>
      <c r="AO94" s="11" t="s">
        <v>26</v>
      </c>
      <c r="AP94" s="11" t="s">
        <v>26</v>
      </c>
      <c r="AQ94" s="10" t="s">
        <v>26</v>
      </c>
      <c r="AR94" s="11" t="s">
        <v>26</v>
      </c>
      <c r="AS94" s="11" t="s">
        <v>26</v>
      </c>
      <c r="AT94" s="11" t="s">
        <v>26</v>
      </c>
      <c r="AU94" s="10">
        <v>619894656</v>
      </c>
      <c r="AV94" s="11">
        <v>1.5434921193669999E-2</v>
      </c>
      <c r="AW94" s="1" t="s">
        <v>26</v>
      </c>
      <c r="AX94" s="1" t="s">
        <v>26</v>
      </c>
      <c r="AY94" s="10">
        <v>1203628790.4000001</v>
      </c>
      <c r="AZ94" s="11">
        <v>1.84874391703E-3</v>
      </c>
      <c r="BA94" s="1" t="s">
        <v>26</v>
      </c>
      <c r="BB94" s="1" t="s">
        <v>26</v>
      </c>
    </row>
    <row r="95" spans="1:54" s="7" customFormat="1">
      <c r="A95" s="3" t="s">
        <v>81</v>
      </c>
      <c r="B95" s="24" t="s">
        <v>37</v>
      </c>
      <c r="C95" s="2" t="s">
        <v>26</v>
      </c>
      <c r="D95" s="1" t="s">
        <v>26</v>
      </c>
      <c r="E95" s="1" t="s">
        <v>26</v>
      </c>
      <c r="F95" s="1" t="s">
        <v>26</v>
      </c>
      <c r="G95" s="2" t="s">
        <v>26</v>
      </c>
      <c r="H95" s="1" t="s">
        <v>26</v>
      </c>
      <c r="I95" s="1" t="s">
        <v>26</v>
      </c>
      <c r="J95" s="1" t="s">
        <v>26</v>
      </c>
      <c r="K95" s="2" t="s">
        <v>26</v>
      </c>
      <c r="L95" s="1" t="s">
        <v>26</v>
      </c>
      <c r="M95" s="1" t="s">
        <v>26</v>
      </c>
      <c r="N95" s="1" t="s">
        <v>26</v>
      </c>
      <c r="O95" s="2" t="s">
        <v>26</v>
      </c>
      <c r="P95" s="1" t="s">
        <v>26</v>
      </c>
      <c r="Q95" s="1" t="s">
        <v>26</v>
      </c>
      <c r="R95" s="1" t="s">
        <v>26</v>
      </c>
      <c r="S95" s="2">
        <v>583734134.39999998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 t="s">
        <v>26</v>
      </c>
      <c r="AB95" s="1" t="s">
        <v>26</v>
      </c>
      <c r="AC95" s="1" t="s">
        <v>26</v>
      </c>
      <c r="AD95" s="1" t="s">
        <v>26</v>
      </c>
      <c r="AE95" s="2">
        <v>583734134.39999998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>
        <v>619894656</v>
      </c>
      <c r="AV95" s="1">
        <v>1</v>
      </c>
      <c r="AW95" s="1" t="s">
        <v>26</v>
      </c>
      <c r="AX95" s="1" t="s">
        <v>26</v>
      </c>
      <c r="AY95" s="2">
        <v>1203628790.4000001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82</v>
      </c>
      <c r="B96" s="24" t="s">
        <v>25</v>
      </c>
      <c r="C96" s="10" t="s">
        <v>26</v>
      </c>
      <c r="D96" s="11" t="s">
        <v>26</v>
      </c>
      <c r="E96" s="11" t="s">
        <v>26</v>
      </c>
      <c r="F96" s="11" t="s">
        <v>26</v>
      </c>
      <c r="G96" s="10">
        <v>684314891.54999995</v>
      </c>
      <c r="H96" s="11">
        <v>5.0830845701999999E-3</v>
      </c>
      <c r="I96" s="1" t="s">
        <v>26</v>
      </c>
      <c r="J96" s="1" t="s">
        <v>26</v>
      </c>
      <c r="K96" s="10">
        <v>23010178.719999999</v>
      </c>
      <c r="L96" s="11">
        <v>9.4165645104599995E-3</v>
      </c>
      <c r="M96" s="1" t="s">
        <v>26</v>
      </c>
      <c r="N96" s="1" t="s">
        <v>26</v>
      </c>
      <c r="O96" s="10">
        <v>1380610722.96</v>
      </c>
      <c r="P96" s="11">
        <v>6.8878214020899999E-3</v>
      </c>
      <c r="Q96" s="1" t="s">
        <v>26</v>
      </c>
      <c r="R96" s="1" t="s">
        <v>26</v>
      </c>
      <c r="S96" s="10">
        <v>690305361.48000002</v>
      </c>
      <c r="T96" s="11">
        <v>6.8823236404100003E-3</v>
      </c>
      <c r="U96" s="1" t="s">
        <v>26</v>
      </c>
      <c r="V96" s="1" t="s">
        <v>26</v>
      </c>
      <c r="W96" s="10" t="s">
        <v>26</v>
      </c>
      <c r="X96" s="11" t="s">
        <v>26</v>
      </c>
      <c r="Y96" s="11" t="s">
        <v>26</v>
      </c>
      <c r="Z96" s="11" t="s">
        <v>26</v>
      </c>
      <c r="AA96" s="10">
        <v>362419288.74000001</v>
      </c>
      <c r="AB96" s="11">
        <v>2.9319542876300002E-3</v>
      </c>
      <c r="AC96" s="1" t="s">
        <v>26</v>
      </c>
      <c r="AD96" s="1" t="s">
        <v>26</v>
      </c>
      <c r="AE96" s="10">
        <v>3140660443.4499998</v>
      </c>
      <c r="AF96" s="11">
        <v>5.4885603051200004E-3</v>
      </c>
      <c r="AG96" s="1" t="s">
        <v>26</v>
      </c>
      <c r="AH96" s="1" t="s">
        <v>26</v>
      </c>
      <c r="AI96" s="10" t="s">
        <v>26</v>
      </c>
      <c r="AJ96" s="11" t="s">
        <v>26</v>
      </c>
      <c r="AK96" s="11" t="s">
        <v>26</v>
      </c>
      <c r="AL96" s="11" t="s">
        <v>26</v>
      </c>
      <c r="AM96" s="10" t="s">
        <v>26</v>
      </c>
      <c r="AN96" s="11" t="s">
        <v>26</v>
      </c>
      <c r="AO96" s="11" t="s">
        <v>26</v>
      </c>
      <c r="AP96" s="11" t="s">
        <v>26</v>
      </c>
      <c r="AQ96" s="10" t="s">
        <v>26</v>
      </c>
      <c r="AR96" s="11" t="s">
        <v>26</v>
      </c>
      <c r="AS96" s="11" t="s">
        <v>26</v>
      </c>
      <c r="AT96" s="11" t="s">
        <v>26</v>
      </c>
      <c r="AU96" s="10" t="s">
        <v>26</v>
      </c>
      <c r="AV96" s="11" t="s">
        <v>26</v>
      </c>
      <c r="AW96" s="11" t="s">
        <v>26</v>
      </c>
      <c r="AX96" s="11" t="s">
        <v>26</v>
      </c>
      <c r="AY96" s="10">
        <v>3140660443.4499998</v>
      </c>
      <c r="AZ96" s="11">
        <v>4.8239764091599999E-3</v>
      </c>
      <c r="BA96" s="1" t="s">
        <v>26</v>
      </c>
      <c r="BB96" s="1" t="s">
        <v>26</v>
      </c>
    </row>
    <row r="97" spans="1:54" s="7" customFormat="1">
      <c r="A97" s="3" t="s">
        <v>83</v>
      </c>
      <c r="B97" s="24" t="s">
        <v>37</v>
      </c>
      <c r="C97" s="2" t="s">
        <v>26</v>
      </c>
      <c r="D97" s="1" t="s">
        <v>26</v>
      </c>
      <c r="E97" s="1" t="s">
        <v>26</v>
      </c>
      <c r="F97" s="1" t="s">
        <v>26</v>
      </c>
      <c r="G97" s="2">
        <v>684314891.54999995</v>
      </c>
      <c r="H97" s="1">
        <v>1</v>
      </c>
      <c r="I97" s="1" t="s">
        <v>26</v>
      </c>
      <c r="J97" s="1" t="s">
        <v>26</v>
      </c>
      <c r="K97" s="2">
        <v>23010178.719999999</v>
      </c>
      <c r="L97" s="1">
        <v>1</v>
      </c>
      <c r="M97" s="1" t="s">
        <v>26</v>
      </c>
      <c r="N97" s="1" t="s">
        <v>26</v>
      </c>
      <c r="O97" s="2">
        <v>1380610722.96</v>
      </c>
      <c r="P97" s="1">
        <v>1</v>
      </c>
      <c r="Q97" s="1" t="s">
        <v>26</v>
      </c>
      <c r="R97" s="1" t="s">
        <v>26</v>
      </c>
      <c r="S97" s="2">
        <v>690305361.48000002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>
        <v>362419288.74000001</v>
      </c>
      <c r="AB97" s="1">
        <v>1</v>
      </c>
      <c r="AC97" s="1" t="s">
        <v>26</v>
      </c>
      <c r="AD97" s="1" t="s">
        <v>26</v>
      </c>
      <c r="AE97" s="2">
        <v>3140660443.4499998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3140660443.4499998</v>
      </c>
      <c r="AZ97" s="1">
        <v>1</v>
      </c>
      <c r="BA97" s="1" t="s">
        <v>26</v>
      </c>
      <c r="BB97" s="1" t="s">
        <v>26</v>
      </c>
    </row>
    <row r="98" spans="1:54" s="7" customFormat="1">
      <c r="A98" s="13" t="s">
        <v>84</v>
      </c>
      <c r="B98" s="25" t="s">
        <v>25</v>
      </c>
      <c r="C98" s="55" t="s">
        <v>26</v>
      </c>
      <c r="D98" s="56" t="s">
        <v>26</v>
      </c>
      <c r="E98" s="56" t="s">
        <v>26</v>
      </c>
      <c r="F98" s="56" t="s">
        <v>26</v>
      </c>
      <c r="G98" s="55">
        <v>5796274022.3199997</v>
      </c>
      <c r="H98" s="56">
        <v>4.3054668853949998E-2</v>
      </c>
      <c r="I98" s="56">
        <v>0.15</v>
      </c>
      <c r="J98" s="56">
        <f>+I98-H98</f>
        <v>0.10694533114605</v>
      </c>
      <c r="K98" s="55">
        <v>29507388.010000002</v>
      </c>
      <c r="L98" s="56">
        <v>1.2075448266280001E-2</v>
      </c>
      <c r="M98" s="56">
        <v>0.15</v>
      </c>
      <c r="N98" s="56">
        <f>+M98-L98</f>
        <v>0.13792455173371998</v>
      </c>
      <c r="O98" s="55">
        <v>17315111109.080002</v>
      </c>
      <c r="P98" s="56">
        <v>8.6384518744720001E-2</v>
      </c>
      <c r="Q98" s="56">
        <v>0.15</v>
      </c>
      <c r="R98" s="56">
        <f>+Q98-P98</f>
        <v>6.3615481255279993E-2</v>
      </c>
      <c r="S98" s="55">
        <v>4457342093.6400003</v>
      </c>
      <c r="T98" s="56">
        <v>4.4439566279340002E-2</v>
      </c>
      <c r="U98" s="56">
        <v>0.15</v>
      </c>
      <c r="V98" s="56">
        <f>+U98-T98</f>
        <v>0.10556043372065999</v>
      </c>
      <c r="W98" s="55" t="s">
        <v>26</v>
      </c>
      <c r="X98" s="56" t="s">
        <v>26</v>
      </c>
      <c r="Y98" s="56" t="s">
        <v>26</v>
      </c>
      <c r="Z98" s="56" t="s">
        <v>26</v>
      </c>
      <c r="AA98" s="55">
        <v>5309449835.5900002</v>
      </c>
      <c r="AB98" s="56">
        <v>4.2953189010750001E-2</v>
      </c>
      <c r="AC98" s="56">
        <v>0.15</v>
      </c>
      <c r="AD98" s="56">
        <f>+AC98-AB98</f>
        <v>0.10704681098924999</v>
      </c>
      <c r="AE98" s="55">
        <v>32907684448.639999</v>
      </c>
      <c r="AF98" s="56">
        <v>5.7508862817350001E-2</v>
      </c>
      <c r="AG98" s="56">
        <v>0.15</v>
      </c>
      <c r="AH98" s="56">
        <f>+AG98-AF98</f>
        <v>9.2491137182649993E-2</v>
      </c>
      <c r="AI98" s="55" t="s">
        <v>26</v>
      </c>
      <c r="AJ98" s="56" t="s">
        <v>26</v>
      </c>
      <c r="AK98" s="56" t="s">
        <v>26</v>
      </c>
      <c r="AL98" s="56" t="s">
        <v>26</v>
      </c>
      <c r="AM98" s="55" t="s">
        <v>26</v>
      </c>
      <c r="AN98" s="56" t="s">
        <v>26</v>
      </c>
      <c r="AO98" s="56" t="s">
        <v>26</v>
      </c>
      <c r="AP98" s="56" t="s">
        <v>26</v>
      </c>
      <c r="AQ98" s="55" t="s">
        <v>26</v>
      </c>
      <c r="AR98" s="56" t="s">
        <v>26</v>
      </c>
      <c r="AS98" s="56" t="s">
        <v>26</v>
      </c>
      <c r="AT98" s="56" t="s">
        <v>26</v>
      </c>
      <c r="AU98" s="55">
        <v>1765945575.24</v>
      </c>
      <c r="AV98" s="56">
        <v>4.3970746516859997E-2</v>
      </c>
      <c r="AW98" s="56">
        <v>0.15</v>
      </c>
      <c r="AX98" s="56">
        <f>+AW98-AV98</f>
        <v>0.10602925348313999</v>
      </c>
      <c r="AY98" s="55">
        <v>34673630023.879997</v>
      </c>
      <c r="AZ98" s="56">
        <v>5.3257834225260002E-2</v>
      </c>
      <c r="BA98" s="56">
        <v>0.15</v>
      </c>
      <c r="BB98" s="56">
        <f>+BA98-AZ98</f>
        <v>9.6742165774739985E-2</v>
      </c>
    </row>
    <row r="99" spans="1:54" s="7" customFormat="1">
      <c r="A99" s="5" t="s">
        <v>85</v>
      </c>
      <c r="B99" s="24" t="s">
        <v>25</v>
      </c>
      <c r="C99" s="10" t="s">
        <v>26</v>
      </c>
      <c r="D99" s="11" t="s">
        <v>26</v>
      </c>
      <c r="E99" s="11" t="s">
        <v>26</v>
      </c>
      <c r="F99" s="11" t="s">
        <v>26</v>
      </c>
      <c r="G99" s="10">
        <v>115463692.22</v>
      </c>
      <c r="H99" s="11">
        <v>8.5766321847999998E-4</v>
      </c>
      <c r="I99" s="1" t="s">
        <v>26</v>
      </c>
      <c r="J99" s="1" t="s">
        <v>26</v>
      </c>
      <c r="K99" s="10">
        <v>29507388.010000002</v>
      </c>
      <c r="L99" s="11">
        <v>1.2075448266280001E-2</v>
      </c>
      <c r="M99" s="1" t="s">
        <v>26</v>
      </c>
      <c r="N99" s="1" t="s">
        <v>26</v>
      </c>
      <c r="O99" s="10" t="s">
        <v>26</v>
      </c>
      <c r="P99" s="11" t="s">
        <v>26</v>
      </c>
      <c r="Q99" s="11" t="s">
        <v>26</v>
      </c>
      <c r="R99" s="11" t="s">
        <v>26</v>
      </c>
      <c r="S99" s="10">
        <v>211683435.74000001</v>
      </c>
      <c r="T99" s="11">
        <v>2.1104774718200001E-3</v>
      </c>
      <c r="U99" s="1" t="s">
        <v>26</v>
      </c>
      <c r="V99" s="1" t="s">
        <v>26</v>
      </c>
      <c r="W99" s="10" t="s">
        <v>26</v>
      </c>
      <c r="X99" s="11" t="s">
        <v>26</v>
      </c>
      <c r="Y99" s="11" t="s">
        <v>26</v>
      </c>
      <c r="Z99" s="11" t="s">
        <v>26</v>
      </c>
      <c r="AA99" s="10">
        <v>129575921.27</v>
      </c>
      <c r="AB99" s="11">
        <v>1.04826285395E-3</v>
      </c>
      <c r="AC99" s="1" t="s">
        <v>26</v>
      </c>
      <c r="AD99" s="1" t="s">
        <v>26</v>
      </c>
      <c r="AE99" s="10">
        <v>486230437.24000001</v>
      </c>
      <c r="AF99" s="11">
        <v>8.4972735034999998E-4</v>
      </c>
      <c r="AG99" s="1" t="s">
        <v>26</v>
      </c>
      <c r="AH99" s="1" t="s">
        <v>26</v>
      </c>
      <c r="AI99" s="10" t="s">
        <v>26</v>
      </c>
      <c r="AJ99" s="11" t="s">
        <v>26</v>
      </c>
      <c r="AK99" s="11" t="s">
        <v>26</v>
      </c>
      <c r="AL99" s="11" t="s">
        <v>26</v>
      </c>
      <c r="AM99" s="10" t="s">
        <v>26</v>
      </c>
      <c r="AN99" s="11" t="s">
        <v>26</v>
      </c>
      <c r="AO99" s="11" t="s">
        <v>26</v>
      </c>
      <c r="AP99" s="11" t="s">
        <v>26</v>
      </c>
      <c r="AQ99" s="10" t="s">
        <v>26</v>
      </c>
      <c r="AR99" s="11" t="s">
        <v>26</v>
      </c>
      <c r="AS99" s="11" t="s">
        <v>26</v>
      </c>
      <c r="AT99" s="11" t="s">
        <v>26</v>
      </c>
      <c r="AU99" s="10" t="s">
        <v>26</v>
      </c>
      <c r="AV99" s="11" t="s">
        <v>26</v>
      </c>
      <c r="AW99" s="11" t="s">
        <v>26</v>
      </c>
      <c r="AX99" s="11" t="s">
        <v>26</v>
      </c>
      <c r="AY99" s="10">
        <v>486230437.24000001</v>
      </c>
      <c r="AZ99" s="11">
        <v>7.4683787084999995E-4</v>
      </c>
      <c r="BA99" s="1" t="s">
        <v>26</v>
      </c>
      <c r="BB99" s="1" t="s">
        <v>26</v>
      </c>
    </row>
    <row r="100" spans="1:54" s="7" customFormat="1">
      <c r="A100" s="3" t="s">
        <v>86</v>
      </c>
      <c r="B100" s="24" t="s">
        <v>46</v>
      </c>
      <c r="C100" s="2" t="s">
        <v>26</v>
      </c>
      <c r="D100" s="1" t="s">
        <v>26</v>
      </c>
      <c r="E100" s="1" t="s">
        <v>26</v>
      </c>
      <c r="F100" s="1" t="s">
        <v>26</v>
      </c>
      <c r="G100" s="2">
        <v>115463692.22</v>
      </c>
      <c r="H100" s="1">
        <v>1</v>
      </c>
      <c r="I100" s="1" t="s">
        <v>26</v>
      </c>
      <c r="J100" s="1" t="s">
        <v>26</v>
      </c>
      <c r="K100" s="2">
        <v>29507388.010000002</v>
      </c>
      <c r="L100" s="1">
        <v>1</v>
      </c>
      <c r="M100" s="1" t="s">
        <v>26</v>
      </c>
      <c r="N100" s="1" t="s">
        <v>26</v>
      </c>
      <c r="O100" s="2" t="s">
        <v>26</v>
      </c>
      <c r="P100" s="1" t="s">
        <v>26</v>
      </c>
      <c r="Q100" s="1" t="s">
        <v>26</v>
      </c>
      <c r="R100" s="1" t="s">
        <v>26</v>
      </c>
      <c r="S100" s="2">
        <v>211683435.74000001</v>
      </c>
      <c r="T100" s="1">
        <v>1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2">
        <v>129575921.27</v>
      </c>
      <c r="AB100" s="1">
        <v>1</v>
      </c>
      <c r="AC100" s="1" t="s">
        <v>26</v>
      </c>
      <c r="AD100" s="1" t="s">
        <v>26</v>
      </c>
      <c r="AE100" s="2">
        <v>486230437.24000001</v>
      </c>
      <c r="AF100" s="1">
        <v>1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2">
        <v>486230437.24000001</v>
      </c>
      <c r="AZ100" s="1">
        <v>1</v>
      </c>
      <c r="BA100" s="1" t="s">
        <v>26</v>
      </c>
      <c r="BB100" s="1" t="s">
        <v>26</v>
      </c>
    </row>
    <row r="101" spans="1:54" s="7" customFormat="1">
      <c r="A101" s="5" t="s">
        <v>87</v>
      </c>
      <c r="B101" s="24" t="s">
        <v>25</v>
      </c>
      <c r="C101" s="10" t="s">
        <v>26</v>
      </c>
      <c r="D101" s="11" t="s">
        <v>26</v>
      </c>
      <c r="E101" s="11" t="s">
        <v>26</v>
      </c>
      <c r="F101" s="11" t="s">
        <v>26</v>
      </c>
      <c r="G101" s="10">
        <v>1702565148.55</v>
      </c>
      <c r="H101" s="11">
        <v>1.264663789028E-2</v>
      </c>
      <c r="I101" s="1" t="s">
        <v>26</v>
      </c>
      <c r="J101" s="1" t="s">
        <v>26</v>
      </c>
      <c r="K101" s="10" t="s">
        <v>26</v>
      </c>
      <c r="L101" s="11" t="s">
        <v>26</v>
      </c>
      <c r="M101" s="11" t="s">
        <v>26</v>
      </c>
      <c r="N101" s="11" t="s">
        <v>26</v>
      </c>
      <c r="O101" s="10">
        <v>3053137470.48</v>
      </c>
      <c r="P101" s="11">
        <v>1.523200223131E-2</v>
      </c>
      <c r="Q101" s="1" t="s">
        <v>26</v>
      </c>
      <c r="R101" s="1" t="s">
        <v>26</v>
      </c>
      <c r="S101" s="10">
        <v>1112698989.25</v>
      </c>
      <c r="T101" s="11">
        <v>1.10935753736E-2</v>
      </c>
      <c r="U101" s="1" t="s">
        <v>26</v>
      </c>
      <c r="V101" s="1" t="s">
        <v>26</v>
      </c>
      <c r="W101" s="10" t="s">
        <v>26</v>
      </c>
      <c r="X101" s="11" t="s">
        <v>26</v>
      </c>
      <c r="Y101" s="11" t="s">
        <v>26</v>
      </c>
      <c r="Z101" s="11" t="s">
        <v>26</v>
      </c>
      <c r="AA101" s="10">
        <v>1701479588.55</v>
      </c>
      <c r="AB101" s="11">
        <v>1.3764886500110001E-2</v>
      </c>
      <c r="AC101" s="1" t="s">
        <v>26</v>
      </c>
      <c r="AD101" s="1" t="s">
        <v>26</v>
      </c>
      <c r="AE101" s="10">
        <v>7569881196.8299999</v>
      </c>
      <c r="AF101" s="11">
        <v>1.322898485828E-2</v>
      </c>
      <c r="AG101" s="1" t="s">
        <v>26</v>
      </c>
      <c r="AH101" s="1" t="s">
        <v>26</v>
      </c>
      <c r="AI101" s="10" t="s">
        <v>26</v>
      </c>
      <c r="AJ101" s="11" t="s">
        <v>26</v>
      </c>
      <c r="AK101" s="11" t="s">
        <v>26</v>
      </c>
      <c r="AL101" s="11" t="s">
        <v>26</v>
      </c>
      <c r="AM101" s="10" t="s">
        <v>26</v>
      </c>
      <c r="AN101" s="11" t="s">
        <v>26</v>
      </c>
      <c r="AO101" s="11" t="s">
        <v>26</v>
      </c>
      <c r="AP101" s="11" t="s">
        <v>26</v>
      </c>
      <c r="AQ101" s="10" t="s">
        <v>26</v>
      </c>
      <c r="AR101" s="11" t="s">
        <v>26</v>
      </c>
      <c r="AS101" s="11" t="s">
        <v>26</v>
      </c>
      <c r="AT101" s="11" t="s">
        <v>26</v>
      </c>
      <c r="AU101" s="10">
        <v>279124612.30000001</v>
      </c>
      <c r="AV101" s="11">
        <v>6.9499976364700003E-3</v>
      </c>
      <c r="AW101" s="1" t="s">
        <v>26</v>
      </c>
      <c r="AX101" s="1" t="s">
        <v>26</v>
      </c>
      <c r="AY101" s="10">
        <v>7849005809.1300001</v>
      </c>
      <c r="AZ101" s="11">
        <v>1.20558779086E-2</v>
      </c>
      <c r="BA101" s="1" t="s">
        <v>26</v>
      </c>
      <c r="BB101" s="1" t="s">
        <v>26</v>
      </c>
    </row>
    <row r="102" spans="1:54" s="7" customFormat="1">
      <c r="A102" s="3" t="s">
        <v>86</v>
      </c>
      <c r="B102" s="24" t="s">
        <v>46</v>
      </c>
      <c r="C102" s="2" t="s">
        <v>26</v>
      </c>
      <c r="D102" s="1" t="s">
        <v>26</v>
      </c>
      <c r="E102" s="1" t="s">
        <v>26</v>
      </c>
      <c r="F102" s="1" t="s">
        <v>26</v>
      </c>
      <c r="G102" s="2">
        <v>1702565148.55</v>
      </c>
      <c r="H102" s="1">
        <v>1</v>
      </c>
      <c r="I102" s="1" t="s">
        <v>26</v>
      </c>
      <c r="J102" s="1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2">
        <v>3053137470.48</v>
      </c>
      <c r="P102" s="1">
        <v>1</v>
      </c>
      <c r="Q102" s="1" t="s">
        <v>26</v>
      </c>
      <c r="R102" s="1" t="s">
        <v>26</v>
      </c>
      <c r="S102" s="2">
        <v>1112698989.25</v>
      </c>
      <c r="T102" s="1">
        <v>1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2">
        <v>1701479588.55</v>
      </c>
      <c r="AB102" s="1">
        <v>1</v>
      </c>
      <c r="AC102" s="1" t="s">
        <v>26</v>
      </c>
      <c r="AD102" s="1" t="s">
        <v>26</v>
      </c>
      <c r="AE102" s="2">
        <v>7569881196.8299999</v>
      </c>
      <c r="AF102" s="1">
        <v>1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2">
        <v>279124612.30000001</v>
      </c>
      <c r="AV102" s="1">
        <v>1</v>
      </c>
      <c r="AW102" s="1" t="s">
        <v>26</v>
      </c>
      <c r="AX102" s="1" t="s">
        <v>26</v>
      </c>
      <c r="AY102" s="2">
        <v>7849005809.1300001</v>
      </c>
      <c r="AZ102" s="1">
        <v>1</v>
      </c>
      <c r="BA102" s="1" t="s">
        <v>26</v>
      </c>
      <c r="BB102" s="1" t="s">
        <v>26</v>
      </c>
    </row>
    <row r="103" spans="1:54" s="8" customFormat="1">
      <c r="A103" s="26" t="s">
        <v>88</v>
      </c>
      <c r="B103" s="27" t="s">
        <v>25</v>
      </c>
      <c r="C103" s="28" t="s">
        <v>26</v>
      </c>
      <c r="D103" s="29" t="s">
        <v>26</v>
      </c>
      <c r="E103" s="29" t="s">
        <v>26</v>
      </c>
      <c r="F103" s="29" t="s">
        <v>26</v>
      </c>
      <c r="G103" s="28">
        <v>1360763157.48</v>
      </c>
      <c r="H103" s="29">
        <v>1.0107735919380001E-2</v>
      </c>
      <c r="I103" s="23" t="s">
        <v>26</v>
      </c>
      <c r="J103" s="23" t="s">
        <v>26</v>
      </c>
      <c r="K103" s="28" t="s">
        <v>26</v>
      </c>
      <c r="L103" s="29" t="s">
        <v>26</v>
      </c>
      <c r="M103" s="29" t="s">
        <v>26</v>
      </c>
      <c r="N103" s="29" t="s">
        <v>26</v>
      </c>
      <c r="O103" s="28">
        <v>1308426112.97</v>
      </c>
      <c r="P103" s="29">
        <v>6.5276947615200004E-3</v>
      </c>
      <c r="Q103" s="23" t="s">
        <v>26</v>
      </c>
      <c r="R103" s="23" t="s">
        <v>26</v>
      </c>
      <c r="S103" s="28">
        <v>1308426112.97</v>
      </c>
      <c r="T103" s="29">
        <v>1.3044968895679999E-2</v>
      </c>
      <c r="U103" s="23" t="s">
        <v>26</v>
      </c>
      <c r="V103" s="23" t="s">
        <v>26</v>
      </c>
      <c r="W103" s="28" t="s">
        <v>26</v>
      </c>
      <c r="X103" s="29" t="s">
        <v>26</v>
      </c>
      <c r="Y103" s="29" t="s">
        <v>26</v>
      </c>
      <c r="Z103" s="29" t="s">
        <v>26</v>
      </c>
      <c r="AA103" s="28">
        <v>1255304012.78</v>
      </c>
      <c r="AB103" s="29">
        <v>1.0155347954409999E-2</v>
      </c>
      <c r="AC103" s="23" t="s">
        <v>26</v>
      </c>
      <c r="AD103" s="23" t="s">
        <v>26</v>
      </c>
      <c r="AE103" s="28">
        <v>5232919396.1999998</v>
      </c>
      <c r="AF103" s="29">
        <v>9.1449534882899995E-3</v>
      </c>
      <c r="AG103" s="23" t="s">
        <v>26</v>
      </c>
      <c r="AH103" s="23" t="s">
        <v>26</v>
      </c>
      <c r="AI103" s="28" t="s">
        <v>26</v>
      </c>
      <c r="AJ103" s="29" t="s">
        <v>26</v>
      </c>
      <c r="AK103" s="29" t="s">
        <v>26</v>
      </c>
      <c r="AL103" s="29" t="s">
        <v>26</v>
      </c>
      <c r="AM103" s="28" t="s">
        <v>26</v>
      </c>
      <c r="AN103" s="29" t="s">
        <v>26</v>
      </c>
      <c r="AO103" s="29" t="s">
        <v>26</v>
      </c>
      <c r="AP103" s="29" t="s">
        <v>26</v>
      </c>
      <c r="AQ103" s="28" t="s">
        <v>26</v>
      </c>
      <c r="AR103" s="29" t="s">
        <v>26</v>
      </c>
      <c r="AS103" s="29" t="s">
        <v>26</v>
      </c>
      <c r="AT103" s="29" t="s">
        <v>26</v>
      </c>
      <c r="AU103" s="28" t="s">
        <v>26</v>
      </c>
      <c r="AV103" s="29" t="s">
        <v>26</v>
      </c>
      <c r="AW103" s="23" t="s">
        <v>26</v>
      </c>
      <c r="AX103" s="23" t="s">
        <v>26</v>
      </c>
      <c r="AY103" s="28">
        <v>5232919396.1999998</v>
      </c>
      <c r="AZ103" s="29">
        <v>8.0376341769E-3</v>
      </c>
      <c r="BA103" s="23" t="s">
        <v>26</v>
      </c>
      <c r="BB103" s="23" t="s">
        <v>26</v>
      </c>
    </row>
    <row r="104" spans="1:54" s="8" customFormat="1">
      <c r="A104" s="30" t="s">
        <v>86</v>
      </c>
      <c r="B104" s="27" t="s">
        <v>46</v>
      </c>
      <c r="C104" s="22" t="s">
        <v>26</v>
      </c>
      <c r="D104" s="23" t="s">
        <v>26</v>
      </c>
      <c r="E104" s="23" t="s">
        <v>26</v>
      </c>
      <c r="F104" s="23" t="s">
        <v>26</v>
      </c>
      <c r="G104" s="22">
        <v>1360763157.48</v>
      </c>
      <c r="H104" s="23">
        <v>1</v>
      </c>
      <c r="I104" s="23" t="s">
        <v>26</v>
      </c>
      <c r="J104" s="23" t="s">
        <v>26</v>
      </c>
      <c r="K104" s="22" t="s">
        <v>26</v>
      </c>
      <c r="L104" s="23" t="s">
        <v>26</v>
      </c>
      <c r="M104" s="23" t="s">
        <v>26</v>
      </c>
      <c r="N104" s="23" t="s">
        <v>26</v>
      </c>
      <c r="O104" s="22">
        <v>1308426112.97</v>
      </c>
      <c r="P104" s="23">
        <v>1</v>
      </c>
      <c r="Q104" s="23" t="s">
        <v>26</v>
      </c>
      <c r="R104" s="23" t="s">
        <v>26</v>
      </c>
      <c r="S104" s="22">
        <v>1308426112.97</v>
      </c>
      <c r="T104" s="23">
        <v>1</v>
      </c>
      <c r="U104" s="23" t="s">
        <v>26</v>
      </c>
      <c r="V104" s="23" t="s">
        <v>26</v>
      </c>
      <c r="W104" s="22" t="s">
        <v>26</v>
      </c>
      <c r="X104" s="23" t="s">
        <v>26</v>
      </c>
      <c r="Y104" s="23" t="s">
        <v>26</v>
      </c>
      <c r="Z104" s="23" t="s">
        <v>26</v>
      </c>
      <c r="AA104" s="22">
        <v>1255304012.78</v>
      </c>
      <c r="AB104" s="23">
        <v>1</v>
      </c>
      <c r="AC104" s="23" t="s">
        <v>26</v>
      </c>
      <c r="AD104" s="23" t="s">
        <v>26</v>
      </c>
      <c r="AE104" s="22">
        <v>5232919396.1999998</v>
      </c>
      <c r="AF104" s="23">
        <v>1</v>
      </c>
      <c r="AG104" s="23" t="s">
        <v>26</v>
      </c>
      <c r="AH104" s="23" t="s">
        <v>26</v>
      </c>
      <c r="AI104" s="22" t="s">
        <v>26</v>
      </c>
      <c r="AJ104" s="23" t="s">
        <v>26</v>
      </c>
      <c r="AK104" s="23" t="s">
        <v>26</v>
      </c>
      <c r="AL104" s="23" t="s">
        <v>26</v>
      </c>
      <c r="AM104" s="22" t="s">
        <v>26</v>
      </c>
      <c r="AN104" s="23" t="s">
        <v>26</v>
      </c>
      <c r="AO104" s="23" t="s">
        <v>26</v>
      </c>
      <c r="AP104" s="23" t="s">
        <v>26</v>
      </c>
      <c r="AQ104" s="22" t="s">
        <v>26</v>
      </c>
      <c r="AR104" s="23" t="s">
        <v>26</v>
      </c>
      <c r="AS104" s="23" t="s">
        <v>26</v>
      </c>
      <c r="AT104" s="23" t="s">
        <v>26</v>
      </c>
      <c r="AU104" s="22" t="s">
        <v>26</v>
      </c>
      <c r="AV104" s="23" t="s">
        <v>26</v>
      </c>
      <c r="AW104" s="23" t="s">
        <v>26</v>
      </c>
      <c r="AX104" s="23" t="s">
        <v>26</v>
      </c>
      <c r="AY104" s="22">
        <v>5232919396.1999998</v>
      </c>
      <c r="AZ104" s="23">
        <v>1</v>
      </c>
      <c r="BA104" s="23" t="s">
        <v>26</v>
      </c>
      <c r="BB104" s="23" t="s">
        <v>26</v>
      </c>
    </row>
    <row r="105" spans="1:54" s="7" customFormat="1">
      <c r="A105" s="5" t="s">
        <v>89</v>
      </c>
      <c r="B105" s="24" t="s">
        <v>25</v>
      </c>
      <c r="C105" s="10" t="s">
        <v>26</v>
      </c>
      <c r="D105" s="11" t="s">
        <v>26</v>
      </c>
      <c r="E105" s="11" t="s">
        <v>26</v>
      </c>
      <c r="F105" s="11" t="s">
        <v>26</v>
      </c>
      <c r="G105" s="10" t="s">
        <v>26</v>
      </c>
      <c r="H105" s="11" t="s">
        <v>26</v>
      </c>
      <c r="I105" s="11" t="s">
        <v>26</v>
      </c>
      <c r="J105" s="11" t="s">
        <v>26</v>
      </c>
      <c r="K105" s="10" t="s">
        <v>26</v>
      </c>
      <c r="L105" s="11" t="s">
        <v>26</v>
      </c>
      <c r="M105" s="11" t="s">
        <v>26</v>
      </c>
      <c r="N105" s="11" t="s">
        <v>26</v>
      </c>
      <c r="O105" s="10">
        <v>2924454107.0599999</v>
      </c>
      <c r="P105" s="11">
        <v>1.459000517166E-2</v>
      </c>
      <c r="Q105" s="1" t="s">
        <v>26</v>
      </c>
      <c r="R105" s="1" t="s">
        <v>26</v>
      </c>
      <c r="S105" s="10">
        <v>461724263.47000003</v>
      </c>
      <c r="T105" s="11">
        <v>4.6033769852499998E-3</v>
      </c>
      <c r="U105" s="1" t="s">
        <v>26</v>
      </c>
      <c r="V105" s="1" t="s">
        <v>26</v>
      </c>
      <c r="W105" s="10" t="s">
        <v>26</v>
      </c>
      <c r="X105" s="11" t="s">
        <v>26</v>
      </c>
      <c r="Y105" s="11" t="s">
        <v>26</v>
      </c>
      <c r="Z105" s="11" t="s">
        <v>26</v>
      </c>
      <c r="AA105" s="10">
        <v>1159378887.8</v>
      </c>
      <c r="AB105" s="11">
        <v>9.3793183935799995E-3</v>
      </c>
      <c r="AC105" s="1" t="s">
        <v>26</v>
      </c>
      <c r="AD105" s="1" t="s">
        <v>26</v>
      </c>
      <c r="AE105" s="10">
        <v>4545557258.3299999</v>
      </c>
      <c r="AF105" s="11">
        <v>7.9437320850000003E-3</v>
      </c>
      <c r="AG105" s="1" t="s">
        <v>26</v>
      </c>
      <c r="AH105" s="1" t="s">
        <v>26</v>
      </c>
      <c r="AI105" s="10" t="s">
        <v>26</v>
      </c>
      <c r="AJ105" s="11" t="s">
        <v>26</v>
      </c>
      <c r="AK105" s="11" t="s">
        <v>26</v>
      </c>
      <c r="AL105" s="11" t="s">
        <v>26</v>
      </c>
      <c r="AM105" s="10" t="s">
        <v>26</v>
      </c>
      <c r="AN105" s="11" t="s">
        <v>26</v>
      </c>
      <c r="AO105" s="11" t="s">
        <v>26</v>
      </c>
      <c r="AP105" s="11" t="s">
        <v>26</v>
      </c>
      <c r="AQ105" s="10" t="s">
        <v>26</v>
      </c>
      <c r="AR105" s="11" t="s">
        <v>26</v>
      </c>
      <c r="AS105" s="11" t="s">
        <v>26</v>
      </c>
      <c r="AT105" s="11" t="s">
        <v>26</v>
      </c>
      <c r="AU105" s="10">
        <v>322133207.06999999</v>
      </c>
      <c r="AV105" s="11">
        <v>8.0208800267299995E-3</v>
      </c>
      <c r="AW105" s="1" t="s">
        <v>26</v>
      </c>
      <c r="AX105" s="1" t="s">
        <v>26</v>
      </c>
      <c r="AY105" s="10">
        <v>4867690465.3999996</v>
      </c>
      <c r="AZ105" s="11">
        <v>7.4766516135599996E-3</v>
      </c>
      <c r="BA105" s="1" t="s">
        <v>26</v>
      </c>
      <c r="BB105" s="1" t="s">
        <v>26</v>
      </c>
    </row>
    <row r="106" spans="1:54" s="7" customFormat="1">
      <c r="A106" s="3" t="s">
        <v>86</v>
      </c>
      <c r="B106" s="24" t="s">
        <v>46</v>
      </c>
      <c r="C106" s="2" t="s">
        <v>26</v>
      </c>
      <c r="D106" s="1" t="s">
        <v>26</v>
      </c>
      <c r="E106" s="1" t="s">
        <v>26</v>
      </c>
      <c r="F106" s="1" t="s">
        <v>26</v>
      </c>
      <c r="G106" s="2" t="s">
        <v>26</v>
      </c>
      <c r="H106" s="1" t="s">
        <v>26</v>
      </c>
      <c r="I106" s="1" t="s">
        <v>26</v>
      </c>
      <c r="J106" s="1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2">
        <v>2924454107.0599999</v>
      </c>
      <c r="P106" s="1">
        <v>1</v>
      </c>
      <c r="Q106" s="1" t="s">
        <v>26</v>
      </c>
      <c r="R106" s="1" t="s">
        <v>26</v>
      </c>
      <c r="S106" s="2">
        <v>461724263.47000003</v>
      </c>
      <c r="T106" s="1">
        <v>1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2">
        <v>1159378887.8</v>
      </c>
      <c r="AB106" s="1">
        <v>1</v>
      </c>
      <c r="AC106" s="1" t="s">
        <v>26</v>
      </c>
      <c r="AD106" s="1" t="s">
        <v>26</v>
      </c>
      <c r="AE106" s="2">
        <v>4545557258.3299999</v>
      </c>
      <c r="AF106" s="1">
        <v>1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>
        <v>322133207.06999999</v>
      </c>
      <c r="AV106" s="1">
        <v>1</v>
      </c>
      <c r="AW106" s="1" t="s">
        <v>26</v>
      </c>
      <c r="AX106" s="1" t="s">
        <v>26</v>
      </c>
      <c r="AY106" s="2">
        <v>4867690465.3999996</v>
      </c>
      <c r="AZ106" s="1">
        <v>1</v>
      </c>
      <c r="BA106" s="1" t="s">
        <v>26</v>
      </c>
      <c r="BB106" s="1" t="s">
        <v>26</v>
      </c>
    </row>
    <row r="107" spans="1:54" s="7" customFormat="1">
      <c r="A107" s="5" t="s">
        <v>106</v>
      </c>
      <c r="B107" s="24" t="s">
        <v>25</v>
      </c>
      <c r="C107" s="10" t="s">
        <v>26</v>
      </c>
      <c r="D107" s="11" t="s">
        <v>26</v>
      </c>
      <c r="E107" s="11" t="s">
        <v>26</v>
      </c>
      <c r="F107" s="11" t="s">
        <v>26</v>
      </c>
      <c r="G107" s="10" t="s">
        <v>26</v>
      </c>
      <c r="H107" s="11" t="s">
        <v>26</v>
      </c>
      <c r="I107" s="11" t="s">
        <v>26</v>
      </c>
      <c r="J107" s="11" t="s">
        <v>26</v>
      </c>
      <c r="K107" s="10" t="s">
        <v>26</v>
      </c>
      <c r="L107" s="11" t="s">
        <v>26</v>
      </c>
      <c r="M107" s="11" t="s">
        <v>26</v>
      </c>
      <c r="N107" s="11" t="s">
        <v>26</v>
      </c>
      <c r="O107" s="10">
        <v>609717301.20000005</v>
      </c>
      <c r="P107" s="11">
        <v>3.0418595238999998E-3</v>
      </c>
      <c r="Q107" s="1" t="s">
        <v>26</v>
      </c>
      <c r="R107" s="1" t="s">
        <v>26</v>
      </c>
      <c r="S107" s="10" t="s">
        <v>26</v>
      </c>
      <c r="T107" s="11" t="s">
        <v>26</v>
      </c>
      <c r="U107" s="1" t="s">
        <v>26</v>
      </c>
      <c r="V107" s="1" t="s">
        <v>26</v>
      </c>
      <c r="W107" s="10" t="s">
        <v>26</v>
      </c>
      <c r="X107" s="11" t="s">
        <v>26</v>
      </c>
      <c r="Y107" s="11" t="s">
        <v>26</v>
      </c>
      <c r="Z107" s="11" t="s">
        <v>26</v>
      </c>
      <c r="AA107" s="10" t="s">
        <v>26</v>
      </c>
      <c r="AB107" s="11" t="s">
        <v>26</v>
      </c>
      <c r="AC107" s="1" t="s">
        <v>26</v>
      </c>
      <c r="AD107" s="1" t="s">
        <v>26</v>
      </c>
      <c r="AE107" s="10">
        <v>609717301.20000005</v>
      </c>
      <c r="AF107" s="11">
        <v>1.0655307178100001E-3</v>
      </c>
      <c r="AG107" s="1" t="s">
        <v>26</v>
      </c>
      <c r="AH107" s="1" t="s">
        <v>26</v>
      </c>
      <c r="AI107" s="10" t="s">
        <v>26</v>
      </c>
      <c r="AJ107" s="11" t="s">
        <v>26</v>
      </c>
      <c r="AK107" s="11" t="s">
        <v>26</v>
      </c>
      <c r="AL107" s="11" t="s">
        <v>26</v>
      </c>
      <c r="AM107" s="10" t="s">
        <v>26</v>
      </c>
      <c r="AN107" s="11" t="s">
        <v>26</v>
      </c>
      <c r="AO107" s="11" t="s">
        <v>26</v>
      </c>
      <c r="AP107" s="11" t="s">
        <v>26</v>
      </c>
      <c r="AQ107" s="10" t="s">
        <v>26</v>
      </c>
      <c r="AR107" s="11" t="s">
        <v>26</v>
      </c>
      <c r="AS107" s="11" t="s">
        <v>26</v>
      </c>
      <c r="AT107" s="11" t="s">
        <v>26</v>
      </c>
      <c r="AU107" s="10" t="s">
        <v>26</v>
      </c>
      <c r="AV107" s="11" t="s">
        <v>26</v>
      </c>
      <c r="AW107" s="1" t="s">
        <v>26</v>
      </c>
      <c r="AX107" s="1" t="s">
        <v>26</v>
      </c>
      <c r="AY107" s="10">
        <v>609717301.20000005</v>
      </c>
      <c r="AZ107" s="11">
        <v>9.3651062577999997E-4</v>
      </c>
      <c r="BA107" s="1" t="s">
        <v>26</v>
      </c>
      <c r="BB107" s="1" t="s">
        <v>26</v>
      </c>
    </row>
    <row r="108" spans="1:54" s="7" customFormat="1">
      <c r="A108" s="3" t="s">
        <v>86</v>
      </c>
      <c r="B108" s="24" t="s">
        <v>46</v>
      </c>
      <c r="C108" s="2" t="s">
        <v>26</v>
      </c>
      <c r="D108" s="1" t="s">
        <v>26</v>
      </c>
      <c r="E108" s="1" t="s">
        <v>26</v>
      </c>
      <c r="F108" s="1" t="s">
        <v>26</v>
      </c>
      <c r="G108" s="2" t="s">
        <v>26</v>
      </c>
      <c r="H108" s="1" t="s">
        <v>26</v>
      </c>
      <c r="I108" s="1" t="s">
        <v>26</v>
      </c>
      <c r="J108" s="1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2">
        <v>609717301.20000005</v>
      </c>
      <c r="P108" s="1">
        <v>1</v>
      </c>
      <c r="Q108" s="1" t="s">
        <v>26</v>
      </c>
      <c r="R108" s="1" t="s">
        <v>26</v>
      </c>
      <c r="S108" s="2" t="s">
        <v>26</v>
      </c>
      <c r="T108" s="1" t="s">
        <v>26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2">
        <v>609717301.20000005</v>
      </c>
      <c r="AF108" s="1">
        <v>1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2">
        <v>609717301.20000005</v>
      </c>
      <c r="AZ108" s="1">
        <v>1</v>
      </c>
      <c r="BA108" s="1" t="s">
        <v>26</v>
      </c>
      <c r="BB108" s="1" t="s">
        <v>26</v>
      </c>
    </row>
    <row r="109" spans="1:54" s="7" customFormat="1">
      <c r="A109" s="5" t="s">
        <v>90</v>
      </c>
      <c r="B109" s="24" t="s">
        <v>25</v>
      </c>
      <c r="C109" s="10" t="s">
        <v>26</v>
      </c>
      <c r="D109" s="11" t="s">
        <v>26</v>
      </c>
      <c r="E109" s="11" t="s">
        <v>26</v>
      </c>
      <c r="F109" s="11" t="s">
        <v>26</v>
      </c>
      <c r="G109" s="10" t="s">
        <v>26</v>
      </c>
      <c r="H109" s="11" t="s">
        <v>26</v>
      </c>
      <c r="I109" s="11" t="s">
        <v>26</v>
      </c>
      <c r="J109" s="11" t="s">
        <v>26</v>
      </c>
      <c r="K109" s="10" t="s">
        <v>26</v>
      </c>
      <c r="L109" s="11" t="s">
        <v>26</v>
      </c>
      <c r="M109" s="11" t="s">
        <v>26</v>
      </c>
      <c r="N109" s="11" t="s">
        <v>26</v>
      </c>
      <c r="O109" s="10">
        <v>304808589.19</v>
      </c>
      <c r="P109" s="11">
        <v>1.5206800072199999E-3</v>
      </c>
      <c r="Q109" s="1" t="s">
        <v>26</v>
      </c>
      <c r="R109" s="1" t="s">
        <v>26</v>
      </c>
      <c r="S109" s="10" t="s">
        <v>26</v>
      </c>
      <c r="T109" s="11" t="s">
        <v>26</v>
      </c>
      <c r="U109" s="1" t="s">
        <v>26</v>
      </c>
      <c r="V109" s="1" t="s">
        <v>26</v>
      </c>
      <c r="W109" s="10" t="s">
        <v>26</v>
      </c>
      <c r="X109" s="11" t="s">
        <v>26</v>
      </c>
      <c r="Y109" s="11" t="s">
        <v>26</v>
      </c>
      <c r="Z109" s="11" t="s">
        <v>26</v>
      </c>
      <c r="AA109" s="10">
        <v>304808589.19</v>
      </c>
      <c r="AB109" s="11">
        <v>2.4658865511499998E-3</v>
      </c>
      <c r="AC109" s="1" t="s">
        <v>26</v>
      </c>
      <c r="AD109" s="1" t="s">
        <v>26</v>
      </c>
      <c r="AE109" s="10">
        <v>609617178.38</v>
      </c>
      <c r="AF109" s="11">
        <v>1.0653557450199999E-3</v>
      </c>
      <c r="AG109" s="1" t="s">
        <v>26</v>
      </c>
      <c r="AH109" s="1" t="s">
        <v>26</v>
      </c>
      <c r="AI109" s="10" t="s">
        <v>26</v>
      </c>
      <c r="AJ109" s="11" t="s">
        <v>26</v>
      </c>
      <c r="AK109" s="11" t="s">
        <v>26</v>
      </c>
      <c r="AL109" s="11" t="s">
        <v>26</v>
      </c>
      <c r="AM109" s="10" t="s">
        <v>26</v>
      </c>
      <c r="AN109" s="11" t="s">
        <v>26</v>
      </c>
      <c r="AO109" s="11" t="s">
        <v>26</v>
      </c>
      <c r="AP109" s="11" t="s">
        <v>26</v>
      </c>
      <c r="AQ109" s="10" t="s">
        <v>26</v>
      </c>
      <c r="AR109" s="11" t="s">
        <v>26</v>
      </c>
      <c r="AS109" s="11" t="s">
        <v>26</v>
      </c>
      <c r="AT109" s="11" t="s">
        <v>26</v>
      </c>
      <c r="AU109" s="10" t="s">
        <v>26</v>
      </c>
      <c r="AV109" s="11" t="s">
        <v>26</v>
      </c>
      <c r="AW109" s="1" t="s">
        <v>26</v>
      </c>
      <c r="AX109" s="1" t="s">
        <v>26</v>
      </c>
      <c r="AY109" s="10">
        <v>609617178.38</v>
      </c>
      <c r="AZ109" s="11">
        <v>9.3635683960999997E-4</v>
      </c>
      <c r="BA109" s="1" t="s">
        <v>26</v>
      </c>
      <c r="BB109" s="1" t="s">
        <v>26</v>
      </c>
    </row>
    <row r="110" spans="1:54" s="7" customFormat="1">
      <c r="A110" s="3" t="s">
        <v>86</v>
      </c>
      <c r="B110" s="24" t="s">
        <v>46</v>
      </c>
      <c r="C110" s="2" t="s">
        <v>26</v>
      </c>
      <c r="D110" s="1" t="s">
        <v>26</v>
      </c>
      <c r="E110" s="1" t="s">
        <v>26</v>
      </c>
      <c r="F110" s="1" t="s">
        <v>26</v>
      </c>
      <c r="G110" s="2" t="s">
        <v>26</v>
      </c>
      <c r="H110" s="1" t="s">
        <v>26</v>
      </c>
      <c r="I110" s="1" t="s">
        <v>26</v>
      </c>
      <c r="J110" s="1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>
        <v>304808589.19</v>
      </c>
      <c r="P110" s="1">
        <v>1</v>
      </c>
      <c r="Q110" s="1" t="s">
        <v>26</v>
      </c>
      <c r="R110" s="1" t="s">
        <v>26</v>
      </c>
      <c r="S110" s="2" t="s">
        <v>26</v>
      </c>
      <c r="T110" s="1" t="s">
        <v>26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>
        <v>304808589.19</v>
      </c>
      <c r="AB110" s="1">
        <v>1</v>
      </c>
      <c r="AC110" s="1" t="s">
        <v>26</v>
      </c>
      <c r="AD110" s="1" t="s">
        <v>26</v>
      </c>
      <c r="AE110" s="2">
        <v>609617178.38</v>
      </c>
      <c r="AF110" s="1">
        <v>1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2" t="s">
        <v>26</v>
      </c>
      <c r="AV110" s="1" t="s">
        <v>26</v>
      </c>
      <c r="AW110" s="1" t="s">
        <v>26</v>
      </c>
      <c r="AX110" s="1" t="s">
        <v>26</v>
      </c>
      <c r="AY110" s="2">
        <v>609617178.38</v>
      </c>
      <c r="AZ110" s="1">
        <v>1</v>
      </c>
      <c r="BA110" s="1" t="s">
        <v>26</v>
      </c>
      <c r="BB110" s="1" t="s">
        <v>26</v>
      </c>
    </row>
    <row r="111" spans="1:54" s="7" customFormat="1">
      <c r="A111" s="5" t="s">
        <v>91</v>
      </c>
      <c r="B111" s="24" t="s">
        <v>25</v>
      </c>
      <c r="C111" s="10" t="s">
        <v>26</v>
      </c>
      <c r="D111" s="11" t="s">
        <v>26</v>
      </c>
      <c r="E111" s="11" t="s">
        <v>26</v>
      </c>
      <c r="F111" s="11" t="s">
        <v>26</v>
      </c>
      <c r="G111" s="10" t="s">
        <v>26</v>
      </c>
      <c r="H111" s="11" t="s">
        <v>26</v>
      </c>
      <c r="I111" s="11" t="s">
        <v>26</v>
      </c>
      <c r="J111" s="11" t="s">
        <v>26</v>
      </c>
      <c r="K111" s="10" t="s">
        <v>26</v>
      </c>
      <c r="L111" s="11" t="s">
        <v>26</v>
      </c>
      <c r="M111" s="11" t="s">
        <v>26</v>
      </c>
      <c r="N111" s="11" t="s">
        <v>26</v>
      </c>
      <c r="O111" s="10" t="s">
        <v>26</v>
      </c>
      <c r="P111" s="11" t="s">
        <v>26</v>
      </c>
      <c r="Q111" s="1" t="s">
        <v>26</v>
      </c>
      <c r="R111" s="1" t="s">
        <v>26</v>
      </c>
      <c r="S111" s="10">
        <v>127473736.09</v>
      </c>
      <c r="T111" s="11">
        <v>1.27090930533E-3</v>
      </c>
      <c r="U111" s="1" t="s">
        <v>26</v>
      </c>
      <c r="V111" s="1" t="s">
        <v>26</v>
      </c>
      <c r="W111" s="10" t="s">
        <v>26</v>
      </c>
      <c r="X111" s="11" t="s">
        <v>26</v>
      </c>
      <c r="Y111" s="11" t="s">
        <v>26</v>
      </c>
      <c r="Z111" s="11" t="s">
        <v>26</v>
      </c>
      <c r="AA111" s="10" t="s">
        <v>26</v>
      </c>
      <c r="AB111" s="11" t="s">
        <v>26</v>
      </c>
      <c r="AC111" s="1" t="s">
        <v>26</v>
      </c>
      <c r="AD111" s="1" t="s">
        <v>26</v>
      </c>
      <c r="AE111" s="10">
        <v>127473736.09</v>
      </c>
      <c r="AF111" s="11">
        <v>2.2277075171E-4</v>
      </c>
      <c r="AG111" s="1" t="s">
        <v>26</v>
      </c>
      <c r="AH111" s="1" t="s">
        <v>26</v>
      </c>
      <c r="AI111" s="10" t="s">
        <v>26</v>
      </c>
      <c r="AJ111" s="11" t="s">
        <v>26</v>
      </c>
      <c r="AK111" s="11" t="s">
        <v>26</v>
      </c>
      <c r="AL111" s="11" t="s">
        <v>26</v>
      </c>
      <c r="AM111" s="10" t="s">
        <v>26</v>
      </c>
      <c r="AN111" s="11" t="s">
        <v>26</v>
      </c>
      <c r="AO111" s="11" t="s">
        <v>26</v>
      </c>
      <c r="AP111" s="11" t="s">
        <v>26</v>
      </c>
      <c r="AQ111" s="10" t="s">
        <v>26</v>
      </c>
      <c r="AR111" s="11" t="s">
        <v>26</v>
      </c>
      <c r="AS111" s="11" t="s">
        <v>26</v>
      </c>
      <c r="AT111" s="11" t="s">
        <v>26</v>
      </c>
      <c r="AU111" s="10">
        <v>163296647.33000001</v>
      </c>
      <c r="AV111" s="11">
        <v>4.0659664643500001E-3</v>
      </c>
      <c r="AW111" s="1" t="s">
        <v>26</v>
      </c>
      <c r="AX111" s="1" t="s">
        <v>26</v>
      </c>
      <c r="AY111" s="10">
        <v>290770383.42000002</v>
      </c>
      <c r="AZ111" s="11">
        <v>4.4661608453000002E-4</v>
      </c>
      <c r="BA111" s="1" t="s">
        <v>26</v>
      </c>
      <c r="BB111" s="1" t="s">
        <v>26</v>
      </c>
    </row>
    <row r="112" spans="1:54" s="7" customFormat="1">
      <c r="A112" s="3" t="s">
        <v>86</v>
      </c>
      <c r="B112" s="24" t="s">
        <v>46</v>
      </c>
      <c r="C112" s="2" t="s">
        <v>26</v>
      </c>
      <c r="D112" s="1" t="s">
        <v>26</v>
      </c>
      <c r="E112" s="1" t="s">
        <v>26</v>
      </c>
      <c r="F112" s="1" t="s">
        <v>26</v>
      </c>
      <c r="G112" s="2" t="s">
        <v>26</v>
      </c>
      <c r="H112" s="1" t="s">
        <v>26</v>
      </c>
      <c r="I112" s="1" t="s">
        <v>26</v>
      </c>
      <c r="J112" s="1" t="s">
        <v>26</v>
      </c>
      <c r="K112" s="2" t="s">
        <v>26</v>
      </c>
      <c r="L112" s="1" t="s">
        <v>26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2">
        <v>127473736.09</v>
      </c>
      <c r="T112" s="1">
        <v>1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2">
        <v>127473736.09</v>
      </c>
      <c r="AF112" s="1">
        <v>1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>
        <v>163296647.33000001</v>
      </c>
      <c r="AV112" s="1">
        <v>1</v>
      </c>
      <c r="AW112" s="1" t="s">
        <v>26</v>
      </c>
      <c r="AX112" s="1" t="s">
        <v>26</v>
      </c>
      <c r="AY112" s="2">
        <v>290770383.42000002</v>
      </c>
      <c r="AZ112" s="1">
        <v>1</v>
      </c>
      <c r="BA112" s="1" t="s">
        <v>26</v>
      </c>
      <c r="BB112" s="1" t="s">
        <v>26</v>
      </c>
    </row>
    <row r="113" spans="1:54" s="7" customFormat="1">
      <c r="A113" s="5" t="s">
        <v>92</v>
      </c>
      <c r="B113" s="24" t="s">
        <v>25</v>
      </c>
      <c r="C113" s="10" t="s">
        <v>26</v>
      </c>
      <c r="D113" s="11" t="s">
        <v>26</v>
      </c>
      <c r="E113" s="11" t="s">
        <v>26</v>
      </c>
      <c r="F113" s="11" t="s">
        <v>26</v>
      </c>
      <c r="G113" s="10">
        <v>610481964.91999996</v>
      </c>
      <c r="H113" s="11">
        <v>4.5346542864800003E-3</v>
      </c>
      <c r="I113" s="1" t="s">
        <v>26</v>
      </c>
      <c r="J113" s="1" t="s">
        <v>26</v>
      </c>
      <c r="K113" s="10" t="s">
        <v>26</v>
      </c>
      <c r="L113" s="11" t="s">
        <v>26</v>
      </c>
      <c r="M113" s="11" t="s">
        <v>26</v>
      </c>
      <c r="N113" s="11" t="s">
        <v>26</v>
      </c>
      <c r="O113" s="10">
        <v>1917483299.1500001</v>
      </c>
      <c r="P113" s="11">
        <v>9.5662609933400006E-3</v>
      </c>
      <c r="Q113" s="1" t="s">
        <v>26</v>
      </c>
      <c r="R113" s="1" t="s">
        <v>26</v>
      </c>
      <c r="S113" s="10" t="s">
        <v>26</v>
      </c>
      <c r="T113" s="11" t="s">
        <v>26</v>
      </c>
      <c r="U113" s="1" t="s">
        <v>26</v>
      </c>
      <c r="V113" s="1" t="s">
        <v>26</v>
      </c>
      <c r="W113" s="10" t="s">
        <v>26</v>
      </c>
      <c r="X113" s="11" t="s">
        <v>26</v>
      </c>
      <c r="Y113" s="11" t="s">
        <v>26</v>
      </c>
      <c r="Z113" s="11" t="s">
        <v>26</v>
      </c>
      <c r="AA113" s="10" t="s">
        <v>26</v>
      </c>
      <c r="AB113" s="11" t="s">
        <v>26</v>
      </c>
      <c r="AC113" s="1" t="s">
        <v>26</v>
      </c>
      <c r="AD113" s="1" t="s">
        <v>26</v>
      </c>
      <c r="AE113" s="10">
        <v>2527965264.0700002</v>
      </c>
      <c r="AF113" s="11">
        <v>4.4178255022899997E-3</v>
      </c>
      <c r="AG113" s="1" t="s">
        <v>26</v>
      </c>
      <c r="AH113" s="1" t="s">
        <v>26</v>
      </c>
      <c r="AI113" s="10" t="s">
        <v>26</v>
      </c>
      <c r="AJ113" s="11" t="s">
        <v>26</v>
      </c>
      <c r="AK113" s="11" t="s">
        <v>26</v>
      </c>
      <c r="AL113" s="11" t="s">
        <v>26</v>
      </c>
      <c r="AM113" s="10" t="s">
        <v>26</v>
      </c>
      <c r="AN113" s="11" t="s">
        <v>26</v>
      </c>
      <c r="AO113" s="11" t="s">
        <v>26</v>
      </c>
      <c r="AP113" s="11" t="s">
        <v>26</v>
      </c>
      <c r="AQ113" s="10" t="s">
        <v>26</v>
      </c>
      <c r="AR113" s="11" t="s">
        <v>26</v>
      </c>
      <c r="AS113" s="11" t="s">
        <v>26</v>
      </c>
      <c r="AT113" s="11" t="s">
        <v>26</v>
      </c>
      <c r="AU113" s="10" t="s">
        <v>26</v>
      </c>
      <c r="AV113" s="11" t="s">
        <v>26</v>
      </c>
      <c r="AW113" s="1" t="s">
        <v>26</v>
      </c>
      <c r="AX113" s="1" t="s">
        <v>26</v>
      </c>
      <c r="AY113" s="10">
        <v>2527965264.0700002</v>
      </c>
      <c r="AZ113" s="11">
        <v>3.88289183649E-3</v>
      </c>
      <c r="BA113" s="1" t="s">
        <v>26</v>
      </c>
      <c r="BB113" s="1" t="s">
        <v>26</v>
      </c>
    </row>
    <row r="114" spans="1:54" s="7" customFormat="1">
      <c r="A114" s="3" t="s">
        <v>86</v>
      </c>
      <c r="B114" s="24" t="s">
        <v>46</v>
      </c>
      <c r="C114" s="2" t="s">
        <v>26</v>
      </c>
      <c r="D114" s="1" t="s">
        <v>26</v>
      </c>
      <c r="E114" s="1" t="s">
        <v>26</v>
      </c>
      <c r="F114" s="1" t="s">
        <v>26</v>
      </c>
      <c r="G114" s="2">
        <v>610481964.91999996</v>
      </c>
      <c r="H114" s="1">
        <v>1</v>
      </c>
      <c r="I114" s="1" t="s">
        <v>26</v>
      </c>
      <c r="J114" s="1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2">
        <v>1917483299.1500001</v>
      </c>
      <c r="P114" s="1">
        <v>1</v>
      </c>
      <c r="Q114" s="1" t="s">
        <v>26</v>
      </c>
      <c r="R114" s="1" t="s">
        <v>26</v>
      </c>
      <c r="S114" s="2" t="s">
        <v>26</v>
      </c>
      <c r="T114" s="1" t="s">
        <v>26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2">
        <v>2527965264.0700002</v>
      </c>
      <c r="AF114" s="1">
        <v>1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2">
        <v>2527965264.0700002</v>
      </c>
      <c r="AZ114" s="1">
        <v>1</v>
      </c>
      <c r="BA114" s="1" t="s">
        <v>26</v>
      </c>
      <c r="BB114" s="1" t="s">
        <v>26</v>
      </c>
    </row>
    <row r="115" spans="1:54" s="7" customFormat="1">
      <c r="A115" s="5" t="s">
        <v>93</v>
      </c>
      <c r="B115" s="24" t="s">
        <v>25</v>
      </c>
      <c r="C115" s="10" t="s">
        <v>26</v>
      </c>
      <c r="D115" s="11" t="s">
        <v>26</v>
      </c>
      <c r="E115" s="11" t="s">
        <v>26</v>
      </c>
      <c r="F115" s="11" t="s">
        <v>26</v>
      </c>
      <c r="G115" s="10">
        <v>1501064835.1500001</v>
      </c>
      <c r="H115" s="11">
        <v>1.114989545988E-2</v>
      </c>
      <c r="I115" s="1" t="s">
        <v>26</v>
      </c>
      <c r="J115" s="1" t="s">
        <v>26</v>
      </c>
      <c r="K115" s="10" t="s">
        <v>26</v>
      </c>
      <c r="L115" s="11" t="s">
        <v>26</v>
      </c>
      <c r="M115" s="11" t="s">
        <v>26</v>
      </c>
      <c r="N115" s="11" t="s">
        <v>26</v>
      </c>
      <c r="O115" s="10">
        <v>3576396816.23</v>
      </c>
      <c r="P115" s="11">
        <v>1.7842525864479999E-2</v>
      </c>
      <c r="Q115" s="1" t="s">
        <v>26</v>
      </c>
      <c r="R115" s="1" t="s">
        <v>26</v>
      </c>
      <c r="S115" s="10">
        <v>1001391108.54</v>
      </c>
      <c r="T115" s="11">
        <v>9.9838391589899995E-3</v>
      </c>
      <c r="U115" s="1" t="s">
        <v>26</v>
      </c>
      <c r="V115" s="1" t="s">
        <v>26</v>
      </c>
      <c r="W115" s="10" t="s">
        <v>26</v>
      </c>
      <c r="X115" s="11" t="s">
        <v>26</v>
      </c>
      <c r="Y115" s="11" t="s">
        <v>26</v>
      </c>
      <c r="Z115" s="11" t="s">
        <v>26</v>
      </c>
      <c r="AA115" s="10" t="s">
        <v>26</v>
      </c>
      <c r="AB115" s="11" t="s">
        <v>26</v>
      </c>
      <c r="AC115" s="1" t="s">
        <v>26</v>
      </c>
      <c r="AD115" s="1" t="s">
        <v>26</v>
      </c>
      <c r="AE115" s="10">
        <v>6078852759.9200001</v>
      </c>
      <c r="AF115" s="11">
        <v>1.062329104324E-2</v>
      </c>
      <c r="AG115" s="1" t="s">
        <v>26</v>
      </c>
      <c r="AH115" s="1" t="s">
        <v>26</v>
      </c>
      <c r="AI115" s="10" t="s">
        <v>26</v>
      </c>
      <c r="AJ115" s="11" t="s">
        <v>26</v>
      </c>
      <c r="AK115" s="11" t="s">
        <v>26</v>
      </c>
      <c r="AL115" s="11" t="s">
        <v>26</v>
      </c>
      <c r="AM115" s="10" t="s">
        <v>26</v>
      </c>
      <c r="AN115" s="11" t="s">
        <v>26</v>
      </c>
      <c r="AO115" s="11" t="s">
        <v>26</v>
      </c>
      <c r="AP115" s="11" t="s">
        <v>26</v>
      </c>
      <c r="AQ115" s="10" t="s">
        <v>26</v>
      </c>
      <c r="AR115" s="11" t="s">
        <v>26</v>
      </c>
      <c r="AS115" s="11" t="s">
        <v>26</v>
      </c>
      <c r="AT115" s="11" t="s">
        <v>26</v>
      </c>
      <c r="AU115" s="10">
        <v>1001391108.54</v>
      </c>
      <c r="AV115" s="11">
        <v>2.4933902389299999E-2</v>
      </c>
      <c r="AW115" s="1" t="s">
        <v>26</v>
      </c>
      <c r="AX115" s="1" t="s">
        <v>26</v>
      </c>
      <c r="AY115" s="10">
        <v>7080243868.46</v>
      </c>
      <c r="AZ115" s="11">
        <v>1.087507866817E-2</v>
      </c>
      <c r="BA115" s="1" t="s">
        <v>26</v>
      </c>
      <c r="BB115" s="1" t="s">
        <v>26</v>
      </c>
    </row>
    <row r="116" spans="1:54" s="7" customFormat="1">
      <c r="A116" s="3" t="s">
        <v>86</v>
      </c>
      <c r="B116" s="24" t="s">
        <v>37</v>
      </c>
      <c r="C116" s="2" t="s">
        <v>26</v>
      </c>
      <c r="D116" s="1" t="s">
        <v>26</v>
      </c>
      <c r="E116" s="1" t="s">
        <v>26</v>
      </c>
      <c r="F116" s="1" t="s">
        <v>26</v>
      </c>
      <c r="G116" s="2">
        <v>1501064835.1500001</v>
      </c>
      <c r="H116" s="1">
        <v>1</v>
      </c>
      <c r="I116" s="1" t="s">
        <v>26</v>
      </c>
      <c r="J116" s="1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2">
        <v>3576396816.23</v>
      </c>
      <c r="P116" s="1">
        <v>1</v>
      </c>
      <c r="Q116" s="1" t="s">
        <v>26</v>
      </c>
      <c r="R116" s="1" t="s">
        <v>26</v>
      </c>
      <c r="S116" s="2">
        <v>1001391108.54</v>
      </c>
      <c r="T116" s="1">
        <v>1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2">
        <v>6078852759.9200001</v>
      </c>
      <c r="AF116" s="1">
        <v>1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>
        <v>1001391108.54</v>
      </c>
      <c r="AV116" s="1">
        <v>1</v>
      </c>
      <c r="AW116" s="1" t="s">
        <v>26</v>
      </c>
      <c r="AX116" s="1" t="s">
        <v>26</v>
      </c>
      <c r="AY116" s="2">
        <v>7080243868.46</v>
      </c>
      <c r="AZ116" s="1">
        <v>1</v>
      </c>
      <c r="BA116" s="1" t="s">
        <v>26</v>
      </c>
      <c r="BB116" s="1" t="s">
        <v>26</v>
      </c>
    </row>
    <row r="117" spans="1:54" s="8" customFormat="1">
      <c r="A117" s="26" t="s">
        <v>94</v>
      </c>
      <c r="B117" s="27" t="s">
        <v>25</v>
      </c>
      <c r="C117" s="28" t="s">
        <v>26</v>
      </c>
      <c r="D117" s="29" t="s">
        <v>26</v>
      </c>
      <c r="E117" s="29" t="s">
        <v>26</v>
      </c>
      <c r="F117" s="29" t="s">
        <v>26</v>
      </c>
      <c r="G117" s="28">
        <v>505935224</v>
      </c>
      <c r="H117" s="29">
        <v>3.7580820794499998E-3</v>
      </c>
      <c r="I117" s="23" t="s">
        <v>26</v>
      </c>
      <c r="J117" s="23" t="s">
        <v>26</v>
      </c>
      <c r="K117" s="28" t="s">
        <v>26</v>
      </c>
      <c r="L117" s="29" t="s">
        <v>26</v>
      </c>
      <c r="M117" s="29" t="s">
        <v>26</v>
      </c>
      <c r="N117" s="29" t="s">
        <v>26</v>
      </c>
      <c r="O117" s="28">
        <v>701519662.88999999</v>
      </c>
      <c r="P117" s="29">
        <v>3.4998584812399999E-3</v>
      </c>
      <c r="Q117" s="23" t="s">
        <v>26</v>
      </c>
      <c r="R117" s="23" t="s">
        <v>26</v>
      </c>
      <c r="S117" s="28">
        <v>233944447.58000001</v>
      </c>
      <c r="T117" s="29">
        <v>2.33241908866E-3</v>
      </c>
      <c r="U117" s="23" t="s">
        <v>26</v>
      </c>
      <c r="V117" s="23" t="s">
        <v>26</v>
      </c>
      <c r="W117" s="28" t="s">
        <v>26</v>
      </c>
      <c r="X117" s="29" t="s">
        <v>26</v>
      </c>
      <c r="Y117" s="29" t="s">
        <v>26</v>
      </c>
      <c r="Z117" s="29" t="s">
        <v>26</v>
      </c>
      <c r="AA117" s="28">
        <v>758902836</v>
      </c>
      <c r="AB117" s="29">
        <v>6.1394867575499997E-3</v>
      </c>
      <c r="AC117" s="23" t="s">
        <v>26</v>
      </c>
      <c r="AD117" s="23" t="s">
        <v>26</v>
      </c>
      <c r="AE117" s="28">
        <v>2200302170.4699998</v>
      </c>
      <c r="AF117" s="29">
        <v>3.84520751911E-3</v>
      </c>
      <c r="AG117" s="23" t="s">
        <v>26</v>
      </c>
      <c r="AH117" s="23" t="s">
        <v>26</v>
      </c>
      <c r="AI117" s="28" t="s">
        <v>26</v>
      </c>
      <c r="AJ117" s="29" t="s">
        <v>26</v>
      </c>
      <c r="AK117" s="29" t="s">
        <v>26</v>
      </c>
      <c r="AL117" s="29" t="s">
        <v>26</v>
      </c>
      <c r="AM117" s="28" t="s">
        <v>26</v>
      </c>
      <c r="AN117" s="29" t="s">
        <v>26</v>
      </c>
      <c r="AO117" s="29" t="s">
        <v>26</v>
      </c>
      <c r="AP117" s="29" t="s">
        <v>26</v>
      </c>
      <c r="AQ117" s="28" t="s">
        <v>26</v>
      </c>
      <c r="AR117" s="29" t="s">
        <v>26</v>
      </c>
      <c r="AS117" s="29" t="s">
        <v>26</v>
      </c>
      <c r="AT117" s="29" t="s">
        <v>26</v>
      </c>
      <c r="AU117" s="28" t="s">
        <v>26</v>
      </c>
      <c r="AV117" s="29" t="s">
        <v>26</v>
      </c>
      <c r="AW117" s="29" t="s">
        <v>26</v>
      </c>
      <c r="AX117" s="29" t="s">
        <v>26</v>
      </c>
      <c r="AY117" s="28">
        <v>2200302170.4699998</v>
      </c>
      <c r="AZ117" s="29">
        <v>3.37960946574E-3</v>
      </c>
      <c r="BA117" s="23" t="s">
        <v>26</v>
      </c>
      <c r="BB117" s="23" t="s">
        <v>26</v>
      </c>
    </row>
    <row r="118" spans="1:54" s="8" customFormat="1">
      <c r="A118" s="30" t="s">
        <v>86</v>
      </c>
      <c r="B118" s="27" t="s">
        <v>46</v>
      </c>
      <c r="C118" s="22" t="s">
        <v>26</v>
      </c>
      <c r="D118" s="23" t="s">
        <v>26</v>
      </c>
      <c r="E118" s="23" t="s">
        <v>26</v>
      </c>
      <c r="F118" s="23" t="s">
        <v>26</v>
      </c>
      <c r="G118" s="22">
        <v>505935224</v>
      </c>
      <c r="H118" s="23">
        <v>1</v>
      </c>
      <c r="I118" s="23" t="s">
        <v>26</v>
      </c>
      <c r="J118" s="23" t="s">
        <v>26</v>
      </c>
      <c r="K118" s="22" t="s">
        <v>26</v>
      </c>
      <c r="L118" s="23" t="s">
        <v>26</v>
      </c>
      <c r="M118" s="23" t="s">
        <v>26</v>
      </c>
      <c r="N118" s="23" t="s">
        <v>26</v>
      </c>
      <c r="O118" s="22">
        <v>701519662.88999999</v>
      </c>
      <c r="P118" s="23">
        <v>1</v>
      </c>
      <c r="Q118" s="23" t="s">
        <v>26</v>
      </c>
      <c r="R118" s="23" t="s">
        <v>26</v>
      </c>
      <c r="S118" s="22">
        <v>233944447.58000001</v>
      </c>
      <c r="T118" s="23">
        <v>1</v>
      </c>
      <c r="U118" s="23" t="s">
        <v>26</v>
      </c>
      <c r="V118" s="23" t="s">
        <v>26</v>
      </c>
      <c r="W118" s="22" t="s">
        <v>26</v>
      </c>
      <c r="X118" s="23" t="s">
        <v>26</v>
      </c>
      <c r="Y118" s="23" t="s">
        <v>26</v>
      </c>
      <c r="Z118" s="23" t="s">
        <v>26</v>
      </c>
      <c r="AA118" s="22">
        <v>758902836</v>
      </c>
      <c r="AB118" s="23">
        <v>1</v>
      </c>
      <c r="AC118" s="23" t="s">
        <v>26</v>
      </c>
      <c r="AD118" s="23" t="s">
        <v>26</v>
      </c>
      <c r="AE118" s="22">
        <v>2200302170.4699998</v>
      </c>
      <c r="AF118" s="23">
        <v>1</v>
      </c>
      <c r="AG118" s="23" t="s">
        <v>26</v>
      </c>
      <c r="AH118" s="23" t="s">
        <v>26</v>
      </c>
      <c r="AI118" s="22" t="s">
        <v>26</v>
      </c>
      <c r="AJ118" s="23" t="s">
        <v>26</v>
      </c>
      <c r="AK118" s="23" t="s">
        <v>26</v>
      </c>
      <c r="AL118" s="23" t="s">
        <v>26</v>
      </c>
      <c r="AM118" s="22" t="s">
        <v>26</v>
      </c>
      <c r="AN118" s="23" t="s">
        <v>26</v>
      </c>
      <c r="AO118" s="23" t="s">
        <v>26</v>
      </c>
      <c r="AP118" s="23" t="s">
        <v>26</v>
      </c>
      <c r="AQ118" s="22" t="s">
        <v>26</v>
      </c>
      <c r="AR118" s="23" t="s">
        <v>26</v>
      </c>
      <c r="AS118" s="23" t="s">
        <v>26</v>
      </c>
      <c r="AT118" s="23" t="s">
        <v>26</v>
      </c>
      <c r="AU118" s="22" t="s">
        <v>26</v>
      </c>
      <c r="AV118" s="23" t="s">
        <v>26</v>
      </c>
      <c r="AW118" s="23" t="s">
        <v>26</v>
      </c>
      <c r="AX118" s="23" t="s">
        <v>26</v>
      </c>
      <c r="AY118" s="22">
        <v>2200302170.4699998</v>
      </c>
      <c r="AZ118" s="23">
        <v>1</v>
      </c>
      <c r="BA118" s="23" t="s">
        <v>26</v>
      </c>
      <c r="BB118" s="23" t="s">
        <v>26</v>
      </c>
    </row>
    <row r="119" spans="1:54" s="7" customFormat="1">
      <c r="A119" s="5" t="s">
        <v>95</v>
      </c>
      <c r="B119" s="24" t="s">
        <v>25</v>
      </c>
      <c r="C119" s="10" t="s">
        <v>26</v>
      </c>
      <c r="D119" s="11" t="s">
        <v>26</v>
      </c>
      <c r="E119" s="11" t="s">
        <v>26</v>
      </c>
      <c r="F119" s="11" t="s">
        <v>26</v>
      </c>
      <c r="G119" s="10" t="s">
        <v>26</v>
      </c>
      <c r="H119" s="11" t="s">
        <v>26</v>
      </c>
      <c r="I119" s="11" t="s">
        <v>26</v>
      </c>
      <c r="J119" s="11" t="s">
        <v>26</v>
      </c>
      <c r="K119" s="10" t="s">
        <v>26</v>
      </c>
      <c r="L119" s="11" t="s">
        <v>26</v>
      </c>
      <c r="M119" s="11" t="s">
        <v>26</v>
      </c>
      <c r="N119" s="11" t="s">
        <v>26</v>
      </c>
      <c r="O119" s="10">
        <v>450234980.72000003</v>
      </c>
      <c r="P119" s="11">
        <v>2.2462074823800002E-3</v>
      </c>
      <c r="Q119" s="1" t="s">
        <v>26</v>
      </c>
      <c r="R119" s="1" t="s">
        <v>26</v>
      </c>
      <c r="S119" s="10" t="s">
        <v>26</v>
      </c>
      <c r="T119" s="11" t="s">
        <v>26</v>
      </c>
      <c r="U119" s="11" t="s">
        <v>26</v>
      </c>
      <c r="V119" s="11" t="s">
        <v>26</v>
      </c>
      <c r="W119" s="10" t="s">
        <v>26</v>
      </c>
      <c r="X119" s="11" t="s">
        <v>26</v>
      </c>
      <c r="Y119" s="11" t="s">
        <v>26</v>
      </c>
      <c r="Z119" s="11" t="s">
        <v>26</v>
      </c>
      <c r="AA119" s="10" t="s">
        <v>26</v>
      </c>
      <c r="AB119" s="11" t="s">
        <v>26</v>
      </c>
      <c r="AC119" s="11" t="s">
        <v>26</v>
      </c>
      <c r="AD119" s="11" t="s">
        <v>26</v>
      </c>
      <c r="AE119" s="10">
        <v>450234980.72000003</v>
      </c>
      <c r="AF119" s="11">
        <v>7.8682235398E-4</v>
      </c>
      <c r="AG119" s="1" t="s">
        <v>26</v>
      </c>
      <c r="AH119" s="1" t="s">
        <v>26</v>
      </c>
      <c r="AI119" s="10" t="s">
        <v>26</v>
      </c>
      <c r="AJ119" s="11" t="s">
        <v>26</v>
      </c>
      <c r="AK119" s="11" t="s">
        <v>26</v>
      </c>
      <c r="AL119" s="11" t="s">
        <v>26</v>
      </c>
      <c r="AM119" s="10" t="s">
        <v>26</v>
      </c>
      <c r="AN119" s="11" t="s">
        <v>26</v>
      </c>
      <c r="AO119" s="11" t="s">
        <v>26</v>
      </c>
      <c r="AP119" s="11" t="s">
        <v>26</v>
      </c>
      <c r="AQ119" s="10" t="s">
        <v>26</v>
      </c>
      <c r="AR119" s="11" t="s">
        <v>26</v>
      </c>
      <c r="AS119" s="11" t="s">
        <v>26</v>
      </c>
      <c r="AT119" s="11" t="s">
        <v>26</v>
      </c>
      <c r="AU119" s="10" t="s">
        <v>26</v>
      </c>
      <c r="AV119" s="11" t="s">
        <v>26</v>
      </c>
      <c r="AW119" s="11" t="s">
        <v>26</v>
      </c>
      <c r="AX119" s="11" t="s">
        <v>26</v>
      </c>
      <c r="AY119" s="10">
        <v>450234980.72000003</v>
      </c>
      <c r="AZ119" s="11">
        <v>6.9154974397000004E-4</v>
      </c>
      <c r="BA119" s="1" t="s">
        <v>26</v>
      </c>
      <c r="BB119" s="1" t="s">
        <v>26</v>
      </c>
    </row>
    <row r="120" spans="1:54">
      <c r="A120" s="3" t="s">
        <v>86</v>
      </c>
      <c r="B120" s="24" t="s">
        <v>56</v>
      </c>
      <c r="C120" s="2" t="s">
        <v>26</v>
      </c>
      <c r="D120" s="1" t="s">
        <v>26</v>
      </c>
      <c r="E120" s="1" t="s">
        <v>26</v>
      </c>
      <c r="F120" s="1" t="s">
        <v>26</v>
      </c>
      <c r="G120" s="2" t="s">
        <v>26</v>
      </c>
      <c r="H120" s="1" t="s">
        <v>26</v>
      </c>
      <c r="I120" s="1" t="s">
        <v>26</v>
      </c>
      <c r="J120" s="1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2">
        <v>450234980.72000003</v>
      </c>
      <c r="P120" s="1">
        <v>1</v>
      </c>
      <c r="Q120" s="1" t="s">
        <v>26</v>
      </c>
      <c r="R120" s="1" t="s">
        <v>26</v>
      </c>
      <c r="S120" s="2" t="s">
        <v>26</v>
      </c>
      <c r="T120" s="1" t="s">
        <v>26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2" t="s">
        <v>26</v>
      </c>
      <c r="AB120" s="1" t="s">
        <v>26</v>
      </c>
      <c r="AC120" s="1" t="s">
        <v>26</v>
      </c>
      <c r="AD120" s="1" t="s">
        <v>26</v>
      </c>
      <c r="AE120" s="2">
        <v>450234980.72000003</v>
      </c>
      <c r="AF120" s="1">
        <v>1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2">
        <v>450234980.72000003</v>
      </c>
      <c r="AZ120" s="1">
        <v>1</v>
      </c>
      <c r="BA120" s="1" t="s">
        <v>26</v>
      </c>
      <c r="BB120" s="1" t="s">
        <v>26</v>
      </c>
    </row>
    <row r="121" spans="1:54" s="7" customFormat="1">
      <c r="A121" s="5" t="s">
        <v>96</v>
      </c>
      <c r="B121" s="24" t="s">
        <v>25</v>
      </c>
      <c r="C121" s="10" t="s">
        <v>26</v>
      </c>
      <c r="D121" s="11" t="s">
        <v>26</v>
      </c>
      <c r="E121" s="11" t="s">
        <v>26</v>
      </c>
      <c r="F121" s="11" t="s">
        <v>26</v>
      </c>
      <c r="G121" s="10" t="s">
        <v>26</v>
      </c>
      <c r="H121" s="11" t="s">
        <v>26</v>
      </c>
      <c r="I121" s="11" t="s">
        <v>26</v>
      </c>
      <c r="J121" s="11" t="s">
        <v>26</v>
      </c>
      <c r="K121" s="10" t="s">
        <v>26</v>
      </c>
      <c r="L121" s="11" t="s">
        <v>26</v>
      </c>
      <c r="M121" s="11" t="s">
        <v>26</v>
      </c>
      <c r="N121" s="11" t="s">
        <v>26</v>
      </c>
      <c r="O121" s="10">
        <v>196138460.99000001</v>
      </c>
      <c r="P121" s="11">
        <v>9.7852831860000011E-4</v>
      </c>
      <c r="Q121" s="1" t="s">
        <v>26</v>
      </c>
      <c r="R121" s="1" t="s">
        <v>26</v>
      </c>
      <c r="S121" s="10" t="s">
        <v>26</v>
      </c>
      <c r="T121" s="11" t="s">
        <v>26</v>
      </c>
      <c r="U121" s="11" t="s">
        <v>26</v>
      </c>
      <c r="V121" s="11" t="s">
        <v>26</v>
      </c>
      <c r="W121" s="10" t="s">
        <v>26</v>
      </c>
      <c r="X121" s="11" t="s">
        <v>26</v>
      </c>
      <c r="Y121" s="11" t="s">
        <v>26</v>
      </c>
      <c r="Z121" s="11" t="s">
        <v>26</v>
      </c>
      <c r="AA121" s="10" t="s">
        <v>26</v>
      </c>
      <c r="AB121" s="11" t="s">
        <v>26</v>
      </c>
      <c r="AC121" s="11" t="s">
        <v>26</v>
      </c>
      <c r="AD121" s="11" t="s">
        <v>26</v>
      </c>
      <c r="AE121" s="10">
        <v>196138460.99000001</v>
      </c>
      <c r="AF121" s="11">
        <v>3.4276795937999998E-4</v>
      </c>
      <c r="AG121" s="1" t="s">
        <v>26</v>
      </c>
      <c r="AH121" s="1" t="s">
        <v>26</v>
      </c>
      <c r="AI121" s="10" t="s">
        <v>26</v>
      </c>
      <c r="AJ121" s="11" t="s">
        <v>26</v>
      </c>
      <c r="AK121" s="11" t="s">
        <v>26</v>
      </c>
      <c r="AL121" s="11" t="s">
        <v>26</v>
      </c>
      <c r="AM121" s="10" t="s">
        <v>26</v>
      </c>
      <c r="AN121" s="11" t="s">
        <v>26</v>
      </c>
      <c r="AO121" s="11" t="s">
        <v>26</v>
      </c>
      <c r="AP121" s="11" t="s">
        <v>26</v>
      </c>
      <c r="AQ121" s="10" t="s">
        <v>26</v>
      </c>
      <c r="AR121" s="11" t="s">
        <v>26</v>
      </c>
      <c r="AS121" s="11" t="s">
        <v>26</v>
      </c>
      <c r="AT121" s="11" t="s">
        <v>26</v>
      </c>
      <c r="AU121" s="10" t="s">
        <v>26</v>
      </c>
      <c r="AV121" s="11" t="s">
        <v>26</v>
      </c>
      <c r="AW121" s="11" t="s">
        <v>26</v>
      </c>
      <c r="AX121" s="11" t="s">
        <v>26</v>
      </c>
      <c r="AY121" s="10">
        <v>196138460.99000001</v>
      </c>
      <c r="AZ121" s="11">
        <v>3.0126380288000002E-4</v>
      </c>
      <c r="BA121" s="1" t="s">
        <v>26</v>
      </c>
      <c r="BB121" s="1" t="s">
        <v>26</v>
      </c>
    </row>
    <row r="122" spans="1:54" s="7" customFormat="1">
      <c r="A122" s="3" t="s">
        <v>86</v>
      </c>
      <c r="B122" s="24" t="s">
        <v>56</v>
      </c>
      <c r="C122" s="2" t="s">
        <v>26</v>
      </c>
      <c r="D122" s="1" t="s">
        <v>26</v>
      </c>
      <c r="E122" s="1" t="s">
        <v>26</v>
      </c>
      <c r="F122" s="1" t="s">
        <v>26</v>
      </c>
      <c r="G122" s="2" t="s">
        <v>26</v>
      </c>
      <c r="H122" s="1" t="s">
        <v>26</v>
      </c>
      <c r="I122" s="1" t="s">
        <v>26</v>
      </c>
      <c r="J122" s="1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2">
        <v>196138460.99000001</v>
      </c>
      <c r="P122" s="1">
        <v>1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2">
        <v>196138460.99000001</v>
      </c>
      <c r="AF122" s="1">
        <v>1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2">
        <v>196138460.99000001</v>
      </c>
      <c r="AZ122" s="1">
        <v>1</v>
      </c>
      <c r="BA122" s="1" t="s">
        <v>26</v>
      </c>
      <c r="BB122" s="1" t="s">
        <v>26</v>
      </c>
    </row>
    <row r="123" spans="1:54" s="7" customFormat="1">
      <c r="A123" s="5" t="s">
        <v>97</v>
      </c>
      <c r="B123" s="24" t="s">
        <v>25</v>
      </c>
      <c r="C123" s="10" t="s">
        <v>26</v>
      </c>
      <c r="D123" s="11" t="s">
        <v>26</v>
      </c>
      <c r="E123" s="11" t="s">
        <v>26</v>
      </c>
      <c r="F123" s="11" t="s">
        <v>26</v>
      </c>
      <c r="G123" s="10" t="s">
        <v>26</v>
      </c>
      <c r="H123" s="11" t="s">
        <v>26</v>
      </c>
      <c r="I123" s="11" t="s">
        <v>26</v>
      </c>
      <c r="J123" s="11" t="s">
        <v>26</v>
      </c>
      <c r="K123" s="10" t="s">
        <v>26</v>
      </c>
      <c r="L123" s="11" t="s">
        <v>26</v>
      </c>
      <c r="M123" s="11" t="s">
        <v>26</v>
      </c>
      <c r="N123" s="11" t="s">
        <v>26</v>
      </c>
      <c r="O123" s="10">
        <v>1700676224.2</v>
      </c>
      <c r="P123" s="11">
        <v>8.4846176407800001E-3</v>
      </c>
      <c r="Q123" s="1" t="s">
        <v>26</v>
      </c>
      <c r="R123" s="1" t="s">
        <v>26</v>
      </c>
      <c r="S123" s="10" t="s">
        <v>26</v>
      </c>
      <c r="T123" s="11" t="s">
        <v>26</v>
      </c>
      <c r="U123" s="11" t="s">
        <v>26</v>
      </c>
      <c r="V123" s="11" t="s">
        <v>26</v>
      </c>
      <c r="W123" s="10" t="s">
        <v>26</v>
      </c>
      <c r="X123" s="11" t="s">
        <v>26</v>
      </c>
      <c r="Y123" s="11" t="s">
        <v>26</v>
      </c>
      <c r="Z123" s="11" t="s">
        <v>26</v>
      </c>
      <c r="AA123" s="10" t="s">
        <v>26</v>
      </c>
      <c r="AB123" s="11" t="s">
        <v>26</v>
      </c>
      <c r="AC123" s="11" t="s">
        <v>26</v>
      </c>
      <c r="AD123" s="11" t="s">
        <v>26</v>
      </c>
      <c r="AE123" s="10">
        <v>1700676224.2</v>
      </c>
      <c r="AF123" s="11">
        <v>2.9720704240600001E-3</v>
      </c>
      <c r="AG123" s="1" t="s">
        <v>26</v>
      </c>
      <c r="AH123" s="1" t="s">
        <v>26</v>
      </c>
      <c r="AI123" s="10" t="s">
        <v>26</v>
      </c>
      <c r="AJ123" s="11" t="s">
        <v>26</v>
      </c>
      <c r="AK123" s="11" t="s">
        <v>26</v>
      </c>
      <c r="AL123" s="11" t="s">
        <v>26</v>
      </c>
      <c r="AM123" s="10" t="s">
        <v>26</v>
      </c>
      <c r="AN123" s="11" t="s">
        <v>26</v>
      </c>
      <c r="AO123" s="11" t="s">
        <v>26</v>
      </c>
      <c r="AP123" s="11" t="s">
        <v>26</v>
      </c>
      <c r="AQ123" s="10" t="s">
        <v>26</v>
      </c>
      <c r="AR123" s="11" t="s">
        <v>26</v>
      </c>
      <c r="AS123" s="11" t="s">
        <v>26</v>
      </c>
      <c r="AT123" s="11" t="s">
        <v>26</v>
      </c>
      <c r="AU123" s="10" t="s">
        <v>26</v>
      </c>
      <c r="AV123" s="11" t="s">
        <v>26</v>
      </c>
      <c r="AW123" s="11" t="s">
        <v>26</v>
      </c>
      <c r="AX123" s="11" t="s">
        <v>26</v>
      </c>
      <c r="AY123" s="10">
        <v>1700676224.2</v>
      </c>
      <c r="AZ123" s="11">
        <v>2.6121964258400002E-3</v>
      </c>
      <c r="BA123" s="1" t="s">
        <v>26</v>
      </c>
      <c r="BB123" s="1" t="s">
        <v>26</v>
      </c>
    </row>
    <row r="124" spans="1:54">
      <c r="A124" s="3" t="s">
        <v>86</v>
      </c>
      <c r="B124" s="24" t="s">
        <v>46</v>
      </c>
      <c r="C124" s="2" t="s">
        <v>26</v>
      </c>
      <c r="D124" s="1" t="s">
        <v>26</v>
      </c>
      <c r="E124" s="1" t="s">
        <v>26</v>
      </c>
      <c r="F124" s="1" t="s">
        <v>26</v>
      </c>
      <c r="G124" s="2" t="s">
        <v>26</v>
      </c>
      <c r="H124" s="1" t="s">
        <v>26</v>
      </c>
      <c r="I124" s="1" t="s">
        <v>26</v>
      </c>
      <c r="J124" s="1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2">
        <v>1700676224.2</v>
      </c>
      <c r="P124" s="1">
        <v>1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2">
        <v>1700676224.2</v>
      </c>
      <c r="AF124" s="1">
        <v>1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2">
        <v>1700676224.2</v>
      </c>
      <c r="AZ124" s="1">
        <v>1</v>
      </c>
      <c r="BA124" s="1" t="s">
        <v>26</v>
      </c>
      <c r="BB124" s="1" t="s">
        <v>26</v>
      </c>
    </row>
    <row r="125" spans="1:54" s="7" customFormat="1">
      <c r="A125" s="5" t="s">
        <v>98</v>
      </c>
      <c r="B125" s="24" t="s">
        <v>25</v>
      </c>
      <c r="C125" s="10" t="s">
        <v>26</v>
      </c>
      <c r="D125" s="11" t="s">
        <v>26</v>
      </c>
      <c r="E125" s="11" t="s">
        <v>26</v>
      </c>
      <c r="F125" s="11" t="s">
        <v>26</v>
      </c>
      <c r="G125" s="10" t="s">
        <v>26</v>
      </c>
      <c r="H125" s="11" t="s">
        <v>26</v>
      </c>
      <c r="I125" s="11" t="s">
        <v>26</v>
      </c>
      <c r="J125" s="11" t="s">
        <v>26</v>
      </c>
      <c r="K125" s="10" t="s">
        <v>26</v>
      </c>
      <c r="L125" s="11" t="s">
        <v>26</v>
      </c>
      <c r="M125" s="11" t="s">
        <v>26</v>
      </c>
      <c r="N125" s="11" t="s">
        <v>26</v>
      </c>
      <c r="O125" s="10">
        <v>572118084</v>
      </c>
      <c r="P125" s="11">
        <v>2.8542782682799998E-3</v>
      </c>
      <c r="Q125" s="1" t="s">
        <v>26</v>
      </c>
      <c r="R125" s="1" t="s">
        <v>26</v>
      </c>
      <c r="S125" s="10" t="s">
        <v>26</v>
      </c>
      <c r="T125" s="11" t="s">
        <v>26</v>
      </c>
      <c r="U125" s="11" t="s">
        <v>26</v>
      </c>
      <c r="V125" s="11" t="s">
        <v>26</v>
      </c>
      <c r="W125" s="10" t="s">
        <v>26</v>
      </c>
      <c r="X125" s="11" t="s">
        <v>26</v>
      </c>
      <c r="Y125" s="11" t="s">
        <v>26</v>
      </c>
      <c r="Z125" s="11" t="s">
        <v>26</v>
      </c>
      <c r="AA125" s="10" t="s">
        <v>26</v>
      </c>
      <c r="AB125" s="11" t="s">
        <v>26</v>
      </c>
      <c r="AC125" s="11" t="s">
        <v>26</v>
      </c>
      <c r="AD125" s="11" t="s">
        <v>26</v>
      </c>
      <c r="AE125" s="10">
        <v>572118084</v>
      </c>
      <c r="AF125" s="11">
        <v>9.9982301883E-4</v>
      </c>
      <c r="AG125" s="1" t="s">
        <v>26</v>
      </c>
      <c r="AH125" s="1" t="s">
        <v>26</v>
      </c>
      <c r="AI125" s="10" t="s">
        <v>26</v>
      </c>
      <c r="AJ125" s="11" t="s">
        <v>26</v>
      </c>
      <c r="AK125" s="11" t="s">
        <v>26</v>
      </c>
      <c r="AL125" s="11" t="s">
        <v>26</v>
      </c>
      <c r="AM125" s="10" t="s">
        <v>26</v>
      </c>
      <c r="AN125" s="11" t="s">
        <v>26</v>
      </c>
      <c r="AO125" s="11" t="s">
        <v>26</v>
      </c>
      <c r="AP125" s="11" t="s">
        <v>26</v>
      </c>
      <c r="AQ125" s="10" t="s">
        <v>26</v>
      </c>
      <c r="AR125" s="11" t="s">
        <v>26</v>
      </c>
      <c r="AS125" s="11" t="s">
        <v>26</v>
      </c>
      <c r="AT125" s="11" t="s">
        <v>26</v>
      </c>
      <c r="AU125" s="10" t="s">
        <v>26</v>
      </c>
      <c r="AV125" s="11" t="s">
        <v>26</v>
      </c>
      <c r="AW125" s="11" t="s">
        <v>26</v>
      </c>
      <c r="AX125" s="11" t="s">
        <v>26</v>
      </c>
      <c r="AY125" s="10">
        <v>572118084</v>
      </c>
      <c r="AZ125" s="11">
        <v>8.7875916233999996E-4</v>
      </c>
      <c r="BA125" s="1" t="s">
        <v>26</v>
      </c>
      <c r="BB125" s="1" t="s">
        <v>26</v>
      </c>
    </row>
    <row r="126" spans="1:54">
      <c r="A126" s="3" t="s">
        <v>86</v>
      </c>
      <c r="B126" s="24" t="s">
        <v>99</v>
      </c>
      <c r="C126" s="2" t="s">
        <v>26</v>
      </c>
      <c r="D126" s="1" t="s">
        <v>26</v>
      </c>
      <c r="E126" s="1" t="s">
        <v>26</v>
      </c>
      <c r="F126" s="1" t="s">
        <v>26</v>
      </c>
      <c r="G126" s="2" t="s">
        <v>26</v>
      </c>
      <c r="H126" s="1" t="s">
        <v>26</v>
      </c>
      <c r="I126" s="1" t="s">
        <v>26</v>
      </c>
      <c r="J126" s="1" t="s">
        <v>26</v>
      </c>
      <c r="K126" s="2" t="s">
        <v>26</v>
      </c>
      <c r="L126" s="1" t="s">
        <v>26</v>
      </c>
      <c r="M126" s="1" t="s">
        <v>26</v>
      </c>
      <c r="N126" s="1" t="s">
        <v>26</v>
      </c>
      <c r="O126" s="2">
        <v>572118084</v>
      </c>
      <c r="P126" s="1">
        <v>1</v>
      </c>
      <c r="Q126" s="1" t="s">
        <v>26</v>
      </c>
      <c r="R126" s="1" t="s">
        <v>26</v>
      </c>
      <c r="S126" s="2" t="s">
        <v>26</v>
      </c>
      <c r="T126" s="1" t="s">
        <v>26</v>
      </c>
      <c r="U126" s="1" t="s">
        <v>26</v>
      </c>
      <c r="V126" s="1" t="s">
        <v>26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" t="s">
        <v>26</v>
      </c>
      <c r="AD126" s="1" t="s">
        <v>26</v>
      </c>
      <c r="AE126" s="2">
        <v>572118084</v>
      </c>
      <c r="AF126" s="1">
        <v>1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2" t="s">
        <v>26</v>
      </c>
      <c r="AN126" s="1" t="s">
        <v>26</v>
      </c>
      <c r="AO126" s="1" t="s">
        <v>26</v>
      </c>
      <c r="AP126" s="1" t="s">
        <v>26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2">
        <v>572118084</v>
      </c>
      <c r="AZ126" s="1">
        <v>1</v>
      </c>
      <c r="BA126" s="1" t="s">
        <v>26</v>
      </c>
      <c r="BB126" s="1" t="s">
        <v>26</v>
      </c>
    </row>
    <row r="127" spans="1:54">
      <c r="A127" s="13" t="s">
        <v>100</v>
      </c>
      <c r="B127" s="25" t="s">
        <v>25</v>
      </c>
      <c r="C127" s="55">
        <v>5099007084.6199999</v>
      </c>
      <c r="D127" s="56">
        <v>0.99980000000000002</v>
      </c>
      <c r="E127" s="56" t="s">
        <v>26</v>
      </c>
      <c r="F127" s="56" t="s">
        <v>26</v>
      </c>
      <c r="G127" s="55">
        <v>134625376731.96001</v>
      </c>
      <c r="H127" s="56">
        <v>1</v>
      </c>
      <c r="I127" s="56" t="s">
        <v>26</v>
      </c>
      <c r="J127" s="56" t="s">
        <v>26</v>
      </c>
      <c r="K127" s="55">
        <v>2437975054.5599999</v>
      </c>
      <c r="L127" s="56">
        <v>0.99770000000000003</v>
      </c>
      <c r="M127" s="56" t="s">
        <v>26</v>
      </c>
      <c r="N127" s="56" t="s">
        <v>26</v>
      </c>
      <c r="O127" s="55">
        <v>200442115120.72</v>
      </c>
      <c r="P127" s="56">
        <v>1</v>
      </c>
      <c r="Q127" s="56" t="s">
        <v>26</v>
      </c>
      <c r="R127" s="56" t="s">
        <v>26</v>
      </c>
      <c r="S127" s="55">
        <v>100300875537.89999</v>
      </c>
      <c r="T127" s="56">
        <v>1</v>
      </c>
      <c r="U127" s="56" t="s">
        <v>26</v>
      </c>
      <c r="V127" s="56" t="s">
        <v>26</v>
      </c>
      <c r="W127" s="55">
        <v>5687521706.7200003</v>
      </c>
      <c r="X127" s="56">
        <v>0.99850000000000005</v>
      </c>
      <c r="Y127" s="56" t="s">
        <v>26</v>
      </c>
      <c r="Z127" s="56" t="s">
        <v>26</v>
      </c>
      <c r="AA127" s="55">
        <v>123610058839.12</v>
      </c>
      <c r="AB127" s="56">
        <v>1</v>
      </c>
      <c r="AC127" s="56" t="s">
        <v>26</v>
      </c>
      <c r="AD127" s="56" t="s">
        <v>26</v>
      </c>
      <c r="AE127" s="55">
        <v>572202930075.59998</v>
      </c>
      <c r="AF127" s="56">
        <v>1</v>
      </c>
      <c r="AG127" s="56" t="s">
        <v>26</v>
      </c>
      <c r="AH127" s="56" t="s">
        <v>26</v>
      </c>
      <c r="AI127" s="55">
        <v>15728429434.719999</v>
      </c>
      <c r="AJ127" s="56">
        <v>1</v>
      </c>
      <c r="AK127" s="56" t="s">
        <v>26</v>
      </c>
      <c r="AL127" s="56" t="s">
        <v>26</v>
      </c>
      <c r="AM127" s="55">
        <v>22941676240.580002</v>
      </c>
      <c r="AN127" s="56">
        <v>1</v>
      </c>
      <c r="AO127" s="56" t="s">
        <v>26</v>
      </c>
      <c r="AP127" s="56" t="s">
        <v>26</v>
      </c>
      <c r="AQ127" s="55">
        <v>38670105675.300003</v>
      </c>
      <c r="AR127" s="56">
        <v>1</v>
      </c>
      <c r="AS127" s="56" t="s">
        <v>26</v>
      </c>
      <c r="AT127" s="56" t="s">
        <v>26</v>
      </c>
      <c r="AU127" s="55">
        <v>40161752314.940002</v>
      </c>
      <c r="AV127" s="56">
        <v>1</v>
      </c>
      <c r="AW127" s="56" t="s">
        <v>26</v>
      </c>
      <c r="AX127" s="56" t="s">
        <v>26</v>
      </c>
      <c r="AY127" s="55">
        <v>651034788065.83997</v>
      </c>
      <c r="AZ127" s="56">
        <v>1</v>
      </c>
      <c r="BA127" s="56" t="s">
        <v>26</v>
      </c>
      <c r="BB127" s="56" t="s">
        <v>26</v>
      </c>
    </row>
    <row r="128" spans="1:54" s="7" customFormat="1">
      <c r="A128" s="5" t="s">
        <v>101</v>
      </c>
      <c r="B128" s="24" t="s">
        <v>25</v>
      </c>
      <c r="C128" s="10">
        <v>882377.79</v>
      </c>
      <c r="D128" s="11">
        <v>2.0000000000000001E-4</v>
      </c>
      <c r="E128" s="11" t="s">
        <v>26</v>
      </c>
      <c r="F128" s="11" t="s">
        <v>26</v>
      </c>
      <c r="G128" s="10">
        <v>534385.41</v>
      </c>
      <c r="H128" s="11">
        <v>0</v>
      </c>
      <c r="I128" s="11" t="s">
        <v>26</v>
      </c>
      <c r="J128" s="11" t="s">
        <v>26</v>
      </c>
      <c r="K128" s="10">
        <v>5610256.6699999999</v>
      </c>
      <c r="L128" s="11">
        <v>2.3E-3</v>
      </c>
      <c r="M128" s="11" t="s">
        <v>26</v>
      </c>
      <c r="N128" s="11" t="s">
        <v>26</v>
      </c>
      <c r="O128" s="10">
        <v>178946.44</v>
      </c>
      <c r="P128" s="11">
        <v>0</v>
      </c>
      <c r="Q128" s="11" t="s">
        <v>26</v>
      </c>
      <c r="R128" s="11" t="s">
        <v>26</v>
      </c>
      <c r="S128" s="10">
        <v>330500.47999999998</v>
      </c>
      <c r="T128" s="11">
        <v>0</v>
      </c>
      <c r="U128" s="11" t="s">
        <v>26</v>
      </c>
      <c r="V128" s="11" t="s">
        <v>26</v>
      </c>
      <c r="W128" s="10">
        <v>8805356.7899999991</v>
      </c>
      <c r="X128" s="11">
        <v>1.5E-3</v>
      </c>
      <c r="Y128" s="11" t="s">
        <v>26</v>
      </c>
      <c r="Z128" s="11" t="s">
        <v>26</v>
      </c>
      <c r="AA128" s="10">
        <v>84153.09</v>
      </c>
      <c r="AB128" s="11">
        <v>0</v>
      </c>
      <c r="AC128" s="11" t="s">
        <v>26</v>
      </c>
      <c r="AD128" s="11" t="s">
        <v>26</v>
      </c>
      <c r="AE128" s="10">
        <v>16425976.67</v>
      </c>
      <c r="AF128" s="11">
        <v>0</v>
      </c>
      <c r="AG128" s="11" t="s">
        <v>26</v>
      </c>
      <c r="AH128" s="11" t="s">
        <v>26</v>
      </c>
      <c r="AI128" s="10">
        <v>71122.89</v>
      </c>
      <c r="AJ128" s="11">
        <v>0</v>
      </c>
      <c r="AK128" s="11" t="s">
        <v>26</v>
      </c>
      <c r="AL128" s="11" t="s">
        <v>26</v>
      </c>
      <c r="AM128" s="10">
        <v>836599.42</v>
      </c>
      <c r="AN128" s="11">
        <v>0</v>
      </c>
      <c r="AO128" s="11" t="s">
        <v>26</v>
      </c>
      <c r="AP128" s="11" t="s">
        <v>26</v>
      </c>
      <c r="AQ128" s="10">
        <v>907722.31</v>
      </c>
      <c r="AR128" s="11">
        <v>0</v>
      </c>
      <c r="AS128" s="11" t="s">
        <v>26</v>
      </c>
      <c r="AT128" s="11" t="s">
        <v>26</v>
      </c>
      <c r="AU128" s="10">
        <v>76062.539999999994</v>
      </c>
      <c r="AV128" s="11">
        <v>0</v>
      </c>
      <c r="AW128" s="11" t="s">
        <v>26</v>
      </c>
      <c r="AX128" s="11" t="s">
        <v>26</v>
      </c>
      <c r="AY128" s="10">
        <v>17409761.52</v>
      </c>
      <c r="AZ128" s="11">
        <v>0</v>
      </c>
      <c r="BA128" s="11" t="s">
        <v>26</v>
      </c>
      <c r="BB128" s="11" t="s">
        <v>26</v>
      </c>
    </row>
    <row r="129" spans="1:54">
      <c r="A129" s="13" t="s">
        <v>102</v>
      </c>
      <c r="B129" s="25" t="s">
        <v>25</v>
      </c>
      <c r="C129" s="55">
        <v>5099889462.4099998</v>
      </c>
      <c r="D129" s="56">
        <v>1</v>
      </c>
      <c r="E129" s="56" t="s">
        <v>26</v>
      </c>
      <c r="F129" s="56" t="s">
        <v>26</v>
      </c>
      <c r="G129" s="55">
        <v>134625911117.37</v>
      </c>
      <c r="H129" s="56">
        <v>1</v>
      </c>
      <c r="I129" s="56" t="s">
        <v>26</v>
      </c>
      <c r="J129" s="56" t="s">
        <v>26</v>
      </c>
      <c r="K129" s="55">
        <v>2443585311.23</v>
      </c>
      <c r="L129" s="56">
        <v>1</v>
      </c>
      <c r="M129" s="56" t="s">
        <v>26</v>
      </c>
      <c r="N129" s="56" t="s">
        <v>26</v>
      </c>
      <c r="O129" s="55">
        <v>200442294067.16</v>
      </c>
      <c r="P129" s="56">
        <v>1</v>
      </c>
      <c r="Q129" s="56" t="s">
        <v>26</v>
      </c>
      <c r="R129" s="56" t="s">
        <v>26</v>
      </c>
      <c r="S129" s="55">
        <v>100301206038.38</v>
      </c>
      <c r="T129" s="56">
        <v>1</v>
      </c>
      <c r="U129" s="56" t="s">
        <v>26</v>
      </c>
      <c r="V129" s="56" t="s">
        <v>26</v>
      </c>
      <c r="W129" s="55">
        <v>5696327063.5100002</v>
      </c>
      <c r="X129" s="56">
        <v>1</v>
      </c>
      <c r="Y129" s="56" t="s">
        <v>26</v>
      </c>
      <c r="Z129" s="56" t="s">
        <v>26</v>
      </c>
      <c r="AA129" s="55">
        <v>123610142992.21001</v>
      </c>
      <c r="AB129" s="56">
        <v>1</v>
      </c>
      <c r="AC129" s="56" t="s">
        <v>26</v>
      </c>
      <c r="AD129" s="56" t="s">
        <v>26</v>
      </c>
      <c r="AE129" s="55">
        <v>572219356052.27002</v>
      </c>
      <c r="AF129" s="56">
        <v>1</v>
      </c>
      <c r="AG129" s="56" t="s">
        <v>26</v>
      </c>
      <c r="AH129" s="56" t="s">
        <v>26</v>
      </c>
      <c r="AI129" s="55">
        <v>15728500557.610001</v>
      </c>
      <c r="AJ129" s="56">
        <v>1</v>
      </c>
      <c r="AK129" s="56" t="s">
        <v>26</v>
      </c>
      <c r="AL129" s="56" t="s">
        <v>26</v>
      </c>
      <c r="AM129" s="55">
        <v>22942512840</v>
      </c>
      <c r="AN129" s="56">
        <v>1</v>
      </c>
      <c r="AO129" s="56" t="s">
        <v>26</v>
      </c>
      <c r="AP129" s="56" t="s">
        <v>26</v>
      </c>
      <c r="AQ129" s="55">
        <v>38671013397.610001</v>
      </c>
      <c r="AR129" s="56">
        <v>1</v>
      </c>
      <c r="AS129" s="56" t="s">
        <v>26</v>
      </c>
      <c r="AT129" s="56" t="s">
        <v>26</v>
      </c>
      <c r="AU129" s="55">
        <v>40161828377.480003</v>
      </c>
      <c r="AV129" s="56">
        <v>1</v>
      </c>
      <c r="AW129" s="56" t="s">
        <v>26</v>
      </c>
      <c r="AX129" s="56" t="s">
        <v>26</v>
      </c>
      <c r="AY129" s="55">
        <v>651052197827.35999</v>
      </c>
      <c r="AZ129" s="56">
        <v>1</v>
      </c>
      <c r="BA129" s="56" t="s">
        <v>26</v>
      </c>
      <c r="BB129" s="56" t="s">
        <v>26</v>
      </c>
    </row>
    <row r="131" spans="1:54">
      <c r="A131" s="18" t="s">
        <v>103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29"/>
  <sheetViews>
    <sheetView zoomScale="90" zoomScaleNormal="90" workbookViewId="0">
      <pane xSplit="2" ySplit="7" topLeftCell="AQ124" activePane="bottomRight" state="frozen"/>
      <selection pane="bottomRight" activeCell="C6" sqref="C6:F6"/>
      <selection pane="bottomLeft" activeCell="A8" sqref="A8"/>
      <selection pane="topRight" activeCell="C1" sqref="C1"/>
    </sheetView>
  </sheetViews>
  <sheetFormatPr defaultColWidth="9.140625" defaultRowHeight="15"/>
  <cols>
    <col min="1" max="1" width="67" style="9" customWidth="1"/>
    <col min="2" max="2" width="17.85546875" style="9" customWidth="1"/>
    <col min="3" max="3" width="21.5703125" style="9" bestFit="1" customWidth="1"/>
    <col min="4" max="4" width="13.28515625" style="9" customWidth="1"/>
    <col min="5" max="5" width="10.140625" style="9" customWidth="1"/>
    <col min="6" max="6" width="28.7109375" style="9" bestFit="1" customWidth="1"/>
    <col min="7" max="7" width="24.42578125" style="9" bestFit="1" customWidth="1"/>
    <col min="8" max="8" width="13.28515625" style="9" customWidth="1"/>
    <col min="9" max="9" width="9.85546875" style="9" customWidth="1"/>
    <col min="10" max="10" width="10.28515625" style="9" customWidth="1"/>
    <col min="11" max="11" width="16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8.7109375" style="9" bestFit="1" customWidth="1"/>
    <col min="16" max="16" width="13.28515625" style="9" customWidth="1"/>
    <col min="17" max="17" width="10" style="9" customWidth="1"/>
    <col min="18" max="18" width="10.28515625" style="9" customWidth="1"/>
    <col min="19" max="19" width="18.710937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6.28515625" style="9" bestFit="1" customWidth="1"/>
    <col min="24" max="24" width="13.28515625" style="9" customWidth="1"/>
    <col min="25" max="25" width="9.7109375" style="9" customWidth="1"/>
    <col min="26" max="26" width="10.28515625" style="9" customWidth="1"/>
    <col min="27" max="27" width="18.710937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8.7109375" style="9" bestFit="1" customWidth="1"/>
    <col min="32" max="32" width="13.28515625" style="9" customWidth="1"/>
    <col min="33" max="33" width="9.7109375" style="9" customWidth="1"/>
    <col min="34" max="34" width="10.42578125" style="9" customWidth="1"/>
    <col min="35" max="35" width="17.42578125" style="9" bestFit="1" customWidth="1"/>
    <col min="36" max="36" width="13.28515625" style="9" customWidth="1"/>
    <col min="37" max="37" width="9.85546875" style="9" customWidth="1"/>
    <col min="38" max="38" width="10.28515625" style="9" customWidth="1"/>
    <col min="39" max="39" width="17.42578125" style="9" bestFit="1" customWidth="1"/>
    <col min="40" max="40" width="13.28515625" style="9" customWidth="1"/>
    <col min="41" max="41" width="10.140625" style="9" customWidth="1"/>
    <col min="42" max="42" width="11.28515625" style="9" customWidth="1"/>
    <col min="43" max="43" width="17.42578125" style="9" bestFit="1" customWidth="1"/>
    <col min="44" max="44" width="13.28515625" style="9" customWidth="1"/>
    <col min="45" max="45" width="10" style="9" customWidth="1"/>
    <col min="46" max="46" width="10.7109375" style="9" customWidth="1"/>
    <col min="47" max="47" width="17.42578125" style="9" bestFit="1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107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1942154522.24</v>
      </c>
      <c r="D8" s="56">
        <v>0.36494918386529002</v>
      </c>
      <c r="E8" s="56" t="s">
        <v>26</v>
      </c>
      <c r="F8" s="56" t="s">
        <v>26</v>
      </c>
      <c r="G8" s="55">
        <v>52859606970.889999</v>
      </c>
      <c r="H8" s="56">
        <v>0.38986692992753003</v>
      </c>
      <c r="I8" s="56" t="s">
        <v>26</v>
      </c>
      <c r="J8" s="56" t="s">
        <v>26</v>
      </c>
      <c r="K8" s="55">
        <v>818056000.59000003</v>
      </c>
      <c r="L8" s="56">
        <v>0.32254486515518999</v>
      </c>
      <c r="M8" s="56" t="s">
        <v>26</v>
      </c>
      <c r="N8" s="56" t="s">
        <v>26</v>
      </c>
      <c r="O8" s="55">
        <v>62330919689.260002</v>
      </c>
      <c r="P8" s="56">
        <v>0.30859191093067001</v>
      </c>
      <c r="Q8" s="56" t="s">
        <v>26</v>
      </c>
      <c r="R8" s="56" t="s">
        <v>26</v>
      </c>
      <c r="S8" s="55">
        <v>37378218020.07</v>
      </c>
      <c r="T8" s="56">
        <v>0.36829151085675998</v>
      </c>
      <c r="U8" s="56" t="s">
        <v>26</v>
      </c>
      <c r="V8" s="56" t="s">
        <v>26</v>
      </c>
      <c r="W8" s="55">
        <v>1599737514.3900001</v>
      </c>
      <c r="X8" s="56">
        <v>0.27868348739335003</v>
      </c>
      <c r="Y8" s="56" t="s">
        <v>26</v>
      </c>
      <c r="Z8" s="56" t="s">
        <v>26</v>
      </c>
      <c r="AA8" s="55">
        <v>49645099817.790001</v>
      </c>
      <c r="AB8" s="56">
        <v>0.39968620346521999</v>
      </c>
      <c r="AC8" s="56" t="s">
        <v>26</v>
      </c>
      <c r="AD8" s="56" t="s">
        <v>26</v>
      </c>
      <c r="AE8" s="55">
        <v>206573792535.23001</v>
      </c>
      <c r="AF8" s="56">
        <v>0.35809542364056002</v>
      </c>
      <c r="AG8" s="56" t="s">
        <v>26</v>
      </c>
      <c r="AH8" s="56" t="s">
        <v>26</v>
      </c>
      <c r="AI8" s="55">
        <v>6115148703.0500002</v>
      </c>
      <c r="AJ8" s="56">
        <v>0.38580208875938998</v>
      </c>
      <c r="AK8" s="56" t="s">
        <v>26</v>
      </c>
      <c r="AL8" s="56" t="s">
        <v>26</v>
      </c>
      <c r="AM8" s="55">
        <v>5081445412.04</v>
      </c>
      <c r="AN8" s="56">
        <v>0.22080787806405999</v>
      </c>
      <c r="AO8" s="56" t="s">
        <v>26</v>
      </c>
      <c r="AP8" s="56" t="s">
        <v>26</v>
      </c>
      <c r="AQ8" s="55">
        <v>11196594115.09</v>
      </c>
      <c r="AR8" s="56">
        <v>0.28810085997255003</v>
      </c>
      <c r="AS8" s="56" t="s">
        <v>26</v>
      </c>
      <c r="AT8" s="56" t="s">
        <v>26</v>
      </c>
      <c r="AU8" s="55">
        <v>15766999466.940001</v>
      </c>
      <c r="AV8" s="56">
        <v>0.38771060096643001</v>
      </c>
      <c r="AW8" s="56" t="s">
        <v>26</v>
      </c>
      <c r="AX8" s="56" t="s">
        <v>26</v>
      </c>
      <c r="AY8" s="55">
        <v>233537386117.26001</v>
      </c>
      <c r="AZ8" s="56">
        <v>0.35578604548477</v>
      </c>
      <c r="BA8" s="56" t="s">
        <v>26</v>
      </c>
      <c r="BB8" s="56" t="s">
        <v>26</v>
      </c>
    </row>
    <row r="9" spans="1:54" s="7" customFormat="1">
      <c r="A9" s="34" t="s">
        <v>27</v>
      </c>
      <c r="B9" s="24" t="s">
        <v>25</v>
      </c>
      <c r="C9" s="10">
        <v>1942154522.24</v>
      </c>
      <c r="D9" s="11">
        <v>0.36494918386529002</v>
      </c>
      <c r="E9" s="11">
        <v>0.5</v>
      </c>
      <c r="F9" s="11">
        <v>0.1351</v>
      </c>
      <c r="G9" s="10">
        <v>52859606970.889999</v>
      </c>
      <c r="H9" s="11">
        <v>0.38986692992753003</v>
      </c>
      <c r="I9" s="11">
        <v>0.5</v>
      </c>
      <c r="J9" s="11">
        <v>0.1101</v>
      </c>
      <c r="K9" s="10">
        <v>818056000.59000003</v>
      </c>
      <c r="L9" s="11">
        <v>0.32254486515518999</v>
      </c>
      <c r="M9" s="11">
        <v>0.5</v>
      </c>
      <c r="N9" s="11">
        <v>0.17749999999999999</v>
      </c>
      <c r="O9" s="10">
        <v>62330919689.260002</v>
      </c>
      <c r="P9" s="11">
        <v>0.30859191093067001</v>
      </c>
      <c r="Q9" s="11">
        <v>0.5</v>
      </c>
      <c r="R9" s="11">
        <v>0.19139999999999999</v>
      </c>
      <c r="S9" s="10">
        <v>37378218020.07</v>
      </c>
      <c r="T9" s="11">
        <v>0.36829151085675998</v>
      </c>
      <c r="U9" s="11">
        <v>0.5</v>
      </c>
      <c r="V9" s="11">
        <v>0.13170000000000001</v>
      </c>
      <c r="W9" s="10">
        <v>1599737514.3900001</v>
      </c>
      <c r="X9" s="11">
        <v>0.27868348739335003</v>
      </c>
      <c r="Y9" s="11">
        <v>0.5</v>
      </c>
      <c r="Z9" s="11">
        <v>0.2213</v>
      </c>
      <c r="AA9" s="10">
        <v>49645099817.790001</v>
      </c>
      <c r="AB9" s="11">
        <v>0.39968620346521999</v>
      </c>
      <c r="AC9" s="11">
        <v>0.5</v>
      </c>
      <c r="AD9" s="11">
        <v>0.1003</v>
      </c>
      <c r="AE9" s="10">
        <v>206573792535.23001</v>
      </c>
      <c r="AF9" s="11">
        <v>0.35809542364056002</v>
      </c>
      <c r="AG9" s="11">
        <v>0.5</v>
      </c>
      <c r="AH9" s="11">
        <v>0.1419</v>
      </c>
      <c r="AI9" s="10">
        <v>6115148703.0500002</v>
      </c>
      <c r="AJ9" s="11">
        <v>0.38580208875938998</v>
      </c>
      <c r="AK9" s="11">
        <v>0.5</v>
      </c>
      <c r="AL9" s="11">
        <v>0.1142</v>
      </c>
      <c r="AM9" s="10">
        <v>5081445412.04</v>
      </c>
      <c r="AN9" s="11">
        <v>0.22080787806405999</v>
      </c>
      <c r="AO9" s="11">
        <v>0.5</v>
      </c>
      <c r="AP9" s="11">
        <v>0.2792</v>
      </c>
      <c r="AQ9" s="10">
        <v>11196594115.09</v>
      </c>
      <c r="AR9" s="11">
        <v>0.28810085997255003</v>
      </c>
      <c r="AS9" s="11">
        <v>0.5</v>
      </c>
      <c r="AT9" s="11">
        <v>0.21190000000000001</v>
      </c>
      <c r="AU9" s="10">
        <v>15766999466.940001</v>
      </c>
      <c r="AV9" s="11">
        <v>0.38771060096643001</v>
      </c>
      <c r="AW9" s="11">
        <v>0.5</v>
      </c>
      <c r="AX9" s="11">
        <v>0.1123</v>
      </c>
      <c r="AY9" s="10">
        <v>233537386117.26001</v>
      </c>
      <c r="AZ9" s="11">
        <v>0.35578604548477</v>
      </c>
      <c r="BA9" s="11">
        <v>0.5</v>
      </c>
      <c r="BB9" s="11">
        <v>0.14419999999999999</v>
      </c>
    </row>
    <row r="10" spans="1:54">
      <c r="A10" s="32" t="s">
        <v>28</v>
      </c>
      <c r="B10" s="31" t="s">
        <v>29</v>
      </c>
      <c r="C10" s="2">
        <v>1942154522.24</v>
      </c>
      <c r="D10" s="1">
        <v>1</v>
      </c>
      <c r="E10" s="1" t="s">
        <v>26</v>
      </c>
      <c r="F10" s="1" t="s">
        <v>26</v>
      </c>
      <c r="G10" s="2">
        <v>52859606970.889999</v>
      </c>
      <c r="H10" s="1">
        <v>1</v>
      </c>
      <c r="I10" s="1" t="s">
        <v>26</v>
      </c>
      <c r="J10" s="1" t="s">
        <v>26</v>
      </c>
      <c r="K10" s="2">
        <v>818056000.59000003</v>
      </c>
      <c r="L10" s="1">
        <v>1</v>
      </c>
      <c r="M10" s="1" t="s">
        <v>26</v>
      </c>
      <c r="N10" s="1" t="s">
        <v>26</v>
      </c>
      <c r="O10" s="2">
        <v>62330919689.260002</v>
      </c>
      <c r="P10" s="1">
        <v>1</v>
      </c>
      <c r="Q10" s="1" t="s">
        <v>26</v>
      </c>
      <c r="R10" s="1" t="s">
        <v>26</v>
      </c>
      <c r="S10" s="2">
        <v>37378218020.07</v>
      </c>
      <c r="T10" s="1">
        <v>1</v>
      </c>
      <c r="U10" s="1" t="s">
        <v>26</v>
      </c>
      <c r="V10" s="1" t="s">
        <v>26</v>
      </c>
      <c r="W10" s="2">
        <v>1599737514.3900001</v>
      </c>
      <c r="X10" s="1">
        <v>1</v>
      </c>
      <c r="Y10" s="1" t="s">
        <v>26</v>
      </c>
      <c r="Z10" s="1" t="s">
        <v>26</v>
      </c>
      <c r="AA10" s="2">
        <v>49645099817.790001</v>
      </c>
      <c r="AB10" s="1">
        <v>1</v>
      </c>
      <c r="AC10" s="1" t="s">
        <v>26</v>
      </c>
      <c r="AD10" s="1" t="s">
        <v>26</v>
      </c>
      <c r="AE10" s="2">
        <v>206573792535.23001</v>
      </c>
      <c r="AF10" s="1">
        <v>1</v>
      </c>
      <c r="AG10" s="1" t="s">
        <v>26</v>
      </c>
      <c r="AH10" s="1" t="s">
        <v>26</v>
      </c>
      <c r="AI10" s="2">
        <v>6115148703.0500002</v>
      </c>
      <c r="AJ10" s="1">
        <v>1</v>
      </c>
      <c r="AK10" s="1" t="s">
        <v>26</v>
      </c>
      <c r="AL10" s="1" t="s">
        <v>26</v>
      </c>
      <c r="AM10" s="2">
        <v>5081445412.04</v>
      </c>
      <c r="AN10" s="1">
        <v>1</v>
      </c>
      <c r="AO10" s="1" t="s">
        <v>26</v>
      </c>
      <c r="AP10" s="1" t="s">
        <v>26</v>
      </c>
      <c r="AQ10" s="2">
        <v>11196594115.09</v>
      </c>
      <c r="AR10" s="1">
        <v>1</v>
      </c>
      <c r="AS10" s="1" t="s">
        <v>26</v>
      </c>
      <c r="AT10" s="1" t="s">
        <v>26</v>
      </c>
      <c r="AU10" s="2">
        <v>15766999466.940001</v>
      </c>
      <c r="AV10" s="1">
        <v>1</v>
      </c>
      <c r="AW10" s="1" t="s">
        <v>26</v>
      </c>
      <c r="AX10" s="1" t="s">
        <v>26</v>
      </c>
      <c r="AY10" s="2">
        <v>233537386117.26001</v>
      </c>
      <c r="AZ10" s="1">
        <v>1</v>
      </c>
      <c r="BA10" s="1" t="s">
        <v>26</v>
      </c>
      <c r="BB10" s="1" t="s">
        <v>26</v>
      </c>
    </row>
    <row r="11" spans="1:54">
      <c r="A11" s="33" t="s">
        <v>30</v>
      </c>
      <c r="B11" s="25" t="s">
        <v>25</v>
      </c>
      <c r="C11" s="55">
        <v>2315667212.4499998</v>
      </c>
      <c r="D11" s="56">
        <v>0.43513574723835002</v>
      </c>
      <c r="E11" s="56" t="s">
        <v>26</v>
      </c>
      <c r="F11" s="56" t="s">
        <v>26</v>
      </c>
      <c r="G11" s="55">
        <v>55219473747.470001</v>
      </c>
      <c r="H11" s="56">
        <v>0.40727216746041001</v>
      </c>
      <c r="I11" s="56" t="s">
        <v>26</v>
      </c>
      <c r="J11" s="56" t="s">
        <v>26</v>
      </c>
      <c r="K11" s="55">
        <v>850838431.13999999</v>
      </c>
      <c r="L11" s="56">
        <v>0.33547039181054999</v>
      </c>
      <c r="M11" s="56" t="s">
        <v>26</v>
      </c>
      <c r="N11" s="56" t="s">
        <v>26</v>
      </c>
      <c r="O11" s="55">
        <v>88758942571.330002</v>
      </c>
      <c r="P11" s="56">
        <v>0.43943345993965999</v>
      </c>
      <c r="Q11" s="56" t="s">
        <v>26</v>
      </c>
      <c r="R11" s="56" t="s">
        <v>26</v>
      </c>
      <c r="S11" s="55">
        <v>37196577310.339996</v>
      </c>
      <c r="T11" s="56">
        <v>0.36650178585211002</v>
      </c>
      <c r="U11" s="56" t="s">
        <v>26</v>
      </c>
      <c r="V11" s="56" t="s">
        <v>26</v>
      </c>
      <c r="W11" s="55">
        <v>2707628359.1399999</v>
      </c>
      <c r="X11" s="56">
        <v>0.47168445254470998</v>
      </c>
      <c r="Y11" s="56" t="s">
        <v>26</v>
      </c>
      <c r="Z11" s="56" t="s">
        <v>26</v>
      </c>
      <c r="AA11" s="55">
        <v>48359290373.650002</v>
      </c>
      <c r="AB11" s="56">
        <v>0.38933431985547001</v>
      </c>
      <c r="AC11" s="56" t="s">
        <v>26</v>
      </c>
      <c r="AD11" s="56" t="s">
        <v>26</v>
      </c>
      <c r="AE11" s="55">
        <v>235408418005.51999</v>
      </c>
      <c r="AF11" s="56">
        <v>0.40808021259456001</v>
      </c>
      <c r="AG11" s="56" t="s">
        <v>26</v>
      </c>
      <c r="AH11" s="56" t="s">
        <v>26</v>
      </c>
      <c r="AI11" s="55">
        <v>6476617424.3999996</v>
      </c>
      <c r="AJ11" s="56">
        <v>0.40860699416561003</v>
      </c>
      <c r="AK11" s="56" t="s">
        <v>26</v>
      </c>
      <c r="AL11" s="56" t="s">
        <v>26</v>
      </c>
      <c r="AM11" s="55">
        <v>11272998128.77</v>
      </c>
      <c r="AN11" s="56">
        <v>0.48985408567728</v>
      </c>
      <c r="AO11" s="56" t="s">
        <v>26</v>
      </c>
      <c r="AP11" s="56" t="s">
        <v>26</v>
      </c>
      <c r="AQ11" s="55">
        <v>17749615553.169998</v>
      </c>
      <c r="AR11" s="56">
        <v>0.45671741357119999</v>
      </c>
      <c r="AS11" s="56" t="s">
        <v>26</v>
      </c>
      <c r="AT11" s="56" t="s">
        <v>26</v>
      </c>
      <c r="AU11" s="55">
        <v>15587475738.27</v>
      </c>
      <c r="AV11" s="56">
        <v>0.38329611152116</v>
      </c>
      <c r="AW11" s="56" t="s">
        <v>26</v>
      </c>
      <c r="AX11" s="56" t="s">
        <v>26</v>
      </c>
      <c r="AY11" s="55">
        <v>268745509296.95999</v>
      </c>
      <c r="AZ11" s="56">
        <v>0.40942439060504998</v>
      </c>
      <c r="BA11" s="56" t="s">
        <v>26</v>
      </c>
      <c r="BB11" s="56" t="s">
        <v>26</v>
      </c>
    </row>
    <row r="12" spans="1:54" s="7" customFormat="1">
      <c r="A12" s="34" t="s">
        <v>31</v>
      </c>
      <c r="B12" s="24" t="s">
        <v>25</v>
      </c>
      <c r="C12" s="10">
        <v>2315667212.4499998</v>
      </c>
      <c r="D12" s="11">
        <v>0.43513574723835002</v>
      </c>
      <c r="E12" s="11">
        <v>0.5</v>
      </c>
      <c r="F12" s="11">
        <v>6.4899999999999999E-2</v>
      </c>
      <c r="G12" s="10">
        <v>55219473747.470001</v>
      </c>
      <c r="H12" s="11">
        <v>0.40727216746041001</v>
      </c>
      <c r="I12" s="11">
        <v>0.5</v>
      </c>
      <c r="J12" s="11">
        <v>9.2700000000000005E-2</v>
      </c>
      <c r="K12" s="10">
        <v>850838431.13999999</v>
      </c>
      <c r="L12" s="11">
        <v>0.33547039181054999</v>
      </c>
      <c r="M12" s="11">
        <v>0.5</v>
      </c>
      <c r="N12" s="11">
        <v>0.16450000000000001</v>
      </c>
      <c r="O12" s="10">
        <v>88758942571.330002</v>
      </c>
      <c r="P12" s="11">
        <v>0.43943345993965999</v>
      </c>
      <c r="Q12" s="11">
        <v>0.5</v>
      </c>
      <c r="R12" s="11">
        <v>6.0600000000000001E-2</v>
      </c>
      <c r="S12" s="10">
        <v>37196577310.339996</v>
      </c>
      <c r="T12" s="11">
        <v>0.36650178585211002</v>
      </c>
      <c r="U12" s="11">
        <v>0.5</v>
      </c>
      <c r="V12" s="11">
        <v>0.13350000000000001</v>
      </c>
      <c r="W12" s="10">
        <v>2707628359.1399999</v>
      </c>
      <c r="X12" s="11">
        <v>0.47168445254470998</v>
      </c>
      <c r="Y12" s="11">
        <v>0.5</v>
      </c>
      <c r="Z12" s="11">
        <v>2.8299999999999999E-2</v>
      </c>
      <c r="AA12" s="10">
        <v>48359290373.650002</v>
      </c>
      <c r="AB12" s="11">
        <v>0.38933431985547001</v>
      </c>
      <c r="AC12" s="11">
        <v>0.5</v>
      </c>
      <c r="AD12" s="11">
        <v>0.11070000000000001</v>
      </c>
      <c r="AE12" s="10">
        <v>235408418005.51999</v>
      </c>
      <c r="AF12" s="11">
        <v>0.40808021259456001</v>
      </c>
      <c r="AG12" s="11">
        <v>0.5</v>
      </c>
      <c r="AH12" s="11">
        <v>9.1899999999999996E-2</v>
      </c>
      <c r="AI12" s="10">
        <v>6476617424.3999996</v>
      </c>
      <c r="AJ12" s="11">
        <v>0.40860699416561003</v>
      </c>
      <c r="AK12" s="11">
        <v>0.5</v>
      </c>
      <c r="AL12" s="11">
        <v>9.1399999999999995E-2</v>
      </c>
      <c r="AM12" s="10">
        <v>11272998128.77</v>
      </c>
      <c r="AN12" s="11">
        <v>0.48985408567728</v>
      </c>
      <c r="AO12" s="11">
        <v>0.5</v>
      </c>
      <c r="AP12" s="11">
        <v>1.01E-2</v>
      </c>
      <c r="AQ12" s="10">
        <v>17749615553.169998</v>
      </c>
      <c r="AR12" s="11">
        <v>0.45671741357119999</v>
      </c>
      <c r="AS12" s="11">
        <v>0.5</v>
      </c>
      <c r="AT12" s="11">
        <v>4.3299999999999998E-2</v>
      </c>
      <c r="AU12" s="10">
        <v>15587475738.27</v>
      </c>
      <c r="AV12" s="11">
        <v>0.38329611152116</v>
      </c>
      <c r="AW12" s="11">
        <v>0.5</v>
      </c>
      <c r="AX12" s="11">
        <v>0.1167</v>
      </c>
      <c r="AY12" s="10">
        <v>268745509296.95999</v>
      </c>
      <c r="AZ12" s="11">
        <v>0.40942439060504998</v>
      </c>
      <c r="BA12" s="11">
        <v>0.5</v>
      </c>
      <c r="BB12" s="11">
        <v>9.06E-2</v>
      </c>
    </row>
    <row r="13" spans="1:54">
      <c r="A13" s="32" t="s">
        <v>32</v>
      </c>
      <c r="B13" s="31" t="s">
        <v>29</v>
      </c>
      <c r="C13" s="2">
        <v>1060261543.83</v>
      </c>
      <c r="D13" s="1">
        <v>0.45786438488638997</v>
      </c>
      <c r="E13" s="1" t="s">
        <v>26</v>
      </c>
      <c r="F13" s="1" t="s">
        <v>26</v>
      </c>
      <c r="G13" s="2">
        <v>20232151672.25</v>
      </c>
      <c r="H13" s="1">
        <v>0.36639522797294</v>
      </c>
      <c r="I13" s="1" t="s">
        <v>26</v>
      </c>
      <c r="J13" s="1" t="s">
        <v>26</v>
      </c>
      <c r="K13" s="2">
        <v>286951331.67000002</v>
      </c>
      <c r="L13" s="1">
        <v>0.33725713504211002</v>
      </c>
      <c r="M13" s="1" t="s">
        <v>26</v>
      </c>
      <c r="N13" s="1" t="s">
        <v>26</v>
      </c>
      <c r="O13" s="2">
        <v>25797595978.75</v>
      </c>
      <c r="P13" s="1">
        <v>0.29064785171384999</v>
      </c>
      <c r="Q13" s="1" t="s">
        <v>26</v>
      </c>
      <c r="R13" s="1" t="s">
        <v>26</v>
      </c>
      <c r="S13" s="2">
        <v>16073398575.4</v>
      </c>
      <c r="T13" s="1">
        <v>0.43212036530393</v>
      </c>
      <c r="U13" s="1" t="s">
        <v>26</v>
      </c>
      <c r="V13" s="1" t="s">
        <v>26</v>
      </c>
      <c r="W13" s="2">
        <v>1341654726.8599999</v>
      </c>
      <c r="X13" s="1">
        <v>0.49550918697208002</v>
      </c>
      <c r="Y13" s="1" t="s">
        <v>26</v>
      </c>
      <c r="Z13" s="1" t="s">
        <v>26</v>
      </c>
      <c r="AA13" s="2">
        <v>23181999666.830002</v>
      </c>
      <c r="AB13" s="1">
        <v>0.47937013731411998</v>
      </c>
      <c r="AC13" s="1" t="s">
        <v>26</v>
      </c>
      <c r="AD13" s="1" t="s">
        <v>26</v>
      </c>
      <c r="AE13" s="2">
        <v>87974013495.589996</v>
      </c>
      <c r="AF13" s="1">
        <v>0.37370801877410997</v>
      </c>
      <c r="AG13" s="1" t="s">
        <v>26</v>
      </c>
      <c r="AH13" s="1" t="s">
        <v>26</v>
      </c>
      <c r="AI13" s="2">
        <v>1710140752.98</v>
      </c>
      <c r="AJ13" s="1">
        <v>0.26404844395118998</v>
      </c>
      <c r="AK13" s="1" t="s">
        <v>26</v>
      </c>
      <c r="AL13" s="1" t="s">
        <v>26</v>
      </c>
      <c r="AM13" s="2">
        <v>6793951460.1400003</v>
      </c>
      <c r="AN13" s="1">
        <v>0.60267476163249001</v>
      </c>
      <c r="AO13" s="1" t="s">
        <v>26</v>
      </c>
      <c r="AP13" s="1" t="s">
        <v>26</v>
      </c>
      <c r="AQ13" s="2">
        <v>8504092213.1199999</v>
      </c>
      <c r="AR13" s="1">
        <v>0.47911416377698002</v>
      </c>
      <c r="AS13" s="1" t="s">
        <v>26</v>
      </c>
      <c r="AT13" s="1" t="s">
        <v>26</v>
      </c>
      <c r="AU13" s="2">
        <v>8059008602.8699999</v>
      </c>
      <c r="AV13" s="1">
        <v>0.51701819705699004</v>
      </c>
      <c r="AW13" s="1" t="s">
        <v>26</v>
      </c>
      <c r="AX13" s="1" t="s">
        <v>26</v>
      </c>
      <c r="AY13" s="2">
        <v>104537114311.58</v>
      </c>
      <c r="AZ13" s="1">
        <v>0.38898180879394001</v>
      </c>
      <c r="BA13" s="1" t="s">
        <v>26</v>
      </c>
      <c r="BB13" s="1" t="s">
        <v>26</v>
      </c>
    </row>
    <row r="14" spans="1:54">
      <c r="A14" s="32" t="s">
        <v>33</v>
      </c>
      <c r="B14" s="31" t="s">
        <v>29</v>
      </c>
      <c r="C14" s="2">
        <v>1255405668.6199999</v>
      </c>
      <c r="D14" s="1">
        <v>0.54213561511360997</v>
      </c>
      <c r="E14" s="1" t="s">
        <v>26</v>
      </c>
      <c r="F14" s="1" t="s">
        <v>26</v>
      </c>
      <c r="G14" s="2">
        <v>34987322075.220001</v>
      </c>
      <c r="H14" s="1">
        <v>0.63360477202706</v>
      </c>
      <c r="I14" s="1" t="s">
        <v>26</v>
      </c>
      <c r="J14" s="1" t="s">
        <v>26</v>
      </c>
      <c r="K14" s="2">
        <v>563887099.47000003</v>
      </c>
      <c r="L14" s="1">
        <v>0.66274286495789003</v>
      </c>
      <c r="M14" s="1" t="s">
        <v>26</v>
      </c>
      <c r="N14" s="1" t="s">
        <v>26</v>
      </c>
      <c r="O14" s="2">
        <v>62961346592.580002</v>
      </c>
      <c r="P14" s="1">
        <v>0.70935214828615001</v>
      </c>
      <c r="Q14" s="1" t="s">
        <v>26</v>
      </c>
      <c r="R14" s="1" t="s">
        <v>26</v>
      </c>
      <c r="S14" s="2">
        <v>21123178734.939999</v>
      </c>
      <c r="T14" s="1">
        <v>0.56787963469606995</v>
      </c>
      <c r="U14" s="1" t="s">
        <v>26</v>
      </c>
      <c r="V14" s="1" t="s">
        <v>26</v>
      </c>
      <c r="W14" s="2">
        <v>1365973632.28</v>
      </c>
      <c r="X14" s="1">
        <v>0.50449081302791998</v>
      </c>
      <c r="Y14" s="1" t="s">
        <v>26</v>
      </c>
      <c r="Z14" s="1" t="s">
        <v>26</v>
      </c>
      <c r="AA14" s="2">
        <v>25177290706.82</v>
      </c>
      <c r="AB14" s="1">
        <v>0.52062986268587996</v>
      </c>
      <c r="AC14" s="1" t="s">
        <v>26</v>
      </c>
      <c r="AD14" s="1" t="s">
        <v>26</v>
      </c>
      <c r="AE14" s="2">
        <v>147434404509.92999</v>
      </c>
      <c r="AF14" s="1">
        <v>0.62629198122589003</v>
      </c>
      <c r="AG14" s="1" t="s">
        <v>26</v>
      </c>
      <c r="AH14" s="1" t="s">
        <v>26</v>
      </c>
      <c r="AI14" s="2">
        <v>4766476671.4200001</v>
      </c>
      <c r="AJ14" s="1">
        <v>0.73595155604881002</v>
      </c>
      <c r="AK14" s="1" t="s">
        <v>26</v>
      </c>
      <c r="AL14" s="1" t="s">
        <v>26</v>
      </c>
      <c r="AM14" s="2">
        <v>4479046668.6300001</v>
      </c>
      <c r="AN14" s="1">
        <v>0.39732523836750999</v>
      </c>
      <c r="AO14" s="1" t="s">
        <v>26</v>
      </c>
      <c r="AP14" s="1" t="s">
        <v>26</v>
      </c>
      <c r="AQ14" s="2">
        <v>9245523340.0499992</v>
      </c>
      <c r="AR14" s="1">
        <v>0.52088583622301998</v>
      </c>
      <c r="AS14" s="1" t="s">
        <v>26</v>
      </c>
      <c r="AT14" s="1" t="s">
        <v>26</v>
      </c>
      <c r="AU14" s="2">
        <v>7528467135.3999996</v>
      </c>
      <c r="AV14" s="1">
        <v>0.48298180294301002</v>
      </c>
      <c r="AW14" s="1" t="s">
        <v>26</v>
      </c>
      <c r="AX14" s="1" t="s">
        <v>26</v>
      </c>
      <c r="AY14" s="2">
        <v>164208394985.38</v>
      </c>
      <c r="AZ14" s="1">
        <v>0.61101819120606005</v>
      </c>
      <c r="BA14" s="1" t="s">
        <v>26</v>
      </c>
      <c r="BB14" s="1" t="s">
        <v>26</v>
      </c>
    </row>
    <row r="15" spans="1:54">
      <c r="A15" s="33" t="s">
        <v>34</v>
      </c>
      <c r="B15" s="25" t="s">
        <v>25</v>
      </c>
      <c r="C15" s="55">
        <v>291203183.67000002</v>
      </c>
      <c r="D15" s="56">
        <v>5.471982944836E-2</v>
      </c>
      <c r="E15" s="56" t="s">
        <v>26</v>
      </c>
      <c r="F15" s="56" t="s">
        <v>26</v>
      </c>
      <c r="G15" s="55">
        <v>14981689471.120001</v>
      </c>
      <c r="H15" s="56">
        <v>0.11049770541143</v>
      </c>
      <c r="I15" s="56" t="s">
        <v>26</v>
      </c>
      <c r="J15" s="56" t="s">
        <v>26</v>
      </c>
      <c r="K15" s="55">
        <v>175487195.25999999</v>
      </c>
      <c r="L15" s="56">
        <v>6.9191465731900006E-2</v>
      </c>
      <c r="M15" s="56" t="s">
        <v>26</v>
      </c>
      <c r="N15" s="56" t="s">
        <v>26</v>
      </c>
      <c r="O15" s="55">
        <v>18349089314.860001</v>
      </c>
      <c r="P15" s="56">
        <v>9.0843847062409999E-2</v>
      </c>
      <c r="Q15" s="56" t="s">
        <v>26</v>
      </c>
      <c r="R15" s="56" t="s">
        <v>26</v>
      </c>
      <c r="S15" s="55">
        <v>13397869024.32</v>
      </c>
      <c r="T15" s="56">
        <v>0.13201061170381001</v>
      </c>
      <c r="U15" s="56" t="s">
        <v>26</v>
      </c>
      <c r="V15" s="56" t="s">
        <v>26</v>
      </c>
      <c r="W15" s="55">
        <v>1265487874.78</v>
      </c>
      <c r="X15" s="56">
        <v>0.22045527533445</v>
      </c>
      <c r="Y15" s="56" t="s">
        <v>26</v>
      </c>
      <c r="Z15" s="56" t="s">
        <v>26</v>
      </c>
      <c r="AA15" s="55">
        <v>12319133557.27</v>
      </c>
      <c r="AB15" s="56">
        <v>9.9179732532669998E-2</v>
      </c>
      <c r="AC15" s="56" t="s">
        <v>26</v>
      </c>
      <c r="AD15" s="56" t="s">
        <v>26</v>
      </c>
      <c r="AE15" s="55">
        <v>60779959621.279999</v>
      </c>
      <c r="AF15" s="56">
        <v>0.10536198770581</v>
      </c>
      <c r="AG15" s="56" t="s">
        <v>26</v>
      </c>
      <c r="AH15" s="56" t="s">
        <v>26</v>
      </c>
      <c r="AI15" s="55">
        <v>1865156671.9100001</v>
      </c>
      <c r="AJ15" s="56">
        <v>0.11767192832572</v>
      </c>
      <c r="AK15" s="56" t="s">
        <v>26</v>
      </c>
      <c r="AL15" s="56" t="s">
        <v>26</v>
      </c>
      <c r="AM15" s="55">
        <v>4242735611.6399999</v>
      </c>
      <c r="AN15" s="56">
        <v>0.18436278885794</v>
      </c>
      <c r="AO15" s="56" t="s">
        <v>26</v>
      </c>
      <c r="AP15" s="56" t="s">
        <v>26</v>
      </c>
      <c r="AQ15" s="55">
        <v>6107892283.5500002</v>
      </c>
      <c r="AR15" s="56">
        <v>0.15716288376828</v>
      </c>
      <c r="AS15" s="56" t="s">
        <v>26</v>
      </c>
      <c r="AT15" s="56" t="s">
        <v>26</v>
      </c>
      <c r="AU15" s="55">
        <v>4783184762.4099998</v>
      </c>
      <c r="AV15" s="56">
        <v>0.11761853881304001</v>
      </c>
      <c r="AW15" s="56" t="s">
        <v>26</v>
      </c>
      <c r="AX15" s="56" t="s">
        <v>26</v>
      </c>
      <c r="AY15" s="55">
        <v>71671036667.240005</v>
      </c>
      <c r="AZ15" s="56">
        <v>0.10918831941892</v>
      </c>
      <c r="BA15" s="56" t="s">
        <v>26</v>
      </c>
      <c r="BB15" s="56" t="s">
        <v>26</v>
      </c>
    </row>
    <row r="16" spans="1:54" s="7" customFormat="1">
      <c r="A16" s="34" t="s">
        <v>35</v>
      </c>
      <c r="B16" s="24" t="s">
        <v>25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5984757536.0500002</v>
      </c>
      <c r="H16" s="11">
        <v>4.4140680959380001E-2</v>
      </c>
      <c r="I16" s="11">
        <v>0.15</v>
      </c>
      <c r="J16" s="11">
        <v>0.10589999999999999</v>
      </c>
      <c r="K16" s="10" t="s">
        <v>26</v>
      </c>
      <c r="L16" s="11" t="s">
        <v>26</v>
      </c>
      <c r="M16" s="11" t="s">
        <v>26</v>
      </c>
      <c r="N16" s="11" t="s">
        <v>26</v>
      </c>
      <c r="O16" s="10">
        <v>6130780958.4200001</v>
      </c>
      <c r="P16" s="11">
        <v>3.0352663186870001E-2</v>
      </c>
      <c r="Q16" s="11">
        <v>0.14000000000000001</v>
      </c>
      <c r="R16" s="11">
        <v>0.1096</v>
      </c>
      <c r="S16" s="10">
        <v>3061359646.4499998</v>
      </c>
      <c r="T16" s="11">
        <v>3.0163898366199999E-2</v>
      </c>
      <c r="U16" s="11">
        <v>0.05</v>
      </c>
      <c r="V16" s="11">
        <v>1.9800000000000002E-2</v>
      </c>
      <c r="W16" s="10">
        <v>341290760.19</v>
      </c>
      <c r="X16" s="11">
        <v>5.9454815811550002E-2</v>
      </c>
      <c r="Y16" s="11">
        <v>0.15</v>
      </c>
      <c r="Z16" s="11">
        <v>9.0499999999999997E-2</v>
      </c>
      <c r="AA16" s="10">
        <v>4553710951.9700003</v>
      </c>
      <c r="AB16" s="11">
        <v>3.6661331103189997E-2</v>
      </c>
      <c r="AC16" s="11">
        <v>0.13650000000000001</v>
      </c>
      <c r="AD16" s="11">
        <v>9.98E-2</v>
      </c>
      <c r="AE16" s="10">
        <v>20071899853.080002</v>
      </c>
      <c r="AF16" s="11">
        <v>3.4794614519820001E-2</v>
      </c>
      <c r="AG16" s="11">
        <v>0.1431</v>
      </c>
      <c r="AH16" s="11">
        <v>0.10829999999999999</v>
      </c>
      <c r="AI16" s="10">
        <v>741883619.95000005</v>
      </c>
      <c r="AJ16" s="11">
        <v>4.6805116946759998E-2</v>
      </c>
      <c r="AK16" s="11">
        <v>0.05</v>
      </c>
      <c r="AL16" s="11">
        <v>3.2000000000000002E-3</v>
      </c>
      <c r="AM16" s="10">
        <v>1204430631.22</v>
      </c>
      <c r="AN16" s="11">
        <v>5.2337032161150002E-2</v>
      </c>
      <c r="AO16" s="11">
        <v>0.15</v>
      </c>
      <c r="AP16" s="11">
        <v>9.7699999999999995E-2</v>
      </c>
      <c r="AQ16" s="10">
        <v>1946314251.1700001</v>
      </c>
      <c r="AR16" s="11">
        <v>5.0080837420299999E-2</v>
      </c>
      <c r="AS16" s="11">
        <v>0.1472</v>
      </c>
      <c r="AT16" s="11">
        <v>9.7100000000000006E-2</v>
      </c>
      <c r="AU16" s="10">
        <v>1382320494.03</v>
      </c>
      <c r="AV16" s="11">
        <v>3.3991268319150003E-2</v>
      </c>
      <c r="AW16" s="11">
        <v>0.05</v>
      </c>
      <c r="AX16" s="11">
        <v>1.6E-2</v>
      </c>
      <c r="AY16" s="10">
        <v>23400534598.279999</v>
      </c>
      <c r="AZ16" s="11">
        <v>3.5649896598449998E-2</v>
      </c>
      <c r="BA16" s="11">
        <v>0.14349999999999999</v>
      </c>
      <c r="BB16" s="11">
        <v>0.1079</v>
      </c>
    </row>
    <row r="17" spans="1:56" s="7" customFormat="1">
      <c r="A17" s="32" t="s">
        <v>36</v>
      </c>
      <c r="B17" s="31" t="s">
        <v>37</v>
      </c>
      <c r="C17" s="2" t="s">
        <v>26</v>
      </c>
      <c r="D17" s="1" t="s">
        <v>26</v>
      </c>
      <c r="E17" s="1" t="s">
        <v>26</v>
      </c>
      <c r="F17" s="1" t="s">
        <v>26</v>
      </c>
      <c r="G17" s="2" t="s">
        <v>26</v>
      </c>
      <c r="H17" s="1" t="s">
        <v>26</v>
      </c>
      <c r="I17" s="1" t="s">
        <v>26</v>
      </c>
      <c r="J17" s="1" t="s">
        <v>26</v>
      </c>
      <c r="K17" s="2" t="s">
        <v>26</v>
      </c>
      <c r="L17" s="1" t="s">
        <v>26</v>
      </c>
      <c r="M17" s="1" t="s">
        <v>26</v>
      </c>
      <c r="N17" s="1" t="s">
        <v>26</v>
      </c>
      <c r="O17" s="2">
        <v>4091332160</v>
      </c>
      <c r="P17" s="1">
        <v>0.66734273948916001</v>
      </c>
      <c r="Q17" s="1" t="s">
        <v>26</v>
      </c>
      <c r="R17" s="1" t="s">
        <v>26</v>
      </c>
      <c r="S17" s="2">
        <v>1008513377.4400001</v>
      </c>
      <c r="T17" s="1">
        <v>0.32943315843648002</v>
      </c>
      <c r="U17" s="1" t="s">
        <v>26</v>
      </c>
      <c r="V17" s="1" t="s">
        <v>26</v>
      </c>
      <c r="W17" s="2" t="s">
        <v>26</v>
      </c>
      <c r="X17" s="1" t="s">
        <v>26</v>
      </c>
      <c r="Y17" s="1" t="s">
        <v>26</v>
      </c>
      <c r="Z17" s="1" t="s">
        <v>26</v>
      </c>
      <c r="AA17" s="2">
        <v>4091332160</v>
      </c>
      <c r="AB17" s="1">
        <v>0.89846110197882001</v>
      </c>
      <c r="AC17" s="1" t="s">
        <v>26</v>
      </c>
      <c r="AD17" s="1" t="s">
        <v>26</v>
      </c>
      <c r="AE17" s="2">
        <v>9191177697.4400005</v>
      </c>
      <c r="AF17" s="1">
        <v>0.45791269210770003</v>
      </c>
      <c r="AG17" s="1" t="s">
        <v>26</v>
      </c>
      <c r="AH17" s="1" t="s">
        <v>26</v>
      </c>
      <c r="AI17" s="2">
        <v>366174228.31999999</v>
      </c>
      <c r="AJ17" s="1">
        <v>0.49357367985112999</v>
      </c>
      <c r="AK17" s="1" t="s">
        <v>26</v>
      </c>
      <c r="AL17" s="1" t="s">
        <v>26</v>
      </c>
      <c r="AM17" s="2" t="s">
        <v>26</v>
      </c>
      <c r="AN17" s="1" t="s">
        <v>26</v>
      </c>
      <c r="AO17" s="1" t="s">
        <v>26</v>
      </c>
      <c r="AP17" s="1" t="s">
        <v>26</v>
      </c>
      <c r="AQ17" s="2">
        <v>366174228.31999999</v>
      </c>
      <c r="AR17" s="1">
        <v>0.18813725897545999</v>
      </c>
      <c r="AS17" s="1" t="s">
        <v>26</v>
      </c>
      <c r="AT17" s="1" t="s">
        <v>26</v>
      </c>
      <c r="AU17" s="2">
        <v>653590312.55999994</v>
      </c>
      <c r="AV17" s="1">
        <v>0.47282111158934997</v>
      </c>
      <c r="AW17" s="1" t="s">
        <v>26</v>
      </c>
      <c r="AX17" s="1" t="s">
        <v>26</v>
      </c>
      <c r="AY17" s="2">
        <v>10210942238.32</v>
      </c>
      <c r="AZ17" s="1">
        <v>0.43635508391634997</v>
      </c>
      <c r="BA17" s="1" t="s">
        <v>26</v>
      </c>
      <c r="BB17" s="1" t="s">
        <v>26</v>
      </c>
      <c r="BD17" s="19"/>
    </row>
    <row r="18" spans="1:56">
      <c r="A18" s="32" t="s">
        <v>38</v>
      </c>
      <c r="B18" s="31" t="s">
        <v>39</v>
      </c>
      <c r="C18" s="2" t="s">
        <v>26</v>
      </c>
      <c r="D18" s="1" t="s">
        <v>26</v>
      </c>
      <c r="E18" s="1" t="s">
        <v>26</v>
      </c>
      <c r="F18" s="1" t="s">
        <v>26</v>
      </c>
      <c r="G18" s="2">
        <v>5984757536.0500002</v>
      </c>
      <c r="H18" s="1">
        <v>1</v>
      </c>
      <c r="I18" s="1" t="s">
        <v>26</v>
      </c>
      <c r="J18" s="1" t="s">
        <v>26</v>
      </c>
      <c r="K18" s="2" t="s">
        <v>26</v>
      </c>
      <c r="L18" s="1" t="s">
        <v>26</v>
      </c>
      <c r="M18" s="1" t="s">
        <v>26</v>
      </c>
      <c r="N18" s="1" t="s">
        <v>26</v>
      </c>
      <c r="O18" s="2">
        <v>2039448798.4200001</v>
      </c>
      <c r="P18" s="1">
        <v>0.33265726051083999</v>
      </c>
      <c r="Q18" s="1" t="s">
        <v>26</v>
      </c>
      <c r="R18" s="1" t="s">
        <v>26</v>
      </c>
      <c r="S18" s="2">
        <v>2052846269.01</v>
      </c>
      <c r="T18" s="1">
        <v>0.67056684156351998</v>
      </c>
      <c r="U18" s="1" t="s">
        <v>26</v>
      </c>
      <c r="V18" s="1" t="s">
        <v>26</v>
      </c>
      <c r="W18" s="2">
        <v>341290760.19</v>
      </c>
      <c r="X18" s="1">
        <v>1</v>
      </c>
      <c r="Y18" s="1" t="s">
        <v>26</v>
      </c>
      <c r="Z18" s="1" t="s">
        <v>26</v>
      </c>
      <c r="AA18" s="2">
        <v>462378791.97000003</v>
      </c>
      <c r="AB18" s="1">
        <v>0.10153889802118</v>
      </c>
      <c r="AC18" s="1" t="s">
        <v>26</v>
      </c>
      <c r="AD18" s="1" t="s">
        <v>26</v>
      </c>
      <c r="AE18" s="2">
        <v>10880722155.639999</v>
      </c>
      <c r="AF18" s="1">
        <v>0.54208730789229997</v>
      </c>
      <c r="AG18" s="1" t="s">
        <v>26</v>
      </c>
      <c r="AH18" s="1" t="s">
        <v>26</v>
      </c>
      <c r="AI18" s="2">
        <v>375709391.63</v>
      </c>
      <c r="AJ18" s="1">
        <v>0.50642632014887001</v>
      </c>
      <c r="AK18" s="1" t="s">
        <v>26</v>
      </c>
      <c r="AL18" s="1" t="s">
        <v>26</v>
      </c>
      <c r="AM18" s="2">
        <v>1204430631.22</v>
      </c>
      <c r="AN18" s="1">
        <v>1</v>
      </c>
      <c r="AO18" s="1" t="s">
        <v>26</v>
      </c>
      <c r="AP18" s="1" t="s">
        <v>26</v>
      </c>
      <c r="AQ18" s="2">
        <v>1580140022.8499999</v>
      </c>
      <c r="AR18" s="1">
        <v>0.81186274102454004</v>
      </c>
      <c r="AS18" s="1" t="s">
        <v>26</v>
      </c>
      <c r="AT18" s="1" t="s">
        <v>26</v>
      </c>
      <c r="AU18" s="2">
        <v>728730181.47000003</v>
      </c>
      <c r="AV18" s="1">
        <v>0.52717888841064997</v>
      </c>
      <c r="AW18" s="1" t="s">
        <v>26</v>
      </c>
      <c r="AX18" s="1" t="s">
        <v>26</v>
      </c>
      <c r="AY18" s="2">
        <v>13189592359.959999</v>
      </c>
      <c r="AZ18" s="1">
        <v>0.56364491608364997</v>
      </c>
      <c r="BA18" s="1" t="s">
        <v>26</v>
      </c>
      <c r="BB18" s="1" t="s">
        <v>26</v>
      </c>
    </row>
    <row r="19" spans="1:56" s="7" customFormat="1">
      <c r="A19" s="34" t="s">
        <v>40</v>
      </c>
      <c r="B19" s="24" t="s">
        <v>25</v>
      </c>
      <c r="C19" s="10" t="s">
        <v>26</v>
      </c>
      <c r="D19" s="11" t="s">
        <v>26</v>
      </c>
      <c r="E19" s="11" t="s">
        <v>26</v>
      </c>
      <c r="F19" s="11" t="s">
        <v>26</v>
      </c>
      <c r="G19" s="10" t="s">
        <v>26</v>
      </c>
      <c r="H19" s="11" t="s">
        <v>26</v>
      </c>
      <c r="I19" s="11" t="s">
        <v>26</v>
      </c>
      <c r="J19" s="11" t="s">
        <v>26</v>
      </c>
      <c r="K19" s="10" t="s">
        <v>26</v>
      </c>
      <c r="L19" s="11" t="s">
        <v>26</v>
      </c>
      <c r="M19" s="11" t="s">
        <v>26</v>
      </c>
      <c r="N19" s="11" t="s">
        <v>26</v>
      </c>
      <c r="O19" s="10" t="s">
        <v>26</v>
      </c>
      <c r="P19" s="11" t="s">
        <v>26</v>
      </c>
      <c r="Q19" s="11" t="s">
        <v>26</v>
      </c>
      <c r="R19" s="11" t="s">
        <v>26</v>
      </c>
      <c r="S19" s="10" t="s">
        <v>26</v>
      </c>
      <c r="T19" s="11" t="s">
        <v>26</v>
      </c>
      <c r="U19" s="11" t="s">
        <v>26</v>
      </c>
      <c r="V19" s="11" t="s">
        <v>26</v>
      </c>
      <c r="W19" s="10">
        <v>100320507.43000001</v>
      </c>
      <c r="X19" s="11">
        <v>1.7476410108640001E-2</v>
      </c>
      <c r="Y19" s="11">
        <v>0.15</v>
      </c>
      <c r="Z19" s="11">
        <v>0.13250000000000001</v>
      </c>
      <c r="AA19" s="10" t="s">
        <v>26</v>
      </c>
      <c r="AB19" s="11" t="s">
        <v>26</v>
      </c>
      <c r="AC19" s="11" t="s">
        <v>26</v>
      </c>
      <c r="AD19" s="11" t="s">
        <v>26</v>
      </c>
      <c r="AE19" s="10">
        <v>100320507.43000001</v>
      </c>
      <c r="AF19" s="11">
        <v>1.7390548029999999E-4</v>
      </c>
      <c r="AG19" s="11">
        <v>0.15</v>
      </c>
      <c r="AH19" s="11">
        <v>0.14979999999999999</v>
      </c>
      <c r="AI19" s="10" t="s">
        <v>26</v>
      </c>
      <c r="AJ19" s="11" t="s">
        <v>26</v>
      </c>
      <c r="AK19" s="11" t="s">
        <v>26</v>
      </c>
      <c r="AL19" s="11" t="s">
        <v>26</v>
      </c>
      <c r="AM19" s="10" t="s">
        <v>26</v>
      </c>
      <c r="AN19" s="11" t="s">
        <v>26</v>
      </c>
      <c r="AO19" s="11" t="s">
        <v>26</v>
      </c>
      <c r="AP19" s="11" t="s">
        <v>26</v>
      </c>
      <c r="AQ19" s="10" t="s">
        <v>26</v>
      </c>
      <c r="AR19" s="11" t="s">
        <v>26</v>
      </c>
      <c r="AS19" s="11" t="s">
        <v>26</v>
      </c>
      <c r="AT19" s="11" t="s">
        <v>26</v>
      </c>
      <c r="AU19" s="10" t="s">
        <v>26</v>
      </c>
      <c r="AV19" s="11" t="s">
        <v>26</v>
      </c>
      <c r="AW19" s="11" t="s">
        <v>26</v>
      </c>
      <c r="AX19" s="11" t="s">
        <v>26</v>
      </c>
      <c r="AY19" s="10">
        <v>100320507.43000001</v>
      </c>
      <c r="AZ19" s="11">
        <v>1.5283478680999999E-4</v>
      </c>
      <c r="BA19" s="11">
        <v>0.15</v>
      </c>
      <c r="BB19" s="11">
        <v>0.14979999999999999</v>
      </c>
      <c r="BD19" s="20"/>
    </row>
    <row r="20" spans="1:56" s="7" customFormat="1">
      <c r="A20" s="32" t="s">
        <v>38</v>
      </c>
      <c r="B20" s="31" t="s">
        <v>39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 t="s">
        <v>26</v>
      </c>
      <c r="P20" s="1" t="s">
        <v>26</v>
      </c>
      <c r="Q20" s="1" t="s">
        <v>26</v>
      </c>
      <c r="R20" s="1" t="s">
        <v>26</v>
      </c>
      <c r="S20" s="2" t="s">
        <v>26</v>
      </c>
      <c r="T20" s="1" t="s">
        <v>26</v>
      </c>
      <c r="U20" s="1" t="s">
        <v>26</v>
      </c>
      <c r="V20" s="1" t="s">
        <v>26</v>
      </c>
      <c r="W20" s="2">
        <v>100320507.43000001</v>
      </c>
      <c r="X20" s="1">
        <v>1</v>
      </c>
      <c r="Y20" s="1" t="s">
        <v>26</v>
      </c>
      <c r="Z20" s="1" t="s">
        <v>26</v>
      </c>
      <c r="AA20" s="2" t="s">
        <v>26</v>
      </c>
      <c r="AB20" s="1" t="s">
        <v>26</v>
      </c>
      <c r="AC20" s="1" t="s">
        <v>26</v>
      </c>
      <c r="AD20" s="1" t="s">
        <v>26</v>
      </c>
      <c r="AE20" s="2">
        <v>100320507.43000001</v>
      </c>
      <c r="AF20" s="1">
        <v>1</v>
      </c>
      <c r="AG20" s="1" t="s">
        <v>26</v>
      </c>
      <c r="AH20" s="1" t="s">
        <v>26</v>
      </c>
      <c r="AI20" s="2" t="s">
        <v>26</v>
      </c>
      <c r="AJ20" s="1" t="s">
        <v>26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 t="s">
        <v>26</v>
      </c>
      <c r="AR20" s="1" t="s">
        <v>26</v>
      </c>
      <c r="AS20" s="1" t="s">
        <v>26</v>
      </c>
      <c r="AT20" s="1" t="s">
        <v>26</v>
      </c>
      <c r="AU20" s="2" t="s">
        <v>26</v>
      </c>
      <c r="AV20" s="1" t="s">
        <v>26</v>
      </c>
      <c r="AW20" s="1" t="s">
        <v>26</v>
      </c>
      <c r="AX20" s="1" t="s">
        <v>26</v>
      </c>
      <c r="AY20" s="2">
        <v>100320507.43000001</v>
      </c>
      <c r="AZ20" s="1">
        <v>1</v>
      </c>
      <c r="BA20" s="1" t="s">
        <v>26</v>
      </c>
      <c r="BB20" s="1" t="s">
        <v>26</v>
      </c>
    </row>
    <row r="21" spans="1:56" s="7" customFormat="1">
      <c r="A21" s="34" t="s">
        <v>41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 t="s">
        <v>26</v>
      </c>
      <c r="H21" s="11" t="s">
        <v>26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10">
        <v>549210595.38999999</v>
      </c>
      <c r="P21" s="11">
        <v>2.7190670052599998E-3</v>
      </c>
      <c r="Q21" s="11">
        <v>0.15</v>
      </c>
      <c r="R21" s="11">
        <v>0.14729999999999999</v>
      </c>
      <c r="S21" s="10">
        <v>76999999.659999996</v>
      </c>
      <c r="T21" s="11">
        <v>7.5868908987E-4</v>
      </c>
      <c r="U21" s="11">
        <v>0.15</v>
      </c>
      <c r="V21" s="11">
        <v>0.1492</v>
      </c>
      <c r="W21" s="10">
        <v>55733108.43</v>
      </c>
      <c r="X21" s="11">
        <v>9.7090284380000006E-3</v>
      </c>
      <c r="Y21" s="11">
        <v>0.15</v>
      </c>
      <c r="Z21" s="11">
        <v>0.14030000000000001</v>
      </c>
      <c r="AA21" s="10" t="s">
        <v>26</v>
      </c>
      <c r="AB21" s="11" t="s">
        <v>26</v>
      </c>
      <c r="AC21" s="11" t="s">
        <v>26</v>
      </c>
      <c r="AD21" s="11" t="s">
        <v>26</v>
      </c>
      <c r="AE21" s="10">
        <v>681943703.48000002</v>
      </c>
      <c r="AF21" s="11">
        <v>1.1821485988099999E-3</v>
      </c>
      <c r="AG21" s="11">
        <v>0.15</v>
      </c>
      <c r="AH21" s="11">
        <v>0.14879999999999999</v>
      </c>
      <c r="AI21" s="10" t="s">
        <v>26</v>
      </c>
      <c r="AJ21" s="11" t="s">
        <v>26</v>
      </c>
      <c r="AK21" s="11" t="s">
        <v>26</v>
      </c>
      <c r="AL21" s="11" t="s">
        <v>26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 t="s">
        <v>26</v>
      </c>
      <c r="AR21" s="11" t="s">
        <v>26</v>
      </c>
      <c r="AS21" s="11" t="s">
        <v>26</v>
      </c>
      <c r="AT21" s="11" t="s">
        <v>26</v>
      </c>
      <c r="AU21" s="10">
        <v>114999999.5</v>
      </c>
      <c r="AV21" s="11">
        <v>2.8278506009200002E-3</v>
      </c>
      <c r="AW21" s="11">
        <v>0.15</v>
      </c>
      <c r="AX21" s="11">
        <v>0.1472</v>
      </c>
      <c r="AY21" s="10">
        <v>796943702.98000002</v>
      </c>
      <c r="AZ21" s="11">
        <v>1.2141158778499999E-3</v>
      </c>
      <c r="BA21" s="11">
        <v>0.15</v>
      </c>
      <c r="BB21" s="11">
        <v>0.14879999999999999</v>
      </c>
    </row>
    <row r="22" spans="1:56" s="7" customFormat="1">
      <c r="A22" s="32" t="s">
        <v>38</v>
      </c>
      <c r="B22" s="31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>
        <v>549210595.38999999</v>
      </c>
      <c r="P22" s="1">
        <v>1</v>
      </c>
      <c r="Q22" s="1" t="s">
        <v>26</v>
      </c>
      <c r="R22" s="1" t="s">
        <v>26</v>
      </c>
      <c r="S22" s="2">
        <v>76999999.659999996</v>
      </c>
      <c r="T22" s="1">
        <v>1</v>
      </c>
      <c r="U22" s="1" t="s">
        <v>26</v>
      </c>
      <c r="V22" s="1" t="s">
        <v>26</v>
      </c>
      <c r="W22" s="2">
        <v>55733108.43</v>
      </c>
      <c r="X22" s="1">
        <v>1</v>
      </c>
      <c r="Y22" s="1" t="s">
        <v>26</v>
      </c>
      <c r="Z22" s="1" t="s">
        <v>26</v>
      </c>
      <c r="AA22" s="2" t="s">
        <v>26</v>
      </c>
      <c r="AB22" s="1" t="s">
        <v>26</v>
      </c>
      <c r="AC22" s="1" t="s">
        <v>26</v>
      </c>
      <c r="AD22" s="1" t="s">
        <v>26</v>
      </c>
      <c r="AE22" s="2">
        <v>681943703.48000002</v>
      </c>
      <c r="AF22" s="1">
        <v>1</v>
      </c>
      <c r="AG22" s="1" t="s">
        <v>26</v>
      </c>
      <c r="AH22" s="1" t="s">
        <v>26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2">
        <v>114999999.5</v>
      </c>
      <c r="AV22" s="1">
        <v>1</v>
      </c>
      <c r="AW22" s="1" t="s">
        <v>26</v>
      </c>
      <c r="AX22" s="1" t="s">
        <v>26</v>
      </c>
      <c r="AY22" s="2">
        <v>796943702.98000002</v>
      </c>
      <c r="AZ22" s="1">
        <v>1</v>
      </c>
      <c r="BA22" s="1" t="s">
        <v>26</v>
      </c>
      <c r="BB22" s="1" t="s">
        <v>26</v>
      </c>
    </row>
    <row r="23" spans="1:56" s="7" customFormat="1">
      <c r="A23" s="34" t="s">
        <v>42</v>
      </c>
      <c r="B23" s="24" t="s">
        <v>25</v>
      </c>
      <c r="C23" s="10">
        <v>204538095.91999999</v>
      </c>
      <c r="D23" s="11">
        <v>3.843464066354E-2</v>
      </c>
      <c r="E23" s="11">
        <v>0.13500000000000001</v>
      </c>
      <c r="F23" s="11">
        <v>9.6600000000000005E-2</v>
      </c>
      <c r="G23" s="10" t="s">
        <v>26</v>
      </c>
      <c r="H23" s="11" t="s">
        <v>26</v>
      </c>
      <c r="I23" s="11" t="s">
        <v>26</v>
      </c>
      <c r="J23" s="11" t="s">
        <v>26</v>
      </c>
      <c r="K23" s="10" t="s">
        <v>26</v>
      </c>
      <c r="L23" s="11" t="s">
        <v>26</v>
      </c>
      <c r="M23" s="11" t="s">
        <v>26</v>
      </c>
      <c r="N23" s="11" t="s">
        <v>26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10" t="s">
        <v>26</v>
      </c>
      <c r="X23" s="11" t="s">
        <v>26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204538095.91999999</v>
      </c>
      <c r="AF23" s="11">
        <v>3.5456654597999999E-4</v>
      </c>
      <c r="AG23" s="11">
        <v>0.13500000000000001</v>
      </c>
      <c r="AH23" s="11">
        <v>0.1346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10">
        <v>204538095.91999999</v>
      </c>
      <c r="AZ23" s="11">
        <v>3.1160664041000001E-4</v>
      </c>
      <c r="BA23" s="11">
        <v>0.13500000000000001</v>
      </c>
      <c r="BB23" s="11">
        <v>0.13469999999999999</v>
      </c>
    </row>
    <row r="24" spans="1:56" s="7" customFormat="1">
      <c r="A24" s="32" t="s">
        <v>38</v>
      </c>
      <c r="B24" s="31" t="s">
        <v>43</v>
      </c>
      <c r="C24" s="2">
        <v>204538095.91999999</v>
      </c>
      <c r="D24" s="1">
        <v>1</v>
      </c>
      <c r="E24" s="1" t="s">
        <v>26</v>
      </c>
      <c r="F24" s="1" t="s">
        <v>26</v>
      </c>
      <c r="G24" s="2" t="s">
        <v>26</v>
      </c>
      <c r="H24" s="1" t="s">
        <v>26</v>
      </c>
      <c r="I24" s="1" t="s">
        <v>26</v>
      </c>
      <c r="J24" s="1" t="s">
        <v>26</v>
      </c>
      <c r="K24" s="2" t="s">
        <v>26</v>
      </c>
      <c r="L24" s="1" t="s">
        <v>26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204538095.91999999</v>
      </c>
      <c r="AF24" s="1">
        <v>1</v>
      </c>
      <c r="AG24" s="1" t="s">
        <v>26</v>
      </c>
      <c r="AH24" s="1" t="s">
        <v>26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2">
        <v>204538095.91999999</v>
      </c>
      <c r="AZ24" s="1">
        <v>1</v>
      </c>
      <c r="BA24" s="1" t="s">
        <v>26</v>
      </c>
      <c r="BB24" s="1" t="s">
        <v>26</v>
      </c>
    </row>
    <row r="25" spans="1:56" s="7" customFormat="1">
      <c r="A25" s="34" t="s">
        <v>44</v>
      </c>
      <c r="B25" s="24" t="s">
        <v>25</v>
      </c>
      <c r="C25" s="10">
        <v>20289693</v>
      </c>
      <c r="D25" s="11">
        <v>3.8126250081699999E-3</v>
      </c>
      <c r="E25" s="11">
        <v>0.13500000000000001</v>
      </c>
      <c r="F25" s="11">
        <v>0.13120000000000001</v>
      </c>
      <c r="G25" s="10">
        <v>4380287499.3400002</v>
      </c>
      <c r="H25" s="11">
        <v>3.2306884924590003E-2</v>
      </c>
      <c r="I25" s="11">
        <v>0.1457</v>
      </c>
      <c r="J25" s="11">
        <v>0.1134</v>
      </c>
      <c r="K25" s="10" t="s">
        <v>26</v>
      </c>
      <c r="L25" s="11" t="s">
        <v>26</v>
      </c>
      <c r="M25" s="11" t="s">
        <v>26</v>
      </c>
      <c r="N25" s="11" t="s">
        <v>26</v>
      </c>
      <c r="O25" s="10">
        <v>1356162188.8</v>
      </c>
      <c r="P25" s="11">
        <v>6.7141746577799996E-3</v>
      </c>
      <c r="Q25" s="11">
        <v>0.13600000000000001</v>
      </c>
      <c r="R25" s="11">
        <v>0.1293</v>
      </c>
      <c r="S25" s="10">
        <v>1110313930.4200001</v>
      </c>
      <c r="T25" s="11">
        <v>1.094003985798E-2</v>
      </c>
      <c r="U25" s="11">
        <v>0.1404</v>
      </c>
      <c r="V25" s="11">
        <v>0.1295</v>
      </c>
      <c r="W25" s="10">
        <v>156579577.90000001</v>
      </c>
      <c r="X25" s="11">
        <v>2.727706416286E-2</v>
      </c>
      <c r="Y25" s="11">
        <v>0.15</v>
      </c>
      <c r="Z25" s="11">
        <v>0.1227</v>
      </c>
      <c r="AA25" s="10">
        <v>2913200444.29</v>
      </c>
      <c r="AB25" s="11">
        <v>2.3453795637130001E-2</v>
      </c>
      <c r="AC25" s="11">
        <v>0.05</v>
      </c>
      <c r="AD25" s="11">
        <v>2.6499999999999999E-2</v>
      </c>
      <c r="AE25" s="10">
        <v>9936833333.75</v>
      </c>
      <c r="AF25" s="11">
        <v>1.7225488764210001E-2</v>
      </c>
      <c r="AG25" s="11">
        <v>0.14330000000000001</v>
      </c>
      <c r="AH25" s="11">
        <v>0.12609999999999999</v>
      </c>
      <c r="AI25" s="10">
        <v>89398844.099999994</v>
      </c>
      <c r="AJ25" s="11">
        <v>5.6401344368399997E-3</v>
      </c>
      <c r="AK25" s="11">
        <v>0.15</v>
      </c>
      <c r="AL25" s="11">
        <v>0.1444</v>
      </c>
      <c r="AM25" s="10">
        <v>5518702.6200000001</v>
      </c>
      <c r="AN25" s="11">
        <v>2.3980834514000001E-4</v>
      </c>
      <c r="AO25" s="11">
        <v>0.15</v>
      </c>
      <c r="AP25" s="11">
        <v>0.14979999999999999</v>
      </c>
      <c r="AQ25" s="10">
        <v>94917546.719999999</v>
      </c>
      <c r="AR25" s="11">
        <v>2.4423343880700002E-3</v>
      </c>
      <c r="AS25" s="11">
        <v>0.15</v>
      </c>
      <c r="AT25" s="11">
        <v>0.14760000000000001</v>
      </c>
      <c r="AU25" s="10">
        <v>1078020674.9400001</v>
      </c>
      <c r="AV25" s="11">
        <v>2.6508534145100002E-2</v>
      </c>
      <c r="AW25" s="11">
        <v>0.14219999999999999</v>
      </c>
      <c r="AX25" s="11">
        <v>0.1157</v>
      </c>
      <c r="AY25" s="10">
        <v>11109771555.41</v>
      </c>
      <c r="AZ25" s="11">
        <v>1.692534867181E-2</v>
      </c>
      <c r="BA25" s="11">
        <v>0.14330000000000001</v>
      </c>
      <c r="BB25" s="11">
        <v>0.12640000000000001</v>
      </c>
    </row>
    <row r="26" spans="1:56" s="7" customFormat="1">
      <c r="A26" s="32" t="s">
        <v>36</v>
      </c>
      <c r="B26" s="31" t="s">
        <v>37</v>
      </c>
      <c r="C26" s="2">
        <v>20289693</v>
      </c>
      <c r="D26" s="1">
        <v>1</v>
      </c>
      <c r="E26" s="1" t="s">
        <v>26</v>
      </c>
      <c r="F26" s="1" t="s">
        <v>26</v>
      </c>
      <c r="G26" s="2">
        <v>1268105812.5</v>
      </c>
      <c r="H26" s="1">
        <v>0.28950287228659999</v>
      </c>
      <c r="I26" s="1" t="s">
        <v>26</v>
      </c>
      <c r="J26" s="1" t="s">
        <v>26</v>
      </c>
      <c r="K26" s="2" t="s">
        <v>26</v>
      </c>
      <c r="L26" s="1" t="s">
        <v>26</v>
      </c>
      <c r="M26" s="1" t="s">
        <v>26</v>
      </c>
      <c r="N26" s="1" t="s">
        <v>26</v>
      </c>
      <c r="O26" s="2">
        <v>1268105812.5</v>
      </c>
      <c r="P26" s="1">
        <v>0.93506943562708</v>
      </c>
      <c r="Q26" s="1" t="s">
        <v>26</v>
      </c>
      <c r="R26" s="1" t="s">
        <v>26</v>
      </c>
      <c r="S26" s="2">
        <v>710139255</v>
      </c>
      <c r="T26" s="1">
        <v>0.63958420726233001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>
        <v>1140280746.5999999</v>
      </c>
      <c r="AB26" s="1">
        <v>0.39141856813698001</v>
      </c>
      <c r="AC26" s="1" t="s">
        <v>26</v>
      </c>
      <c r="AD26" s="1" t="s">
        <v>26</v>
      </c>
      <c r="AE26" s="2">
        <v>4406921319.6000004</v>
      </c>
      <c r="AF26" s="1">
        <v>0.44349353275677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>
        <v>557966557.5</v>
      </c>
      <c r="AV26" s="1">
        <v>0.51758428244527999</v>
      </c>
      <c r="AW26" s="1" t="s">
        <v>26</v>
      </c>
      <c r="AX26" s="1" t="s">
        <v>26</v>
      </c>
      <c r="AY26" s="2">
        <v>4964887877.1000004</v>
      </c>
      <c r="AZ26" s="1">
        <v>0.44689378645974998</v>
      </c>
      <c r="BA26" s="1" t="s">
        <v>26</v>
      </c>
      <c r="BB26" s="1" t="s">
        <v>26</v>
      </c>
    </row>
    <row r="27" spans="1:56">
      <c r="A27" s="32" t="s">
        <v>38</v>
      </c>
      <c r="B27" s="31" t="s">
        <v>39</v>
      </c>
      <c r="C27" s="2" t="s">
        <v>26</v>
      </c>
      <c r="D27" s="1" t="s">
        <v>26</v>
      </c>
      <c r="E27" s="1" t="s">
        <v>26</v>
      </c>
      <c r="F27" s="1" t="s">
        <v>26</v>
      </c>
      <c r="G27" s="2">
        <v>3112181686.8400002</v>
      </c>
      <c r="H27" s="1">
        <v>0.71049712771340001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88056376.299999997</v>
      </c>
      <c r="P27" s="1">
        <v>6.4930564372919997E-2</v>
      </c>
      <c r="Q27" s="1" t="s">
        <v>26</v>
      </c>
      <c r="R27" s="1" t="s">
        <v>26</v>
      </c>
      <c r="S27" s="2">
        <v>400174675.42000002</v>
      </c>
      <c r="T27" s="1">
        <v>0.36041579273766999</v>
      </c>
      <c r="U27" s="1" t="s">
        <v>26</v>
      </c>
      <c r="V27" s="1" t="s">
        <v>26</v>
      </c>
      <c r="W27" s="2">
        <v>156579577.90000001</v>
      </c>
      <c r="X27" s="1">
        <v>1</v>
      </c>
      <c r="Y27" s="1" t="s">
        <v>26</v>
      </c>
      <c r="Z27" s="1" t="s">
        <v>26</v>
      </c>
      <c r="AA27" s="2">
        <v>1772919697.6900001</v>
      </c>
      <c r="AB27" s="1">
        <v>0.60858143186302005</v>
      </c>
      <c r="AC27" s="1" t="s">
        <v>26</v>
      </c>
      <c r="AD27" s="1" t="s">
        <v>26</v>
      </c>
      <c r="AE27" s="2">
        <v>5529912014.1499996</v>
      </c>
      <c r="AF27" s="1">
        <v>0.55650646724323005</v>
      </c>
      <c r="AG27" s="1" t="s">
        <v>26</v>
      </c>
      <c r="AH27" s="1" t="s">
        <v>26</v>
      </c>
      <c r="AI27" s="2">
        <v>89398844.099999994</v>
      </c>
      <c r="AJ27" s="1">
        <v>1</v>
      </c>
      <c r="AK27" s="1" t="s">
        <v>26</v>
      </c>
      <c r="AL27" s="1" t="s">
        <v>26</v>
      </c>
      <c r="AM27" s="2">
        <v>5518702.6200000001</v>
      </c>
      <c r="AN27" s="1">
        <v>1</v>
      </c>
      <c r="AO27" s="1" t="s">
        <v>26</v>
      </c>
      <c r="AP27" s="1" t="s">
        <v>26</v>
      </c>
      <c r="AQ27" s="2">
        <v>94917546.719999999</v>
      </c>
      <c r="AR27" s="1">
        <v>1</v>
      </c>
      <c r="AS27" s="1" t="s">
        <v>26</v>
      </c>
      <c r="AT27" s="1" t="s">
        <v>26</v>
      </c>
      <c r="AU27" s="2">
        <v>520054117.44</v>
      </c>
      <c r="AV27" s="1">
        <v>0.48241571755472001</v>
      </c>
      <c r="AW27" s="1" t="s">
        <v>26</v>
      </c>
      <c r="AX27" s="1" t="s">
        <v>26</v>
      </c>
      <c r="AY27" s="2">
        <v>6144883678.3100004</v>
      </c>
      <c r="AZ27" s="1">
        <v>0.55310621354025002</v>
      </c>
      <c r="BA27" s="1" t="s">
        <v>26</v>
      </c>
      <c r="BB27" s="1" t="s">
        <v>26</v>
      </c>
    </row>
    <row r="28" spans="1:56" s="7" customFormat="1">
      <c r="A28" s="34" t="s">
        <v>45</v>
      </c>
      <c r="B28" s="24" t="s">
        <v>25</v>
      </c>
      <c r="C28" s="10">
        <v>33099693.59</v>
      </c>
      <c r="D28" s="11">
        <v>6.2197451456799998E-3</v>
      </c>
      <c r="E28" s="11">
        <v>0.09</v>
      </c>
      <c r="F28" s="11">
        <v>8.3799999999999999E-2</v>
      </c>
      <c r="G28" s="10">
        <v>40228858.350000001</v>
      </c>
      <c r="H28" s="11">
        <v>2.9670862872999999E-4</v>
      </c>
      <c r="I28" s="11">
        <v>0.09</v>
      </c>
      <c r="J28" s="11">
        <v>8.9700000000000002E-2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>
        <v>45699296.969999999</v>
      </c>
      <c r="T28" s="11">
        <v>4.5027997635000002E-4</v>
      </c>
      <c r="U28" s="11">
        <v>0.1099</v>
      </c>
      <c r="V28" s="11">
        <v>0.1094</v>
      </c>
      <c r="W28" s="10" t="s">
        <v>26</v>
      </c>
      <c r="X28" s="11" t="s">
        <v>26</v>
      </c>
      <c r="Y28" s="11" t="s">
        <v>26</v>
      </c>
      <c r="Z28" s="11" t="s">
        <v>26</v>
      </c>
      <c r="AA28" s="10">
        <v>35645823.880000003</v>
      </c>
      <c r="AB28" s="11">
        <v>2.8697986443999997E-4</v>
      </c>
      <c r="AC28" s="11">
        <v>0.09</v>
      </c>
      <c r="AD28" s="11">
        <v>8.9700000000000002E-2</v>
      </c>
      <c r="AE28" s="10">
        <v>154673672.78999999</v>
      </c>
      <c r="AF28" s="11">
        <v>2.6812662780000002E-4</v>
      </c>
      <c r="AG28" s="11">
        <v>9.5899999999999999E-2</v>
      </c>
      <c r="AH28" s="11">
        <v>9.5600000000000004E-2</v>
      </c>
      <c r="AI28" s="10">
        <v>1525620.13</v>
      </c>
      <c r="AJ28" s="11">
        <v>9.6250714640000004E-5</v>
      </c>
      <c r="AK28" s="11">
        <v>0.13500000000000001</v>
      </c>
      <c r="AL28" s="11">
        <v>0.13489999999999999</v>
      </c>
      <c r="AM28" s="10">
        <v>51706793.329999998</v>
      </c>
      <c r="AN28" s="11">
        <v>2.2468542689899999E-3</v>
      </c>
      <c r="AO28" s="11">
        <v>0.13500000000000001</v>
      </c>
      <c r="AP28" s="11">
        <v>0.1328</v>
      </c>
      <c r="AQ28" s="10">
        <v>53232413.460000001</v>
      </c>
      <c r="AR28" s="11">
        <v>1.36972939615E-3</v>
      </c>
      <c r="AS28" s="11">
        <v>0.13500000000000001</v>
      </c>
      <c r="AT28" s="11">
        <v>0.1336</v>
      </c>
      <c r="AU28" s="10">
        <v>4576049.91</v>
      </c>
      <c r="AV28" s="11">
        <v>1.1252509169E-4</v>
      </c>
      <c r="AW28" s="11">
        <v>0.13500000000000001</v>
      </c>
      <c r="AX28" s="11">
        <v>0.13489999999999999</v>
      </c>
      <c r="AY28" s="10">
        <v>212482136.16</v>
      </c>
      <c r="AZ28" s="11">
        <v>3.2370910806999998E-4</v>
      </c>
      <c r="BA28" s="11">
        <v>0.1065</v>
      </c>
      <c r="BB28" s="11">
        <v>0.1062</v>
      </c>
    </row>
    <row r="29" spans="1:56" s="7" customFormat="1">
      <c r="A29" s="32" t="s">
        <v>36</v>
      </c>
      <c r="B29" s="31" t="s">
        <v>46</v>
      </c>
      <c r="C29" s="2">
        <v>33099693.59</v>
      </c>
      <c r="D29" s="1">
        <v>1</v>
      </c>
      <c r="E29" s="1" t="s">
        <v>26</v>
      </c>
      <c r="F29" s="1" t="s">
        <v>26</v>
      </c>
      <c r="G29" s="2">
        <v>40228858.350000001</v>
      </c>
      <c r="H29" s="1">
        <v>1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2">
        <v>25461302.789999999</v>
      </c>
      <c r="T29" s="1">
        <v>0.55714867576003002</v>
      </c>
      <c r="U29" s="1" t="s">
        <v>26</v>
      </c>
      <c r="V29" s="1" t="s">
        <v>26</v>
      </c>
      <c r="W29" s="2" t="s">
        <v>26</v>
      </c>
      <c r="X29" s="1" t="s">
        <v>26</v>
      </c>
      <c r="Y29" s="1" t="s">
        <v>26</v>
      </c>
      <c r="Z29" s="1" t="s">
        <v>26</v>
      </c>
      <c r="AA29" s="2">
        <v>35645823.880000003</v>
      </c>
      <c r="AB29" s="1">
        <v>1</v>
      </c>
      <c r="AC29" s="1" t="s">
        <v>26</v>
      </c>
      <c r="AD29" s="1" t="s">
        <v>26</v>
      </c>
      <c r="AE29" s="2">
        <v>134435678.61000001</v>
      </c>
      <c r="AF29" s="1">
        <v>0.86915682665997995</v>
      </c>
      <c r="AG29" s="1" t="s">
        <v>26</v>
      </c>
      <c r="AH29" s="1" t="s">
        <v>26</v>
      </c>
      <c r="AI29" s="2" t="s">
        <v>26</v>
      </c>
      <c r="AJ29" s="1" t="s">
        <v>26</v>
      </c>
      <c r="AK29" s="1" t="s">
        <v>26</v>
      </c>
      <c r="AL29" s="1" t="s">
        <v>26</v>
      </c>
      <c r="AM29" s="2" t="s">
        <v>26</v>
      </c>
      <c r="AN29" s="1" t="s">
        <v>26</v>
      </c>
      <c r="AO29" s="1" t="s">
        <v>26</v>
      </c>
      <c r="AP29" s="1" t="s">
        <v>26</v>
      </c>
      <c r="AQ29" s="2" t="s">
        <v>26</v>
      </c>
      <c r="AR29" s="1" t="s">
        <v>26</v>
      </c>
      <c r="AS29" s="1" t="s">
        <v>26</v>
      </c>
      <c r="AT29" s="1" t="s">
        <v>26</v>
      </c>
      <c r="AU29" s="2" t="s">
        <v>26</v>
      </c>
      <c r="AV29" s="1" t="s">
        <v>26</v>
      </c>
      <c r="AW29" s="1" t="s">
        <v>26</v>
      </c>
      <c r="AX29" s="1" t="s">
        <v>26</v>
      </c>
      <c r="AY29" s="2">
        <v>134435678.61000001</v>
      </c>
      <c r="AZ29" s="1">
        <v>0.63269167488400002</v>
      </c>
      <c r="BA29" s="1" t="s">
        <v>26</v>
      </c>
      <c r="BB29" s="1" t="s">
        <v>26</v>
      </c>
    </row>
    <row r="30" spans="1:56">
      <c r="A30" s="32" t="s">
        <v>38</v>
      </c>
      <c r="B30" s="31" t="s">
        <v>43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20237994.18</v>
      </c>
      <c r="T30" s="1">
        <v>0.44285132423996998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20237994.18</v>
      </c>
      <c r="AF30" s="1">
        <v>0.13084317334001999</v>
      </c>
      <c r="AG30" s="1" t="s">
        <v>26</v>
      </c>
      <c r="AH30" s="1" t="s">
        <v>26</v>
      </c>
      <c r="AI30" s="2">
        <v>1525620.13</v>
      </c>
      <c r="AJ30" s="1">
        <v>1</v>
      </c>
      <c r="AK30" s="1" t="s">
        <v>26</v>
      </c>
      <c r="AL30" s="1" t="s">
        <v>26</v>
      </c>
      <c r="AM30" s="2">
        <v>51706793.329999998</v>
      </c>
      <c r="AN30" s="1">
        <v>1</v>
      </c>
      <c r="AO30" s="1" t="s">
        <v>26</v>
      </c>
      <c r="AP30" s="1" t="s">
        <v>26</v>
      </c>
      <c r="AQ30" s="2">
        <v>53232413.460000001</v>
      </c>
      <c r="AR30" s="1">
        <v>1</v>
      </c>
      <c r="AS30" s="1" t="s">
        <v>26</v>
      </c>
      <c r="AT30" s="1" t="s">
        <v>26</v>
      </c>
      <c r="AU30" s="2">
        <v>4576049.91</v>
      </c>
      <c r="AV30" s="1">
        <v>1</v>
      </c>
      <c r="AW30" s="1" t="s">
        <v>26</v>
      </c>
      <c r="AX30" s="1" t="s">
        <v>26</v>
      </c>
      <c r="AY30" s="2">
        <v>78046457.549999997</v>
      </c>
      <c r="AZ30" s="1">
        <v>0.36730832511599998</v>
      </c>
      <c r="BA30" s="1" t="s">
        <v>26</v>
      </c>
      <c r="BB30" s="1" t="s">
        <v>26</v>
      </c>
    </row>
    <row r="31" spans="1:56" s="7" customFormat="1">
      <c r="A31" s="34" t="s">
        <v>47</v>
      </c>
      <c r="B31" s="24" t="s">
        <v>25</v>
      </c>
      <c r="C31" s="10" t="s">
        <v>26</v>
      </c>
      <c r="D31" s="11" t="s">
        <v>26</v>
      </c>
      <c r="E31" s="11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>
        <v>8491971.6600000001</v>
      </c>
      <c r="L31" s="11">
        <v>3.3482327029E-3</v>
      </c>
      <c r="M31" s="11">
        <v>0.13500000000000001</v>
      </c>
      <c r="N31" s="11">
        <v>0.13170000000000001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>
        <v>5329570.6399999997</v>
      </c>
      <c r="AB31" s="11">
        <v>4.2907675939999998E-5</v>
      </c>
      <c r="AC31" s="11">
        <v>0.13500000000000001</v>
      </c>
      <c r="AD31" s="11">
        <v>0.13500000000000001</v>
      </c>
      <c r="AE31" s="10">
        <v>13821542.300000001</v>
      </c>
      <c r="AF31" s="11">
        <v>2.3959627140000002E-5</v>
      </c>
      <c r="AG31" s="11">
        <v>0.13500000000000001</v>
      </c>
      <c r="AH31" s="11">
        <v>0.13500000000000001</v>
      </c>
      <c r="AI31" s="10">
        <v>1019962.99</v>
      </c>
      <c r="AJ31" s="11">
        <v>6.4349024220000005E-5</v>
      </c>
      <c r="AK31" s="11">
        <v>0.13500000000000001</v>
      </c>
      <c r="AL31" s="11">
        <v>0.13489999999999999</v>
      </c>
      <c r="AM31" s="10" t="s">
        <v>26</v>
      </c>
      <c r="AN31" s="11" t="s">
        <v>26</v>
      </c>
      <c r="AO31" s="11" t="s">
        <v>26</v>
      </c>
      <c r="AP31" s="11" t="s">
        <v>26</v>
      </c>
      <c r="AQ31" s="10">
        <v>1019962.99</v>
      </c>
      <c r="AR31" s="11">
        <v>2.6244785830000001E-5</v>
      </c>
      <c r="AS31" s="11">
        <v>0.13500000000000001</v>
      </c>
      <c r="AT31" s="11">
        <v>0.13500000000000001</v>
      </c>
      <c r="AU31" s="10" t="s">
        <v>26</v>
      </c>
      <c r="AV31" s="11" t="s">
        <v>26</v>
      </c>
      <c r="AW31" s="11" t="s">
        <v>26</v>
      </c>
      <c r="AX31" s="11" t="s">
        <v>26</v>
      </c>
      <c r="AY31" s="10">
        <v>14841505.289999999</v>
      </c>
      <c r="AZ31" s="11">
        <v>2.2610514590000001E-5</v>
      </c>
      <c r="BA31" s="11">
        <v>0.13500000000000001</v>
      </c>
      <c r="BB31" s="11">
        <v>0.13500000000000001</v>
      </c>
    </row>
    <row r="32" spans="1:56" s="7" customFormat="1">
      <c r="A32" s="32" t="s">
        <v>38</v>
      </c>
      <c r="B32" s="31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>
        <v>8491971.6600000001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>
        <v>5329570.6399999997</v>
      </c>
      <c r="AB32" s="1">
        <v>1</v>
      </c>
      <c r="AC32" s="1" t="s">
        <v>26</v>
      </c>
      <c r="AD32" s="1" t="s">
        <v>26</v>
      </c>
      <c r="AE32" s="2">
        <v>13821542.300000001</v>
      </c>
      <c r="AF32" s="1">
        <v>1</v>
      </c>
      <c r="AG32" s="1" t="s">
        <v>26</v>
      </c>
      <c r="AH32" s="1" t="s">
        <v>26</v>
      </c>
      <c r="AI32" s="2">
        <v>1019962.99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1019962.99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14841505.289999999</v>
      </c>
      <c r="AZ32" s="1">
        <v>1</v>
      </c>
      <c r="BA32" s="1" t="s">
        <v>26</v>
      </c>
      <c r="BB32" s="1" t="s">
        <v>26</v>
      </c>
    </row>
    <row r="33" spans="1:54" s="7" customFormat="1">
      <c r="A33" s="34" t="s">
        <v>48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63744929.539999999</v>
      </c>
      <c r="L33" s="11">
        <v>2.513348681261E-2</v>
      </c>
      <c r="M33" s="11">
        <v>0.13500000000000001</v>
      </c>
      <c r="N33" s="11">
        <v>0.1099</v>
      </c>
      <c r="O33" s="10" t="s">
        <v>26</v>
      </c>
      <c r="P33" s="11" t="s">
        <v>26</v>
      </c>
      <c r="Q33" s="11" t="s">
        <v>26</v>
      </c>
      <c r="R33" s="11" t="s">
        <v>26</v>
      </c>
      <c r="S33" s="10">
        <v>102500000.38</v>
      </c>
      <c r="T33" s="11">
        <v>1.00994327719E-3</v>
      </c>
      <c r="U33" s="11">
        <v>0.13500000000000001</v>
      </c>
      <c r="V33" s="11">
        <v>0.13400000000000001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>
        <v>69239763.689999998</v>
      </c>
      <c r="AB33" s="11">
        <v>5.5744027868999998E-4</v>
      </c>
      <c r="AC33" s="11">
        <v>0.13500000000000001</v>
      </c>
      <c r="AD33" s="11">
        <v>0.13439999999999999</v>
      </c>
      <c r="AE33" s="10">
        <v>235484693.61000001</v>
      </c>
      <c r="AF33" s="11">
        <v>4.0821243626E-4</v>
      </c>
      <c r="AG33" s="11">
        <v>0.13500000000000001</v>
      </c>
      <c r="AH33" s="11">
        <v>0.1346</v>
      </c>
      <c r="AI33" s="10" t="s">
        <v>26</v>
      </c>
      <c r="AJ33" s="11" t="s">
        <v>26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 t="s">
        <v>26</v>
      </c>
      <c r="AR33" s="11" t="s">
        <v>26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235484693.61000001</v>
      </c>
      <c r="AZ33" s="11">
        <v>3.5875270039000001E-4</v>
      </c>
      <c r="BA33" s="11">
        <v>0.13500000000000001</v>
      </c>
      <c r="BB33" s="11">
        <v>0.1346</v>
      </c>
    </row>
    <row r="34" spans="1:54" s="7" customFormat="1">
      <c r="A34" s="32" t="s">
        <v>38</v>
      </c>
      <c r="B34" s="31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63744929.539999999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102500000.38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69239763.689999998</v>
      </c>
      <c r="AB34" s="1">
        <v>1</v>
      </c>
      <c r="AC34" s="1" t="s">
        <v>26</v>
      </c>
      <c r="AD34" s="1" t="s">
        <v>26</v>
      </c>
      <c r="AE34" s="2">
        <v>235484693.61000001</v>
      </c>
      <c r="AF34" s="1">
        <v>1</v>
      </c>
      <c r="AG34" s="1" t="s">
        <v>26</v>
      </c>
      <c r="AH34" s="1" t="s">
        <v>26</v>
      </c>
      <c r="AI34" s="2" t="s">
        <v>26</v>
      </c>
      <c r="AJ34" s="1" t="s">
        <v>26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 t="s">
        <v>26</v>
      </c>
      <c r="AR34" s="1" t="s">
        <v>26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235484693.61000001</v>
      </c>
      <c r="AZ34" s="1">
        <v>1</v>
      </c>
      <c r="BA34" s="1" t="s">
        <v>26</v>
      </c>
      <c r="BB34" s="1" t="s">
        <v>26</v>
      </c>
    </row>
    <row r="35" spans="1:54" s="7" customFormat="1">
      <c r="A35" s="34" t="s">
        <v>49</v>
      </c>
      <c r="B35" s="24" t="s">
        <v>25</v>
      </c>
      <c r="C35" s="10">
        <v>8625709.7699999996</v>
      </c>
      <c r="D35" s="11">
        <v>1.6208523599799999E-3</v>
      </c>
      <c r="E35" s="11">
        <v>0.13500000000000001</v>
      </c>
      <c r="F35" s="11">
        <v>0.13339999999999999</v>
      </c>
      <c r="G35" s="10">
        <v>366949278.77999997</v>
      </c>
      <c r="H35" s="11">
        <v>2.7064406444799998E-3</v>
      </c>
      <c r="I35" s="11">
        <v>0.1018</v>
      </c>
      <c r="J35" s="11">
        <v>9.9099999999999994E-2</v>
      </c>
      <c r="K35" s="10">
        <v>29475042.550000001</v>
      </c>
      <c r="L35" s="11">
        <v>1.1621482658740001E-2</v>
      </c>
      <c r="M35" s="11">
        <v>0.13500000000000001</v>
      </c>
      <c r="N35" s="11">
        <v>0.1234</v>
      </c>
      <c r="O35" s="10">
        <v>1458410921.3599999</v>
      </c>
      <c r="P35" s="11">
        <v>7.2203942343299996E-3</v>
      </c>
      <c r="Q35" s="11">
        <v>0.1176</v>
      </c>
      <c r="R35" s="11">
        <v>0.1104</v>
      </c>
      <c r="S35" s="10">
        <v>525138897.42000002</v>
      </c>
      <c r="T35" s="11">
        <v>5.1742487519499999E-3</v>
      </c>
      <c r="U35" s="11">
        <v>0.13500000000000001</v>
      </c>
      <c r="V35" s="11">
        <v>0.1298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563201415.37</v>
      </c>
      <c r="AB35" s="11">
        <v>4.5342609103799997E-3</v>
      </c>
      <c r="AC35" s="11">
        <v>0.09</v>
      </c>
      <c r="AD35" s="11">
        <v>8.5500000000000007E-2</v>
      </c>
      <c r="AE35" s="10">
        <v>2951801265.25</v>
      </c>
      <c r="AF35" s="11">
        <v>5.1169439821499999E-3</v>
      </c>
      <c r="AG35" s="11">
        <v>0.1137</v>
      </c>
      <c r="AH35" s="11">
        <v>0.1086</v>
      </c>
      <c r="AI35" s="10">
        <v>81107968.480000004</v>
      </c>
      <c r="AJ35" s="11">
        <v>5.1170666772199997E-3</v>
      </c>
      <c r="AK35" s="11">
        <v>0.107</v>
      </c>
      <c r="AL35" s="11">
        <v>0.1019</v>
      </c>
      <c r="AM35" s="10">
        <v>2227183386.5500002</v>
      </c>
      <c r="AN35" s="11">
        <v>9.6779478625989998E-2</v>
      </c>
      <c r="AO35" s="11">
        <v>0.13500000000000001</v>
      </c>
      <c r="AP35" s="11">
        <v>3.8199999999999998E-2</v>
      </c>
      <c r="AQ35" s="10">
        <v>2308291355.0300002</v>
      </c>
      <c r="AR35" s="11">
        <v>5.9394912204160003E-2</v>
      </c>
      <c r="AS35" s="11">
        <v>0.13400000000000001</v>
      </c>
      <c r="AT35" s="11">
        <v>7.46E-2</v>
      </c>
      <c r="AU35" s="10">
        <v>213601954.30000001</v>
      </c>
      <c r="AV35" s="11">
        <v>5.2524731952300003E-3</v>
      </c>
      <c r="AW35" s="11">
        <v>0.13500000000000001</v>
      </c>
      <c r="AX35" s="11">
        <v>0.12970000000000001</v>
      </c>
      <c r="AY35" s="10">
        <v>5473694574.5799999</v>
      </c>
      <c r="AZ35" s="11">
        <v>8.3389823756200004E-3</v>
      </c>
      <c r="BA35" s="11">
        <v>0.1231</v>
      </c>
      <c r="BB35" s="11">
        <v>0.1148</v>
      </c>
    </row>
    <row r="36" spans="1:54" s="7" customFormat="1">
      <c r="A36" s="32" t="s">
        <v>36</v>
      </c>
      <c r="B36" s="31" t="s">
        <v>46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271119621.05000001</v>
      </c>
      <c r="H36" s="1">
        <v>0.73884767385671002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563201415.37</v>
      </c>
      <c r="P36" s="1">
        <v>0.38617471051628999</v>
      </c>
      <c r="Q36" s="1" t="s">
        <v>26</v>
      </c>
      <c r="R36" s="1" t="s">
        <v>26</v>
      </c>
      <c r="S36" s="2" t="s">
        <v>26</v>
      </c>
      <c r="T36" s="1" t="s">
        <v>26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563201415.37</v>
      </c>
      <c r="AB36" s="1">
        <v>1</v>
      </c>
      <c r="AC36" s="1" t="s">
        <v>26</v>
      </c>
      <c r="AD36" s="1" t="s">
        <v>26</v>
      </c>
      <c r="AE36" s="2">
        <v>1397522451.79</v>
      </c>
      <c r="AF36" s="1">
        <v>0.47344733815325002</v>
      </c>
      <c r="AG36" s="1" t="s">
        <v>26</v>
      </c>
      <c r="AH36" s="1" t="s">
        <v>26</v>
      </c>
      <c r="AI36" s="2">
        <v>50427147</v>
      </c>
      <c r="AJ36" s="1">
        <v>0.62172864078620005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50427147</v>
      </c>
      <c r="AR36" s="1">
        <v>2.18460927344E-2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1447949598.79</v>
      </c>
      <c r="AZ36" s="1">
        <v>0.26452875275766002</v>
      </c>
      <c r="BA36" s="1" t="s">
        <v>26</v>
      </c>
      <c r="BB36" s="1" t="s">
        <v>26</v>
      </c>
    </row>
    <row r="37" spans="1:54">
      <c r="A37" s="32" t="s">
        <v>38</v>
      </c>
      <c r="B37" s="31" t="s">
        <v>43</v>
      </c>
      <c r="C37" s="2">
        <v>8625709.7699999996</v>
      </c>
      <c r="D37" s="1">
        <v>1</v>
      </c>
      <c r="E37" s="1" t="s">
        <v>26</v>
      </c>
      <c r="F37" s="1" t="s">
        <v>26</v>
      </c>
      <c r="G37" s="2">
        <v>95829657.730000004</v>
      </c>
      <c r="H37" s="1">
        <v>0.26115232614328998</v>
      </c>
      <c r="I37" s="1" t="s">
        <v>26</v>
      </c>
      <c r="J37" s="1" t="s">
        <v>26</v>
      </c>
      <c r="K37" s="2">
        <v>29475042.550000001</v>
      </c>
      <c r="L37" s="1">
        <v>1</v>
      </c>
      <c r="M37" s="1" t="s">
        <v>26</v>
      </c>
      <c r="N37" s="1" t="s">
        <v>26</v>
      </c>
      <c r="O37" s="2">
        <v>895209505.99000001</v>
      </c>
      <c r="P37" s="1">
        <v>0.61382528948370996</v>
      </c>
      <c r="Q37" s="1" t="s">
        <v>26</v>
      </c>
      <c r="R37" s="1" t="s">
        <v>26</v>
      </c>
      <c r="S37" s="2">
        <v>525138897.42000002</v>
      </c>
      <c r="T37" s="1">
        <v>1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1554278813.46</v>
      </c>
      <c r="AF37" s="1">
        <v>0.52655266184674998</v>
      </c>
      <c r="AG37" s="1" t="s">
        <v>26</v>
      </c>
      <c r="AH37" s="1" t="s">
        <v>26</v>
      </c>
      <c r="AI37" s="2">
        <v>30680821.48</v>
      </c>
      <c r="AJ37" s="1">
        <v>0.37827135921380001</v>
      </c>
      <c r="AK37" s="1" t="s">
        <v>26</v>
      </c>
      <c r="AL37" s="1" t="s">
        <v>26</v>
      </c>
      <c r="AM37" s="2">
        <v>2227183386.5500002</v>
      </c>
      <c r="AN37" s="1">
        <v>1</v>
      </c>
      <c r="AO37" s="1" t="s">
        <v>26</v>
      </c>
      <c r="AP37" s="1" t="s">
        <v>26</v>
      </c>
      <c r="AQ37" s="2">
        <v>2257864208.0300002</v>
      </c>
      <c r="AR37" s="1">
        <v>0.97815390726560003</v>
      </c>
      <c r="AS37" s="1" t="s">
        <v>26</v>
      </c>
      <c r="AT37" s="1" t="s">
        <v>26</v>
      </c>
      <c r="AU37" s="2">
        <v>213601954.30000001</v>
      </c>
      <c r="AV37" s="1">
        <v>1</v>
      </c>
      <c r="AW37" s="1" t="s">
        <v>26</v>
      </c>
      <c r="AX37" s="1" t="s">
        <v>26</v>
      </c>
      <c r="AY37" s="2">
        <v>4025744975.79</v>
      </c>
      <c r="AZ37" s="1">
        <v>0.73547124724234003</v>
      </c>
      <c r="BA37" s="1" t="s">
        <v>26</v>
      </c>
      <c r="BB37" s="1" t="s">
        <v>26</v>
      </c>
    </row>
    <row r="38" spans="1:54" s="7" customFormat="1">
      <c r="A38" s="34" t="s">
        <v>50</v>
      </c>
      <c r="B38" s="24" t="s">
        <v>25</v>
      </c>
      <c r="C38" s="10" t="s">
        <v>26</v>
      </c>
      <c r="D38" s="11" t="s">
        <v>26</v>
      </c>
      <c r="E38" s="11" t="s">
        <v>26</v>
      </c>
      <c r="F38" s="11" t="s">
        <v>26</v>
      </c>
      <c r="G38" s="10">
        <v>85339107.040000007</v>
      </c>
      <c r="H38" s="11">
        <v>6.2942003489999999E-4</v>
      </c>
      <c r="I38" s="11">
        <v>0.13500000000000001</v>
      </c>
      <c r="J38" s="11">
        <v>0.13439999999999999</v>
      </c>
      <c r="K38" s="10" t="s">
        <v>26</v>
      </c>
      <c r="L38" s="11" t="s">
        <v>26</v>
      </c>
      <c r="M38" s="11" t="s">
        <v>26</v>
      </c>
      <c r="N38" s="11" t="s">
        <v>26</v>
      </c>
      <c r="O38" s="10">
        <v>100760295.84</v>
      </c>
      <c r="P38" s="11">
        <v>4.9885052867000004E-4</v>
      </c>
      <c r="Q38" s="11">
        <v>0.13500000000000001</v>
      </c>
      <c r="R38" s="11">
        <v>0.13450000000000001</v>
      </c>
      <c r="S38" s="10">
        <v>200144426.00999999</v>
      </c>
      <c r="T38" s="11">
        <v>1.9720440660199999E-3</v>
      </c>
      <c r="U38" s="11">
        <v>0.13500000000000001</v>
      </c>
      <c r="V38" s="11">
        <v>0.13300000000000001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10">
        <v>386243828.88999999</v>
      </c>
      <c r="AF38" s="11">
        <v>6.6955321793999995E-4</v>
      </c>
      <c r="AG38" s="11">
        <v>0.13500000000000001</v>
      </c>
      <c r="AH38" s="11">
        <v>0.1343</v>
      </c>
      <c r="AI38" s="10">
        <v>86141222.829999998</v>
      </c>
      <c r="AJ38" s="11">
        <v>5.4346125188299999E-3</v>
      </c>
      <c r="AK38" s="11">
        <v>0.13500000000000001</v>
      </c>
      <c r="AL38" s="11">
        <v>0.12959999999999999</v>
      </c>
      <c r="AM38" s="10" t="s">
        <v>26</v>
      </c>
      <c r="AN38" s="11" t="s">
        <v>26</v>
      </c>
      <c r="AO38" s="11" t="s">
        <v>26</v>
      </c>
      <c r="AP38" s="11" t="s">
        <v>26</v>
      </c>
      <c r="AQ38" s="10">
        <v>86141222.829999998</v>
      </c>
      <c r="AR38" s="11">
        <v>2.2165097815699999E-3</v>
      </c>
      <c r="AS38" s="11">
        <v>0.13500000000000001</v>
      </c>
      <c r="AT38" s="11">
        <v>0.1328</v>
      </c>
      <c r="AU38" s="10">
        <v>42560844.890000001</v>
      </c>
      <c r="AV38" s="11">
        <v>1.04657140279E-3</v>
      </c>
      <c r="AW38" s="11">
        <v>0.13500000000000001</v>
      </c>
      <c r="AX38" s="11">
        <v>0.13400000000000001</v>
      </c>
      <c r="AY38" s="10">
        <v>514945896.61000001</v>
      </c>
      <c r="AZ38" s="11">
        <v>7.8450207583000001E-4</v>
      </c>
      <c r="BA38" s="11">
        <v>0.13500000000000001</v>
      </c>
      <c r="BB38" s="11">
        <v>0.13420000000000001</v>
      </c>
    </row>
    <row r="39" spans="1:54" s="7" customFormat="1">
      <c r="A39" s="32" t="s">
        <v>38</v>
      </c>
      <c r="B39" s="31" t="s">
        <v>43</v>
      </c>
      <c r="C39" s="2" t="s">
        <v>26</v>
      </c>
      <c r="D39" s="1" t="s">
        <v>26</v>
      </c>
      <c r="E39" s="1" t="s">
        <v>26</v>
      </c>
      <c r="F39" s="1" t="s">
        <v>26</v>
      </c>
      <c r="G39" s="2">
        <v>85339107.040000007</v>
      </c>
      <c r="H39" s="1">
        <v>1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100760295.84</v>
      </c>
      <c r="P39" s="1">
        <v>1</v>
      </c>
      <c r="Q39" s="1" t="s">
        <v>26</v>
      </c>
      <c r="R39" s="1" t="s">
        <v>26</v>
      </c>
      <c r="S39" s="2">
        <v>200144426.00999999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386243828.88999999</v>
      </c>
      <c r="AF39" s="1">
        <v>1</v>
      </c>
      <c r="AG39" s="1" t="s">
        <v>26</v>
      </c>
      <c r="AH39" s="1" t="s">
        <v>26</v>
      </c>
      <c r="AI39" s="2">
        <v>86141222.829999998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86141222.829999998</v>
      </c>
      <c r="AR39" s="1">
        <v>1</v>
      </c>
      <c r="AS39" s="1" t="s">
        <v>26</v>
      </c>
      <c r="AT39" s="1" t="s">
        <v>26</v>
      </c>
      <c r="AU39" s="2">
        <v>42560844.890000001</v>
      </c>
      <c r="AV39" s="1">
        <v>1</v>
      </c>
      <c r="AW39" s="1" t="s">
        <v>26</v>
      </c>
      <c r="AX39" s="1" t="s">
        <v>26</v>
      </c>
      <c r="AY39" s="2">
        <v>514945896.61000001</v>
      </c>
      <c r="AZ39" s="1">
        <v>1</v>
      </c>
      <c r="BA39" s="1" t="s">
        <v>26</v>
      </c>
      <c r="BB39" s="1" t="s">
        <v>26</v>
      </c>
    </row>
    <row r="40" spans="1:54" s="7" customFormat="1">
      <c r="A40" s="34" t="s">
        <v>51</v>
      </c>
      <c r="B40" s="24" t="s">
        <v>25</v>
      </c>
      <c r="C40" s="10">
        <v>24649991.390000001</v>
      </c>
      <c r="D40" s="11">
        <v>4.6319662709899999E-3</v>
      </c>
      <c r="E40" s="11">
        <v>0.13500000000000001</v>
      </c>
      <c r="F40" s="11">
        <v>0.13039999999999999</v>
      </c>
      <c r="G40" s="10">
        <v>4124127191.5599999</v>
      </c>
      <c r="H40" s="11">
        <v>3.0417570219350001E-2</v>
      </c>
      <c r="I40" s="11">
        <v>0.14019999999999999</v>
      </c>
      <c r="J40" s="11">
        <v>0.10979999999999999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6304025321.4499998</v>
      </c>
      <c r="P40" s="11">
        <v>3.1210372479659999E-2</v>
      </c>
      <c r="Q40" s="11">
        <v>0.05</v>
      </c>
      <c r="R40" s="11">
        <v>1.8800000000000001E-2</v>
      </c>
      <c r="S40" s="10">
        <v>8127596534.9399996</v>
      </c>
      <c r="T40" s="11">
        <v>8.0082062924449998E-2</v>
      </c>
      <c r="U40" s="11">
        <v>0.14599999999999999</v>
      </c>
      <c r="V40" s="11">
        <v>6.59E-2</v>
      </c>
      <c r="W40" s="10">
        <v>611563920.83000004</v>
      </c>
      <c r="X40" s="11">
        <v>0.1065379568134</v>
      </c>
      <c r="Y40" s="11">
        <v>0.15</v>
      </c>
      <c r="Z40" s="11">
        <v>4.3499999999999997E-2</v>
      </c>
      <c r="AA40" s="10">
        <v>3956093923.5</v>
      </c>
      <c r="AB40" s="11">
        <v>3.184999459441E-2</v>
      </c>
      <c r="AC40" s="11">
        <v>0.13500000000000001</v>
      </c>
      <c r="AD40" s="11">
        <v>0.1032</v>
      </c>
      <c r="AE40" s="10">
        <v>23148056883.669998</v>
      </c>
      <c r="AF40" s="11">
        <v>4.012712907326E-2</v>
      </c>
      <c r="AG40" s="11">
        <v>0.14119999999999999</v>
      </c>
      <c r="AH40" s="11">
        <v>0.1011</v>
      </c>
      <c r="AI40" s="10">
        <v>864079433.42999995</v>
      </c>
      <c r="AJ40" s="11">
        <v>5.4514398007210002E-2</v>
      </c>
      <c r="AK40" s="11">
        <v>0.14580000000000001</v>
      </c>
      <c r="AL40" s="11">
        <v>9.1300000000000006E-2</v>
      </c>
      <c r="AM40" s="10">
        <v>635210528.38999999</v>
      </c>
      <c r="AN40" s="11">
        <v>2.7602281934470001E-2</v>
      </c>
      <c r="AO40" s="11">
        <v>0.15</v>
      </c>
      <c r="AP40" s="11">
        <v>0.12239999999999999</v>
      </c>
      <c r="AQ40" s="10">
        <v>1499289961.8199999</v>
      </c>
      <c r="AR40" s="11">
        <v>3.8578403656380003E-2</v>
      </c>
      <c r="AS40" s="11">
        <v>0.14760000000000001</v>
      </c>
      <c r="AT40" s="11">
        <v>0.109</v>
      </c>
      <c r="AU40" s="10">
        <v>1936032525.79</v>
      </c>
      <c r="AV40" s="11">
        <v>4.7607050132679997E-2</v>
      </c>
      <c r="AW40" s="11">
        <v>0.1414</v>
      </c>
      <c r="AX40" s="11">
        <v>9.3799999999999994E-2</v>
      </c>
      <c r="AY40" s="10">
        <v>26583379371.279999</v>
      </c>
      <c r="AZ40" s="11">
        <v>4.0498849367870002E-2</v>
      </c>
      <c r="BA40" s="11">
        <v>0.1416</v>
      </c>
      <c r="BB40" s="11">
        <v>0.1011</v>
      </c>
    </row>
    <row r="41" spans="1:54" s="7" customFormat="1">
      <c r="A41" s="32" t="s">
        <v>36</v>
      </c>
      <c r="B41" s="31" t="s">
        <v>37</v>
      </c>
      <c r="C41" s="2">
        <v>24649991.390000001</v>
      </c>
      <c r="D41" s="1">
        <v>1</v>
      </c>
      <c r="E41" s="1" t="s">
        <v>26</v>
      </c>
      <c r="F41" s="1" t="s">
        <v>26</v>
      </c>
      <c r="G41" s="2">
        <v>2705176915</v>
      </c>
      <c r="H41" s="1">
        <v>0.65593925437996004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4699846204.5100002</v>
      </c>
      <c r="P41" s="1">
        <v>0.74553098454703004</v>
      </c>
      <c r="Q41" s="1" t="s">
        <v>26</v>
      </c>
      <c r="R41" s="1" t="s">
        <v>26</v>
      </c>
      <c r="S41" s="2">
        <v>2164671744.1100001</v>
      </c>
      <c r="T41" s="1">
        <v>0.26633602379304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3956093923.5</v>
      </c>
      <c r="AB41" s="1">
        <v>1</v>
      </c>
      <c r="AC41" s="1" t="s">
        <v>26</v>
      </c>
      <c r="AD41" s="1" t="s">
        <v>26</v>
      </c>
      <c r="AE41" s="2">
        <v>13550438778.51</v>
      </c>
      <c r="AF41" s="1">
        <v>0.58538126317070005</v>
      </c>
      <c r="AG41" s="1" t="s">
        <v>26</v>
      </c>
      <c r="AH41" s="1" t="s">
        <v>26</v>
      </c>
      <c r="AI41" s="2">
        <v>240142255.40000001</v>
      </c>
      <c r="AJ41" s="1">
        <v>0.27791687443218999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240142255.40000001</v>
      </c>
      <c r="AR41" s="1">
        <v>0.16017065512029999</v>
      </c>
      <c r="AS41" s="1" t="s">
        <v>26</v>
      </c>
      <c r="AT41" s="1" t="s">
        <v>26</v>
      </c>
      <c r="AU41" s="2">
        <v>1110330253.5899999</v>
      </c>
      <c r="AV41" s="1">
        <v>0.57350805774140001</v>
      </c>
      <c r="AW41" s="1" t="s">
        <v>26</v>
      </c>
      <c r="AX41" s="1" t="s">
        <v>26</v>
      </c>
      <c r="AY41" s="2">
        <v>14900911287.5</v>
      </c>
      <c r="AZ41" s="1">
        <v>0.56053487705173</v>
      </c>
      <c r="BA41" s="1" t="s">
        <v>26</v>
      </c>
      <c r="BB41" s="1" t="s">
        <v>26</v>
      </c>
    </row>
    <row r="42" spans="1:54">
      <c r="A42" s="32" t="s">
        <v>38</v>
      </c>
      <c r="B42" s="31" t="s">
        <v>39</v>
      </c>
      <c r="C42" s="2" t="s">
        <v>26</v>
      </c>
      <c r="D42" s="1" t="s">
        <v>26</v>
      </c>
      <c r="E42" s="1" t="s">
        <v>26</v>
      </c>
      <c r="F42" s="1" t="s">
        <v>26</v>
      </c>
      <c r="G42" s="2">
        <v>1418950276.5599999</v>
      </c>
      <c r="H42" s="1">
        <v>0.34406074562004002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1604179116.9400001</v>
      </c>
      <c r="P42" s="1">
        <v>0.25446901545297002</v>
      </c>
      <c r="Q42" s="1" t="s">
        <v>26</v>
      </c>
      <c r="R42" s="1" t="s">
        <v>26</v>
      </c>
      <c r="S42" s="2">
        <v>5962924790.8299999</v>
      </c>
      <c r="T42" s="1">
        <v>0.73366397620696</v>
      </c>
      <c r="U42" s="1" t="s">
        <v>26</v>
      </c>
      <c r="V42" s="1" t="s">
        <v>26</v>
      </c>
      <c r="W42" s="2">
        <v>611563920.83000004</v>
      </c>
      <c r="X42" s="1">
        <v>1</v>
      </c>
      <c r="Y42" s="1" t="s">
        <v>26</v>
      </c>
      <c r="Z42" s="1" t="s">
        <v>26</v>
      </c>
      <c r="AA42" s="2" t="s">
        <v>26</v>
      </c>
      <c r="AB42" s="1" t="s">
        <v>26</v>
      </c>
      <c r="AC42" s="1" t="s">
        <v>26</v>
      </c>
      <c r="AD42" s="1" t="s">
        <v>26</v>
      </c>
      <c r="AE42" s="2">
        <v>9597618105.1599998</v>
      </c>
      <c r="AF42" s="1">
        <v>0.41461873682930001</v>
      </c>
      <c r="AG42" s="1" t="s">
        <v>26</v>
      </c>
      <c r="AH42" s="1" t="s">
        <v>26</v>
      </c>
      <c r="AI42" s="2">
        <v>623937178.02999997</v>
      </c>
      <c r="AJ42" s="1">
        <v>0.72208312556780996</v>
      </c>
      <c r="AK42" s="1" t="s">
        <v>26</v>
      </c>
      <c r="AL42" s="1" t="s">
        <v>26</v>
      </c>
      <c r="AM42" s="2">
        <v>635210528.38999999</v>
      </c>
      <c r="AN42" s="1">
        <v>1</v>
      </c>
      <c r="AO42" s="1" t="s">
        <v>26</v>
      </c>
      <c r="AP42" s="1" t="s">
        <v>26</v>
      </c>
      <c r="AQ42" s="2">
        <v>1259147706.4200001</v>
      </c>
      <c r="AR42" s="1">
        <v>0.83982934487969996</v>
      </c>
      <c r="AS42" s="1" t="s">
        <v>26</v>
      </c>
      <c r="AT42" s="1" t="s">
        <v>26</v>
      </c>
      <c r="AU42" s="2">
        <v>825702272.20000005</v>
      </c>
      <c r="AV42" s="1">
        <v>0.42649194225859999</v>
      </c>
      <c r="AW42" s="1" t="s">
        <v>26</v>
      </c>
      <c r="AX42" s="1" t="s">
        <v>26</v>
      </c>
      <c r="AY42" s="2">
        <v>11682468083.780001</v>
      </c>
      <c r="AZ42" s="1">
        <v>0.43946512294827</v>
      </c>
      <c r="BA42" s="1" t="s">
        <v>26</v>
      </c>
      <c r="BB42" s="1" t="s">
        <v>26</v>
      </c>
    </row>
    <row r="43" spans="1:54" s="7" customFormat="1">
      <c r="A43" s="34" t="s">
        <v>52</v>
      </c>
      <c r="B43" s="24" t="s">
        <v>25</v>
      </c>
      <c r="C43" s="10" t="s">
        <v>26</v>
      </c>
      <c r="D43" s="11" t="s">
        <v>26</v>
      </c>
      <c r="E43" s="11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>
        <v>73775251.510000005</v>
      </c>
      <c r="L43" s="11">
        <v>2.9088263557649999E-2</v>
      </c>
      <c r="M43" s="11">
        <v>0.15</v>
      </c>
      <c r="N43" s="11">
        <v>0.12089999999999999</v>
      </c>
      <c r="O43" s="10" t="s">
        <v>26</v>
      </c>
      <c r="P43" s="11" t="s">
        <v>26</v>
      </c>
      <c r="Q43" s="11" t="s">
        <v>26</v>
      </c>
      <c r="R43" s="11" t="s">
        <v>26</v>
      </c>
      <c r="S43" s="10" t="s">
        <v>26</v>
      </c>
      <c r="T43" s="11" t="s">
        <v>26</v>
      </c>
      <c r="U43" s="11" t="s">
        <v>26</v>
      </c>
      <c r="V43" s="11" t="s">
        <v>26</v>
      </c>
      <c r="W43" s="10" t="s">
        <v>26</v>
      </c>
      <c r="X43" s="11" t="s">
        <v>26</v>
      </c>
      <c r="Y43" s="11" t="s">
        <v>26</v>
      </c>
      <c r="Z43" s="11" t="s">
        <v>26</v>
      </c>
      <c r="AA43" s="10">
        <v>222711663.93000001</v>
      </c>
      <c r="AB43" s="11">
        <v>1.7930224684900001E-3</v>
      </c>
      <c r="AC43" s="11">
        <v>0.15</v>
      </c>
      <c r="AD43" s="11">
        <v>0.1482</v>
      </c>
      <c r="AE43" s="10">
        <v>296486915.44</v>
      </c>
      <c r="AF43" s="11">
        <v>5.1395971523999996E-4</v>
      </c>
      <c r="AG43" s="11">
        <v>0.15</v>
      </c>
      <c r="AH43" s="11">
        <v>0.14949999999999999</v>
      </c>
      <c r="AI43" s="10" t="s">
        <v>26</v>
      </c>
      <c r="AJ43" s="11" t="s">
        <v>26</v>
      </c>
      <c r="AK43" s="11" t="s">
        <v>26</v>
      </c>
      <c r="AL43" s="11" t="s">
        <v>26</v>
      </c>
      <c r="AM43" s="10">
        <v>118685569.53</v>
      </c>
      <c r="AN43" s="11">
        <v>5.1573335222000003E-3</v>
      </c>
      <c r="AO43" s="11">
        <v>0.15</v>
      </c>
      <c r="AP43" s="11">
        <v>0.14480000000000001</v>
      </c>
      <c r="AQ43" s="10">
        <v>118685569.53</v>
      </c>
      <c r="AR43" s="11">
        <v>3.05391213582E-3</v>
      </c>
      <c r="AS43" s="11">
        <v>0.15</v>
      </c>
      <c r="AT43" s="11">
        <v>0.1469</v>
      </c>
      <c r="AU43" s="10" t="s">
        <v>26</v>
      </c>
      <c r="AV43" s="11" t="s">
        <v>26</v>
      </c>
      <c r="AW43" s="11" t="s">
        <v>26</v>
      </c>
      <c r="AX43" s="11" t="s">
        <v>26</v>
      </c>
      <c r="AY43" s="10">
        <v>415172484.97000003</v>
      </c>
      <c r="AZ43" s="11">
        <v>6.3250077034000005E-4</v>
      </c>
      <c r="BA43" s="11">
        <v>0.15</v>
      </c>
      <c r="BB43" s="11">
        <v>0.14940000000000001</v>
      </c>
    </row>
    <row r="44" spans="1:54" s="7" customFormat="1">
      <c r="A44" s="32" t="s">
        <v>38</v>
      </c>
      <c r="B44" s="31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73775251.510000005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222711663.93000001</v>
      </c>
      <c r="AB44" s="1">
        <v>1</v>
      </c>
      <c r="AC44" s="1" t="s">
        <v>26</v>
      </c>
      <c r="AD44" s="1" t="s">
        <v>26</v>
      </c>
      <c r="AE44" s="2">
        <v>296486915.44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118685569.53</v>
      </c>
      <c r="AN44" s="1">
        <v>1</v>
      </c>
      <c r="AO44" s="1" t="s">
        <v>26</v>
      </c>
      <c r="AP44" s="1" t="s">
        <v>26</v>
      </c>
      <c r="AQ44" s="2">
        <v>118685569.53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415172484.97000003</v>
      </c>
      <c r="AZ44" s="1">
        <v>1</v>
      </c>
      <c r="BA44" s="1" t="s">
        <v>26</v>
      </c>
      <c r="BB44" s="1" t="s">
        <v>26</v>
      </c>
    </row>
    <row r="45" spans="1:54" s="7" customFormat="1">
      <c r="A45" s="34" t="s">
        <v>53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>
        <v>2449739033.5999999</v>
      </c>
      <c r="P45" s="11">
        <v>1.2128324969839999E-2</v>
      </c>
      <c r="Q45" s="11">
        <v>0.15</v>
      </c>
      <c r="R45" s="11">
        <v>0.13789999999999999</v>
      </c>
      <c r="S45" s="10">
        <v>148116292.06999999</v>
      </c>
      <c r="T45" s="11">
        <v>1.4594053938E-3</v>
      </c>
      <c r="U45" s="11">
        <v>0.15</v>
      </c>
      <c r="V45" s="11">
        <v>0.14849999999999999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 t="s">
        <v>26</v>
      </c>
      <c r="AB45" s="11" t="s">
        <v>26</v>
      </c>
      <c r="AC45" s="11" t="s">
        <v>26</v>
      </c>
      <c r="AD45" s="11" t="s">
        <v>26</v>
      </c>
      <c r="AE45" s="10">
        <v>2597855325.6700001</v>
      </c>
      <c r="AF45" s="11">
        <v>4.5033791169000002E-3</v>
      </c>
      <c r="AG45" s="11">
        <v>0.15</v>
      </c>
      <c r="AH45" s="11">
        <v>0.14549999999999999</v>
      </c>
      <c r="AI45" s="10" t="s">
        <v>26</v>
      </c>
      <c r="AJ45" s="11" t="s">
        <v>26</v>
      </c>
      <c r="AK45" s="11" t="s">
        <v>26</v>
      </c>
      <c r="AL45" s="11" t="s">
        <v>26</v>
      </c>
      <c r="AM45" s="10" t="s">
        <v>26</v>
      </c>
      <c r="AN45" s="11" t="s">
        <v>26</v>
      </c>
      <c r="AO45" s="11" t="s">
        <v>26</v>
      </c>
      <c r="AP45" s="11" t="s">
        <v>26</v>
      </c>
      <c r="AQ45" s="10" t="s">
        <v>26</v>
      </c>
      <c r="AR45" s="11" t="s">
        <v>26</v>
      </c>
      <c r="AS45" s="11" t="s">
        <v>26</v>
      </c>
      <c r="AT45" s="11" t="s">
        <v>26</v>
      </c>
      <c r="AU45" s="10">
        <v>11072219.050000001</v>
      </c>
      <c r="AV45" s="11">
        <v>2.7226592547999998E-4</v>
      </c>
      <c r="AW45" s="11">
        <v>0.15</v>
      </c>
      <c r="AX45" s="11">
        <v>0.1497</v>
      </c>
      <c r="AY45" s="10">
        <v>2608927544.7199998</v>
      </c>
      <c r="AZ45" s="11">
        <v>3.9746099308699996E-3</v>
      </c>
      <c r="BA45" s="11">
        <v>0.15</v>
      </c>
      <c r="BB45" s="11">
        <v>0.14599999999999999</v>
      </c>
    </row>
    <row r="46" spans="1:54" s="7" customFormat="1">
      <c r="A46" s="32" t="s">
        <v>38</v>
      </c>
      <c r="B46" s="31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2449739033.5999999</v>
      </c>
      <c r="P46" s="1">
        <v>1</v>
      </c>
      <c r="Q46" s="1" t="s">
        <v>26</v>
      </c>
      <c r="R46" s="1" t="s">
        <v>26</v>
      </c>
      <c r="S46" s="2">
        <v>148116292.06999999</v>
      </c>
      <c r="T46" s="1">
        <v>1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2597855325.6700001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>
        <v>11072219.050000001</v>
      </c>
      <c r="AV46" s="1">
        <v>1</v>
      </c>
      <c r="AW46" s="1" t="s">
        <v>26</v>
      </c>
      <c r="AX46" s="1" t="s">
        <v>26</v>
      </c>
      <c r="AY46" s="2">
        <v>2608927544.7199998</v>
      </c>
      <c r="AZ46" s="1">
        <v>1</v>
      </c>
      <c r="BA46" s="1" t="s">
        <v>26</v>
      </c>
      <c r="BB46" s="1" t="s">
        <v>26</v>
      </c>
    </row>
    <row r="47" spans="1:54" s="7" customFormat="1">
      <c r="A47" s="33" t="s">
        <v>54</v>
      </c>
      <c r="B47" s="25" t="s">
        <v>25</v>
      </c>
      <c r="C47" s="55">
        <v>73636876.379999995</v>
      </c>
      <c r="D47" s="56">
        <v>1.3837064780140001E-2</v>
      </c>
      <c r="E47" s="56" t="s">
        <v>26</v>
      </c>
      <c r="F47" s="56" t="s">
        <v>26</v>
      </c>
      <c r="G47" s="55">
        <v>1415546496.3800001</v>
      </c>
      <c r="H47" s="56">
        <v>1.0440387251029999E-2</v>
      </c>
      <c r="I47" s="56" t="s">
        <v>26</v>
      </c>
      <c r="J47" s="56" t="s">
        <v>26</v>
      </c>
      <c r="K47" s="55">
        <v>99170414.209999993</v>
      </c>
      <c r="L47" s="56">
        <v>3.9101122485110003E-2</v>
      </c>
      <c r="M47" s="56" t="s">
        <v>26</v>
      </c>
      <c r="N47" s="56" t="s">
        <v>26</v>
      </c>
      <c r="O47" s="55">
        <v>3711813652.4099998</v>
      </c>
      <c r="P47" s="56">
        <v>1.8376684857629999E-2</v>
      </c>
      <c r="Q47" s="56" t="s">
        <v>26</v>
      </c>
      <c r="R47" s="56" t="s">
        <v>26</v>
      </c>
      <c r="S47" s="55">
        <v>1995617809.9300001</v>
      </c>
      <c r="T47" s="56">
        <v>1.9663032034249999E-2</v>
      </c>
      <c r="U47" s="56" t="s">
        <v>26</v>
      </c>
      <c r="V47" s="56" t="s">
        <v>26</v>
      </c>
      <c r="W47" s="55">
        <v>155610714.40000001</v>
      </c>
      <c r="X47" s="56">
        <v>2.7108282561779998E-2</v>
      </c>
      <c r="Y47" s="56" t="s">
        <v>26</v>
      </c>
      <c r="Z47" s="56" t="s">
        <v>26</v>
      </c>
      <c r="AA47" s="55">
        <v>2581981893.0700002</v>
      </c>
      <c r="AB47" s="56">
        <v>2.0787198415250001E-2</v>
      </c>
      <c r="AC47" s="56" t="s">
        <v>26</v>
      </c>
      <c r="AD47" s="56" t="s">
        <v>26</v>
      </c>
      <c r="AE47" s="55">
        <v>10033377856.780001</v>
      </c>
      <c r="AF47" s="56">
        <v>1.7392848580040001E-2</v>
      </c>
      <c r="AG47" s="56" t="s">
        <v>26</v>
      </c>
      <c r="AH47" s="56" t="s">
        <v>26</v>
      </c>
      <c r="AI47" s="55">
        <v>210128589.74000001</v>
      </c>
      <c r="AJ47" s="56">
        <v>1.325692191088E-2</v>
      </c>
      <c r="AK47" s="56" t="s">
        <v>26</v>
      </c>
      <c r="AL47" s="56" t="s">
        <v>26</v>
      </c>
      <c r="AM47" s="55">
        <v>237354145.97</v>
      </c>
      <c r="AN47" s="56">
        <v>1.0313928630850001E-2</v>
      </c>
      <c r="AO47" s="56" t="s">
        <v>26</v>
      </c>
      <c r="AP47" s="56" t="s">
        <v>26</v>
      </c>
      <c r="AQ47" s="55">
        <v>447482735.70999998</v>
      </c>
      <c r="AR47" s="56">
        <v>1.151423010031E-2</v>
      </c>
      <c r="AS47" s="56" t="s">
        <v>26</v>
      </c>
      <c r="AT47" s="56" t="s">
        <v>26</v>
      </c>
      <c r="AU47" s="55">
        <v>726991386.41999996</v>
      </c>
      <c r="AV47" s="56">
        <v>1.7876722068599998E-2</v>
      </c>
      <c r="AW47" s="56" t="s">
        <v>26</v>
      </c>
      <c r="AX47" s="56" t="s">
        <v>26</v>
      </c>
      <c r="AY47" s="55">
        <v>11207851978.91</v>
      </c>
      <c r="AZ47" s="56">
        <v>1.707477076905E-2</v>
      </c>
      <c r="BA47" s="56" t="s">
        <v>26</v>
      </c>
      <c r="BB47" s="56" t="s">
        <v>26</v>
      </c>
    </row>
    <row r="48" spans="1:54" s="7" customFormat="1">
      <c r="A48" s="34" t="s">
        <v>55</v>
      </c>
      <c r="B48" s="24" t="s">
        <v>25</v>
      </c>
      <c r="C48" s="10">
        <v>36346934.049999997</v>
      </c>
      <c r="D48" s="11">
        <v>6.8299323074700003E-3</v>
      </c>
      <c r="E48" s="11">
        <v>0.12</v>
      </c>
      <c r="F48" s="11">
        <v>0.1132</v>
      </c>
      <c r="G48" s="10" t="s">
        <v>26</v>
      </c>
      <c r="H48" s="11" t="s">
        <v>26</v>
      </c>
      <c r="I48" s="11" t="s">
        <v>26</v>
      </c>
      <c r="J48" s="11" t="s">
        <v>26</v>
      </c>
      <c r="K48" s="10">
        <v>31154514.899999999</v>
      </c>
      <c r="L48" s="11">
        <v>1.228366859989E-2</v>
      </c>
      <c r="M48" s="11">
        <v>0.12</v>
      </c>
      <c r="N48" s="11">
        <v>0.1077</v>
      </c>
      <c r="O48" s="10">
        <v>833902515.49000001</v>
      </c>
      <c r="P48" s="11">
        <v>4.12853800438E-3</v>
      </c>
      <c r="Q48" s="11">
        <v>0.12</v>
      </c>
      <c r="R48" s="11">
        <v>0.1159</v>
      </c>
      <c r="S48" s="10">
        <v>311545149</v>
      </c>
      <c r="T48" s="11">
        <v>3.0696870986100001E-3</v>
      </c>
      <c r="U48" s="11">
        <v>0.12</v>
      </c>
      <c r="V48" s="11">
        <v>0.1169</v>
      </c>
      <c r="W48" s="10" t="s">
        <v>26</v>
      </c>
      <c r="X48" s="11" t="s">
        <v>26</v>
      </c>
      <c r="Y48" s="11" t="s">
        <v>26</v>
      </c>
      <c r="Z48" s="11" t="s">
        <v>26</v>
      </c>
      <c r="AA48" s="10">
        <v>913865770.39999998</v>
      </c>
      <c r="AB48" s="11">
        <v>7.3574137545999998E-3</v>
      </c>
      <c r="AC48" s="11">
        <v>0.12</v>
      </c>
      <c r="AD48" s="11">
        <v>0.11260000000000001</v>
      </c>
      <c r="AE48" s="10">
        <v>2126814883.8399999</v>
      </c>
      <c r="AF48" s="11">
        <v>3.6868310712900002E-3</v>
      </c>
      <c r="AG48" s="11">
        <v>0.12</v>
      </c>
      <c r="AH48" s="11">
        <v>0.1163</v>
      </c>
      <c r="AI48" s="10" t="s">
        <v>26</v>
      </c>
      <c r="AJ48" s="11" t="s">
        <v>26</v>
      </c>
      <c r="AK48" s="11" t="s">
        <v>26</v>
      </c>
      <c r="AL48" s="11" t="s">
        <v>26</v>
      </c>
      <c r="AM48" s="10" t="s">
        <v>26</v>
      </c>
      <c r="AN48" s="11" t="s">
        <v>26</v>
      </c>
      <c r="AO48" s="11" t="s">
        <v>26</v>
      </c>
      <c r="AP48" s="11" t="s">
        <v>26</v>
      </c>
      <c r="AQ48" s="10" t="s">
        <v>26</v>
      </c>
      <c r="AR48" s="11" t="s">
        <v>26</v>
      </c>
      <c r="AS48" s="11" t="s">
        <v>26</v>
      </c>
      <c r="AT48" s="11" t="s">
        <v>26</v>
      </c>
      <c r="AU48" s="10">
        <v>207696766</v>
      </c>
      <c r="AV48" s="11">
        <v>5.1072645834399997E-3</v>
      </c>
      <c r="AW48" s="11">
        <v>0.12</v>
      </c>
      <c r="AX48" s="11">
        <v>0.1149</v>
      </c>
      <c r="AY48" s="10">
        <v>2334511649.8400002</v>
      </c>
      <c r="AZ48" s="11">
        <v>3.5565469060200002E-3</v>
      </c>
      <c r="BA48" s="11">
        <v>0.12</v>
      </c>
      <c r="BB48" s="11">
        <v>0.1164</v>
      </c>
    </row>
    <row r="49" spans="1:54">
      <c r="A49" s="32" t="s">
        <v>36</v>
      </c>
      <c r="B49" s="31" t="s">
        <v>56</v>
      </c>
      <c r="C49" s="2">
        <v>36346934.049999997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31154514.899999999</v>
      </c>
      <c r="L49" s="1">
        <v>1</v>
      </c>
      <c r="M49" s="1" t="s">
        <v>26</v>
      </c>
      <c r="N49" s="1" t="s">
        <v>26</v>
      </c>
      <c r="O49" s="2">
        <v>833902515.49000001</v>
      </c>
      <c r="P49" s="1">
        <v>1</v>
      </c>
      <c r="Q49" s="1" t="s">
        <v>26</v>
      </c>
      <c r="R49" s="1" t="s">
        <v>26</v>
      </c>
      <c r="S49" s="2">
        <v>311545149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913865770.39999998</v>
      </c>
      <c r="AB49" s="1">
        <v>1</v>
      </c>
      <c r="AC49" s="1" t="s">
        <v>26</v>
      </c>
      <c r="AD49" s="1" t="s">
        <v>26</v>
      </c>
      <c r="AE49" s="2">
        <v>2126814883.8399999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207696766</v>
      </c>
      <c r="AV49" s="1">
        <v>1</v>
      </c>
      <c r="AW49" s="1" t="s">
        <v>26</v>
      </c>
      <c r="AX49" s="1" t="s">
        <v>26</v>
      </c>
      <c r="AY49" s="2">
        <v>2334511649.8400002</v>
      </c>
      <c r="AZ49" s="1">
        <v>1</v>
      </c>
      <c r="BA49" s="1" t="s">
        <v>26</v>
      </c>
      <c r="BB49" s="1" t="s">
        <v>26</v>
      </c>
    </row>
    <row r="50" spans="1:54" s="8" customFormat="1">
      <c r="A50" s="34" t="s">
        <v>57</v>
      </c>
      <c r="B50" s="24" t="s">
        <v>25</v>
      </c>
      <c r="C50" s="10">
        <v>32277585.129999999</v>
      </c>
      <c r="D50" s="11">
        <v>6.06526319891E-3</v>
      </c>
      <c r="E50" s="11">
        <v>0.09</v>
      </c>
      <c r="F50" s="11">
        <v>8.3900000000000002E-2</v>
      </c>
      <c r="G50" s="10" t="s">
        <v>26</v>
      </c>
      <c r="H50" s="11" t="s">
        <v>26</v>
      </c>
      <c r="I50" s="11" t="s">
        <v>26</v>
      </c>
      <c r="J50" s="11" t="s">
        <v>26</v>
      </c>
      <c r="K50" s="10">
        <v>16011839.810000001</v>
      </c>
      <c r="L50" s="11">
        <v>6.3131823599800003E-3</v>
      </c>
      <c r="M50" s="11">
        <v>0.09</v>
      </c>
      <c r="N50" s="11">
        <v>8.3699999999999997E-2</v>
      </c>
      <c r="O50" s="10">
        <v>373509731.92000002</v>
      </c>
      <c r="P50" s="11">
        <v>1.8491959127000001E-3</v>
      </c>
      <c r="Q50" s="11">
        <v>0.09</v>
      </c>
      <c r="R50" s="11">
        <v>8.8200000000000001E-2</v>
      </c>
      <c r="S50" s="10">
        <v>282732489.30000001</v>
      </c>
      <c r="T50" s="11">
        <v>2.7857929341799999E-3</v>
      </c>
      <c r="U50" s="11">
        <v>0.09</v>
      </c>
      <c r="V50" s="11">
        <v>8.72E-2</v>
      </c>
      <c r="W50" s="10" t="s">
        <v>26</v>
      </c>
      <c r="X50" s="11" t="s">
        <v>26</v>
      </c>
      <c r="Y50" s="11" t="s">
        <v>26</v>
      </c>
      <c r="Z50" s="11" t="s">
        <v>26</v>
      </c>
      <c r="AA50" s="10">
        <v>102153860.27</v>
      </c>
      <c r="AB50" s="11">
        <v>8.2242736404E-4</v>
      </c>
      <c r="AC50" s="11">
        <v>0.09</v>
      </c>
      <c r="AD50" s="11">
        <v>8.9200000000000002E-2</v>
      </c>
      <c r="AE50" s="10">
        <v>806685506.42999995</v>
      </c>
      <c r="AF50" s="11">
        <v>1.39838836585E-3</v>
      </c>
      <c r="AG50" s="11">
        <v>0.09</v>
      </c>
      <c r="AH50" s="11">
        <v>8.8599999999999998E-2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10" t="s">
        <v>26</v>
      </c>
      <c r="AV50" s="11" t="s">
        <v>26</v>
      </c>
      <c r="AW50" s="11" t="s">
        <v>26</v>
      </c>
      <c r="AX50" s="11" t="s">
        <v>26</v>
      </c>
      <c r="AY50" s="10">
        <v>806685506.42999995</v>
      </c>
      <c r="AZ50" s="11">
        <v>1.2289571749300001E-3</v>
      </c>
      <c r="BA50" s="11">
        <v>0.09</v>
      </c>
      <c r="BB50" s="11">
        <v>8.8800000000000004E-2</v>
      </c>
    </row>
    <row r="51" spans="1:54" s="8" customFormat="1">
      <c r="A51" s="32" t="s">
        <v>36</v>
      </c>
      <c r="B51" s="31" t="s">
        <v>46</v>
      </c>
      <c r="C51" s="2">
        <v>32277585.129999999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16011839.810000001</v>
      </c>
      <c r="L51" s="1">
        <v>1</v>
      </c>
      <c r="M51" s="1" t="s">
        <v>26</v>
      </c>
      <c r="N51" s="1" t="s">
        <v>26</v>
      </c>
      <c r="O51" s="2">
        <v>373509731.92000002</v>
      </c>
      <c r="P51" s="1">
        <v>1</v>
      </c>
      <c r="Q51" s="1" t="s">
        <v>26</v>
      </c>
      <c r="R51" s="1" t="s">
        <v>26</v>
      </c>
      <c r="S51" s="2">
        <v>282732489.30000001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102153860.27</v>
      </c>
      <c r="AB51" s="1">
        <v>1</v>
      </c>
      <c r="AC51" s="1" t="s">
        <v>26</v>
      </c>
      <c r="AD51" s="1" t="s">
        <v>26</v>
      </c>
      <c r="AE51" s="2">
        <v>806685506.42999995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806685506.42999995</v>
      </c>
      <c r="AZ51" s="1">
        <v>1</v>
      </c>
      <c r="BA51" s="1" t="s">
        <v>26</v>
      </c>
      <c r="BB51" s="1" t="s">
        <v>26</v>
      </c>
    </row>
    <row r="52" spans="1:54" s="7" customFormat="1">
      <c r="A52" s="34" t="s">
        <v>58</v>
      </c>
      <c r="B52" s="24" t="s">
        <v>25</v>
      </c>
      <c r="C52" s="10">
        <v>5012357.2</v>
      </c>
      <c r="D52" s="11">
        <v>9.4186927375000001E-4</v>
      </c>
      <c r="E52" s="11">
        <v>0.12</v>
      </c>
      <c r="F52" s="11">
        <v>0.1191</v>
      </c>
      <c r="G52" s="10">
        <v>80197708</v>
      </c>
      <c r="H52" s="11">
        <v>5.9149955886999997E-4</v>
      </c>
      <c r="I52" s="11">
        <v>0.12</v>
      </c>
      <c r="J52" s="11">
        <v>0.11940000000000001</v>
      </c>
      <c r="K52" s="10" t="s">
        <v>26</v>
      </c>
      <c r="L52" s="11" t="s">
        <v>26</v>
      </c>
      <c r="M52" s="11" t="s">
        <v>26</v>
      </c>
      <c r="N52" s="11" t="s">
        <v>26</v>
      </c>
      <c r="O52" s="10">
        <v>260642551</v>
      </c>
      <c r="P52" s="11">
        <v>1.2904058416600001E-3</v>
      </c>
      <c r="Q52" s="11">
        <v>0.12</v>
      </c>
      <c r="R52" s="11">
        <v>0.1187</v>
      </c>
      <c r="S52" s="10">
        <v>139343522.59999999</v>
      </c>
      <c r="T52" s="11">
        <v>1.37296637413E-3</v>
      </c>
      <c r="U52" s="11">
        <v>0.12</v>
      </c>
      <c r="V52" s="11">
        <v>0.1186</v>
      </c>
      <c r="W52" s="10" t="s">
        <v>26</v>
      </c>
      <c r="X52" s="11" t="s">
        <v>26</v>
      </c>
      <c r="Y52" s="11" t="s">
        <v>26</v>
      </c>
      <c r="Z52" s="11" t="s">
        <v>26</v>
      </c>
      <c r="AA52" s="10">
        <v>133629435.45999999</v>
      </c>
      <c r="AB52" s="11">
        <v>1.0758331018800001E-3</v>
      </c>
      <c r="AC52" s="11">
        <v>0.12</v>
      </c>
      <c r="AD52" s="11">
        <v>0.11890000000000001</v>
      </c>
      <c r="AE52" s="10">
        <v>618825574.25999999</v>
      </c>
      <c r="AF52" s="11">
        <v>1.07273339689E-3</v>
      </c>
      <c r="AG52" s="11">
        <v>0.12</v>
      </c>
      <c r="AH52" s="11">
        <v>0.11890000000000001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10">
        <v>618825574.25999999</v>
      </c>
      <c r="AZ52" s="11">
        <v>9.4275913407999997E-4</v>
      </c>
      <c r="BA52" s="11">
        <v>0.12</v>
      </c>
      <c r="BB52" s="11">
        <v>0.1191</v>
      </c>
    </row>
    <row r="53" spans="1:54" s="7" customFormat="1">
      <c r="A53" s="32" t="s">
        <v>36</v>
      </c>
      <c r="B53" s="31" t="s">
        <v>56</v>
      </c>
      <c r="C53" s="2">
        <v>5012357.2</v>
      </c>
      <c r="D53" s="1">
        <v>1</v>
      </c>
      <c r="E53" s="1" t="s">
        <v>26</v>
      </c>
      <c r="F53" s="1" t="s">
        <v>26</v>
      </c>
      <c r="G53" s="2">
        <v>80197708</v>
      </c>
      <c r="H53" s="1">
        <v>1</v>
      </c>
      <c r="I53" s="1" t="s">
        <v>26</v>
      </c>
      <c r="J53" s="1" t="s">
        <v>26</v>
      </c>
      <c r="K53" s="2" t="s">
        <v>26</v>
      </c>
      <c r="L53" s="1" t="s">
        <v>26</v>
      </c>
      <c r="M53" s="1" t="s">
        <v>26</v>
      </c>
      <c r="N53" s="1" t="s">
        <v>26</v>
      </c>
      <c r="O53" s="2">
        <v>260642551</v>
      </c>
      <c r="P53" s="1">
        <v>1</v>
      </c>
      <c r="Q53" s="1" t="s">
        <v>26</v>
      </c>
      <c r="R53" s="1" t="s">
        <v>26</v>
      </c>
      <c r="S53" s="2">
        <v>139343522.59999999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133629435.45999999</v>
      </c>
      <c r="AB53" s="1">
        <v>1</v>
      </c>
      <c r="AC53" s="1" t="s">
        <v>26</v>
      </c>
      <c r="AD53" s="1" t="s">
        <v>26</v>
      </c>
      <c r="AE53" s="2">
        <v>618825574.25999999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618825574.25999999</v>
      </c>
      <c r="AZ53" s="1">
        <v>1</v>
      </c>
      <c r="BA53" s="1" t="s">
        <v>26</v>
      </c>
      <c r="BB53" s="1" t="s">
        <v>26</v>
      </c>
    </row>
    <row r="54" spans="1:54" s="7" customFormat="1">
      <c r="A54" s="34" t="s">
        <v>59</v>
      </c>
      <c r="B54" s="24" t="s">
        <v>25</v>
      </c>
      <c r="C54" s="10" t="s">
        <v>26</v>
      </c>
      <c r="D54" s="11" t="s">
        <v>26</v>
      </c>
      <c r="E54" s="11" t="s">
        <v>26</v>
      </c>
      <c r="F54" s="11" t="s">
        <v>26</v>
      </c>
      <c r="G54" s="10">
        <v>1335348788.3800001</v>
      </c>
      <c r="H54" s="11">
        <v>9.8488876921600001E-3</v>
      </c>
      <c r="I54" s="11">
        <v>0.14319999999999999</v>
      </c>
      <c r="J54" s="11">
        <v>0.13339999999999999</v>
      </c>
      <c r="K54" s="10">
        <v>52004059.5</v>
      </c>
      <c r="L54" s="11">
        <v>2.0504271525239998E-2</v>
      </c>
      <c r="M54" s="11">
        <v>0.12</v>
      </c>
      <c r="N54" s="11">
        <v>9.9500000000000005E-2</v>
      </c>
      <c r="O54" s="10">
        <v>2243758854</v>
      </c>
      <c r="P54" s="11">
        <v>1.110854509889E-2</v>
      </c>
      <c r="Q54" s="11">
        <v>0.12</v>
      </c>
      <c r="R54" s="11">
        <v>0.1089</v>
      </c>
      <c r="S54" s="10">
        <v>1261996649.03</v>
      </c>
      <c r="T54" s="11">
        <v>1.243458562733E-2</v>
      </c>
      <c r="U54" s="11">
        <v>0.13669999999999999</v>
      </c>
      <c r="V54" s="11">
        <v>0.12429999999999999</v>
      </c>
      <c r="W54" s="10">
        <v>155610714.40000001</v>
      </c>
      <c r="X54" s="11">
        <v>2.7108282561779998E-2</v>
      </c>
      <c r="Y54" s="11">
        <v>0.14069999999999999</v>
      </c>
      <c r="Z54" s="11">
        <v>0.11360000000000001</v>
      </c>
      <c r="AA54" s="10">
        <v>1432332826.9400001</v>
      </c>
      <c r="AB54" s="11">
        <v>1.153152419472E-2</v>
      </c>
      <c r="AC54" s="11">
        <v>0.12</v>
      </c>
      <c r="AD54" s="11">
        <v>0.1085</v>
      </c>
      <c r="AE54" s="10">
        <v>6481051892.25</v>
      </c>
      <c r="AF54" s="11">
        <v>1.123489574601E-2</v>
      </c>
      <c r="AG54" s="11">
        <v>0.1285</v>
      </c>
      <c r="AH54" s="11">
        <v>0.1173</v>
      </c>
      <c r="AI54" s="10">
        <v>210128589.74000001</v>
      </c>
      <c r="AJ54" s="11">
        <v>1.325692191088E-2</v>
      </c>
      <c r="AK54" s="11">
        <v>0.1203</v>
      </c>
      <c r="AL54" s="11">
        <v>0.107</v>
      </c>
      <c r="AM54" s="10">
        <v>237354145.97</v>
      </c>
      <c r="AN54" s="11">
        <v>1.0313928630850001E-2</v>
      </c>
      <c r="AO54" s="11">
        <v>0.1215</v>
      </c>
      <c r="AP54" s="11">
        <v>0.11119999999999999</v>
      </c>
      <c r="AQ54" s="10">
        <v>447482735.70999998</v>
      </c>
      <c r="AR54" s="11">
        <v>1.151423010031E-2</v>
      </c>
      <c r="AS54" s="11">
        <v>0.12089999999999999</v>
      </c>
      <c r="AT54" s="11">
        <v>0.1094</v>
      </c>
      <c r="AU54" s="10">
        <v>519294620.42000002</v>
      </c>
      <c r="AV54" s="11">
        <v>1.276945748516E-2</v>
      </c>
      <c r="AW54" s="11">
        <v>0.13200000000000001</v>
      </c>
      <c r="AX54" s="11">
        <v>0.1192</v>
      </c>
      <c r="AY54" s="10">
        <v>7447829248.3800001</v>
      </c>
      <c r="AZ54" s="11">
        <v>1.1346507554029999E-2</v>
      </c>
      <c r="BA54" s="11">
        <v>0.1283</v>
      </c>
      <c r="BB54" s="11">
        <v>0.11700000000000001</v>
      </c>
    </row>
    <row r="55" spans="1:54" s="7" customFormat="1">
      <c r="A55" s="32" t="s">
        <v>36</v>
      </c>
      <c r="B55" s="31" t="s">
        <v>56</v>
      </c>
      <c r="C55" s="2" t="s">
        <v>26</v>
      </c>
      <c r="D55" s="1" t="s">
        <v>26</v>
      </c>
      <c r="E55" s="1" t="s">
        <v>26</v>
      </c>
      <c r="F55" s="1" t="s">
        <v>26</v>
      </c>
      <c r="G55" s="2">
        <v>300961452</v>
      </c>
      <c r="H55" s="1">
        <v>0.22538040594257</v>
      </c>
      <c r="I55" s="1" t="s">
        <v>26</v>
      </c>
      <c r="J55" s="1" t="s">
        <v>26</v>
      </c>
      <c r="K55" s="2">
        <v>52004059.5</v>
      </c>
      <c r="L55" s="1">
        <v>1</v>
      </c>
      <c r="M55" s="1" t="s">
        <v>26</v>
      </c>
      <c r="N55" s="1" t="s">
        <v>26</v>
      </c>
      <c r="O55" s="2">
        <v>2243758854</v>
      </c>
      <c r="P55" s="1">
        <v>1</v>
      </c>
      <c r="Q55" s="1" t="s">
        <v>26</v>
      </c>
      <c r="R55" s="1" t="s">
        <v>26</v>
      </c>
      <c r="S55" s="2">
        <v>561643842.60000002</v>
      </c>
      <c r="T55" s="1">
        <v>0.44504384621915999</v>
      </c>
      <c r="U55" s="1" t="s">
        <v>26</v>
      </c>
      <c r="V55" s="1" t="s">
        <v>26</v>
      </c>
      <c r="W55" s="2">
        <v>48475223.149999999</v>
      </c>
      <c r="X55" s="1">
        <v>0.31151597328571001</v>
      </c>
      <c r="Y55" s="1" t="s">
        <v>26</v>
      </c>
      <c r="Z55" s="1" t="s">
        <v>26</v>
      </c>
      <c r="AA55" s="2">
        <v>1432332826.9400001</v>
      </c>
      <c r="AB55" s="1">
        <v>1</v>
      </c>
      <c r="AC55" s="1" t="s">
        <v>26</v>
      </c>
      <c r="AD55" s="1" t="s">
        <v>26</v>
      </c>
      <c r="AE55" s="2">
        <v>4639176258.1899996</v>
      </c>
      <c r="AF55" s="1">
        <v>0.71580606594703</v>
      </c>
      <c r="AG55" s="1" t="s">
        <v>26</v>
      </c>
      <c r="AH55" s="1" t="s">
        <v>26</v>
      </c>
      <c r="AI55" s="2">
        <v>208016238</v>
      </c>
      <c r="AJ55" s="1">
        <v>0.98994733775820998</v>
      </c>
      <c r="AK55" s="1" t="s">
        <v>26</v>
      </c>
      <c r="AL55" s="1" t="s">
        <v>26</v>
      </c>
      <c r="AM55" s="2">
        <v>225385593.87</v>
      </c>
      <c r="AN55" s="1">
        <v>0.94957512938697997</v>
      </c>
      <c r="AO55" s="1" t="s">
        <v>26</v>
      </c>
      <c r="AP55" s="1" t="s">
        <v>26</v>
      </c>
      <c r="AQ55" s="2">
        <v>433401831.87</v>
      </c>
      <c r="AR55" s="1">
        <v>0.96853307911944997</v>
      </c>
      <c r="AS55" s="1" t="s">
        <v>26</v>
      </c>
      <c r="AT55" s="1" t="s">
        <v>26</v>
      </c>
      <c r="AU55" s="2">
        <v>312024357</v>
      </c>
      <c r="AV55" s="1">
        <v>0.60086190907896997</v>
      </c>
      <c r="AW55" s="1" t="s">
        <v>26</v>
      </c>
      <c r="AX55" s="1" t="s">
        <v>26</v>
      </c>
      <c r="AY55" s="2">
        <v>5384602447.0600004</v>
      </c>
      <c r="AZ55" s="1">
        <v>0.72297608705667005</v>
      </c>
      <c r="BA55" s="1" t="s">
        <v>26</v>
      </c>
      <c r="BB55" s="1" t="s">
        <v>26</v>
      </c>
    </row>
    <row r="56" spans="1:54" s="7" customFormat="1">
      <c r="A56" s="32" t="s">
        <v>38</v>
      </c>
      <c r="B56" s="31" t="s">
        <v>39</v>
      </c>
      <c r="C56" s="2" t="s">
        <v>26</v>
      </c>
      <c r="D56" s="1" t="s">
        <v>26</v>
      </c>
      <c r="E56" s="1" t="s">
        <v>26</v>
      </c>
      <c r="F56" s="1" t="s">
        <v>26</v>
      </c>
      <c r="G56" s="2">
        <v>1034387336.38</v>
      </c>
      <c r="H56" s="1">
        <v>0.77461959405742997</v>
      </c>
      <c r="I56" s="1" t="s">
        <v>26</v>
      </c>
      <c r="J56" s="1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>
        <v>700352806.42999995</v>
      </c>
      <c r="T56" s="1">
        <v>0.55495615378083996</v>
      </c>
      <c r="U56" s="1" t="s">
        <v>26</v>
      </c>
      <c r="V56" s="1" t="s">
        <v>26</v>
      </c>
      <c r="W56" s="2">
        <v>107135491.25</v>
      </c>
      <c r="X56" s="1">
        <v>0.68848402671428999</v>
      </c>
      <c r="Y56" s="1" t="s">
        <v>26</v>
      </c>
      <c r="Z56" s="1" t="s">
        <v>26</v>
      </c>
      <c r="AA56" s="2" t="s">
        <v>26</v>
      </c>
      <c r="AB56" s="1" t="s">
        <v>26</v>
      </c>
      <c r="AC56" s="1" t="s">
        <v>26</v>
      </c>
      <c r="AD56" s="1" t="s">
        <v>26</v>
      </c>
      <c r="AE56" s="2">
        <v>1841875634.0599999</v>
      </c>
      <c r="AF56" s="1">
        <v>0.28419393405297</v>
      </c>
      <c r="AG56" s="1" t="s">
        <v>26</v>
      </c>
      <c r="AH56" s="1" t="s">
        <v>26</v>
      </c>
      <c r="AI56" s="2">
        <v>2112351.7400000002</v>
      </c>
      <c r="AJ56" s="1">
        <v>1.005266224179E-2</v>
      </c>
      <c r="AK56" s="1" t="s">
        <v>26</v>
      </c>
      <c r="AL56" s="1" t="s">
        <v>26</v>
      </c>
      <c r="AM56" s="2">
        <v>11968552.1</v>
      </c>
      <c r="AN56" s="1">
        <v>5.0424870613019999E-2</v>
      </c>
      <c r="AO56" s="1" t="s">
        <v>26</v>
      </c>
      <c r="AP56" s="1" t="s">
        <v>26</v>
      </c>
      <c r="AQ56" s="2">
        <v>14080903.84</v>
      </c>
      <c r="AR56" s="1">
        <v>3.1466920880550003E-2</v>
      </c>
      <c r="AS56" s="1" t="s">
        <v>26</v>
      </c>
      <c r="AT56" s="1" t="s">
        <v>26</v>
      </c>
      <c r="AU56" s="2">
        <v>207270263.41999999</v>
      </c>
      <c r="AV56" s="1">
        <v>0.39913809092102998</v>
      </c>
      <c r="AW56" s="1" t="s">
        <v>26</v>
      </c>
      <c r="AX56" s="1" t="s">
        <v>26</v>
      </c>
      <c r="AY56" s="2">
        <v>2063226801.3199999</v>
      </c>
      <c r="AZ56" s="1">
        <v>0.27702391294333001</v>
      </c>
      <c r="BA56" s="1" t="s">
        <v>26</v>
      </c>
      <c r="BB56" s="1" t="s">
        <v>26</v>
      </c>
    </row>
    <row r="57" spans="1:54" s="7" customFormat="1">
      <c r="A57" s="33" t="s">
        <v>60</v>
      </c>
      <c r="B57" s="25" t="s">
        <v>25</v>
      </c>
      <c r="C57" s="55">
        <v>89232056.200000003</v>
      </c>
      <c r="D57" s="56">
        <v>1.676754640885E-2</v>
      </c>
      <c r="E57" s="56" t="s">
        <v>26</v>
      </c>
      <c r="F57" s="56" t="s">
        <v>26</v>
      </c>
      <c r="G57" s="55">
        <v>25173401.129999999</v>
      </c>
      <c r="H57" s="56">
        <v>1.8566684803E-4</v>
      </c>
      <c r="I57" s="56" t="s">
        <v>26</v>
      </c>
      <c r="J57" s="56" t="s">
        <v>26</v>
      </c>
      <c r="K57" s="55">
        <v>30858390.460000001</v>
      </c>
      <c r="L57" s="56">
        <v>1.2166912023930001E-2</v>
      </c>
      <c r="M57" s="56" t="s">
        <v>26</v>
      </c>
      <c r="N57" s="56" t="s">
        <v>26</v>
      </c>
      <c r="O57" s="55">
        <v>111228168.95999999</v>
      </c>
      <c r="P57" s="56">
        <v>5.5067554561999995E-4</v>
      </c>
      <c r="Q57" s="56" t="s">
        <v>26</v>
      </c>
      <c r="R57" s="56" t="s">
        <v>26</v>
      </c>
      <c r="S57" s="55">
        <v>56654478.329999998</v>
      </c>
      <c r="T57" s="56">
        <v>5.5822252976000001E-4</v>
      </c>
      <c r="U57" s="56" t="s">
        <v>26</v>
      </c>
      <c r="V57" s="56" t="s">
        <v>26</v>
      </c>
      <c r="W57" s="55" t="s">
        <v>26</v>
      </c>
      <c r="X57" s="56" t="s">
        <v>26</v>
      </c>
      <c r="Y57" s="56" t="s">
        <v>26</v>
      </c>
      <c r="Z57" s="56" t="s">
        <v>26</v>
      </c>
      <c r="AA57" s="55">
        <v>121903491.2</v>
      </c>
      <c r="AB57" s="56">
        <v>9.8142905876999996E-4</v>
      </c>
      <c r="AC57" s="56" t="s">
        <v>26</v>
      </c>
      <c r="AD57" s="56" t="s">
        <v>26</v>
      </c>
      <c r="AE57" s="55">
        <v>435049986.27999997</v>
      </c>
      <c r="AF57" s="56">
        <v>7.5415863371999998E-4</v>
      </c>
      <c r="AG57" s="56" t="s">
        <v>26</v>
      </c>
      <c r="AH57" s="56" t="s">
        <v>26</v>
      </c>
      <c r="AI57" s="55">
        <v>53726450.490000002</v>
      </c>
      <c r="AJ57" s="56">
        <v>3.3895785412900001E-3</v>
      </c>
      <c r="AK57" s="56" t="s">
        <v>26</v>
      </c>
      <c r="AL57" s="56" t="s">
        <v>26</v>
      </c>
      <c r="AM57" s="55" t="s">
        <v>26</v>
      </c>
      <c r="AN57" s="56" t="s">
        <v>26</v>
      </c>
      <c r="AO57" s="56" t="s">
        <v>26</v>
      </c>
      <c r="AP57" s="56" t="s">
        <v>26</v>
      </c>
      <c r="AQ57" s="55">
        <v>53726450.490000002</v>
      </c>
      <c r="AR57" s="56">
        <v>1.3824415201899999E-3</v>
      </c>
      <c r="AS57" s="56" t="s">
        <v>26</v>
      </c>
      <c r="AT57" s="56" t="s">
        <v>26</v>
      </c>
      <c r="AU57" s="55">
        <v>4828109.99</v>
      </c>
      <c r="AV57" s="56">
        <v>1.1872325040000001E-4</v>
      </c>
      <c r="AW57" s="56" t="s">
        <v>26</v>
      </c>
      <c r="AX57" s="56" t="s">
        <v>26</v>
      </c>
      <c r="AY57" s="55">
        <v>493604546.75999999</v>
      </c>
      <c r="AZ57" s="56">
        <v>7.5198927523000003E-4</v>
      </c>
      <c r="BA57" s="56" t="s">
        <v>26</v>
      </c>
      <c r="BB57" s="56" t="s">
        <v>26</v>
      </c>
    </row>
    <row r="58" spans="1:54" s="7" customFormat="1">
      <c r="A58" s="34" t="s">
        <v>61</v>
      </c>
      <c r="B58" s="24" t="s">
        <v>25</v>
      </c>
      <c r="C58" s="10">
        <v>49285216.719999999</v>
      </c>
      <c r="D58" s="11">
        <v>9.2611578597999993E-3</v>
      </c>
      <c r="E58" s="11">
        <v>0.09</v>
      </c>
      <c r="F58" s="11">
        <v>8.0699999999999994E-2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10" t="s">
        <v>26</v>
      </c>
      <c r="P58" s="11" t="s">
        <v>26</v>
      </c>
      <c r="Q58" s="11" t="s">
        <v>26</v>
      </c>
      <c r="R58" s="11" t="s">
        <v>26</v>
      </c>
      <c r="S58" s="10" t="s">
        <v>26</v>
      </c>
      <c r="T58" s="11" t="s">
        <v>26</v>
      </c>
      <c r="U58" s="11" t="s">
        <v>26</v>
      </c>
      <c r="V58" s="11" t="s">
        <v>26</v>
      </c>
      <c r="W58" s="10" t="s">
        <v>26</v>
      </c>
      <c r="X58" s="11" t="s">
        <v>26</v>
      </c>
      <c r="Y58" s="11" t="s">
        <v>26</v>
      </c>
      <c r="Z58" s="11" t="s">
        <v>26</v>
      </c>
      <c r="AA58" s="10" t="s">
        <v>26</v>
      </c>
      <c r="AB58" s="11" t="s">
        <v>26</v>
      </c>
      <c r="AC58" s="11" t="s">
        <v>26</v>
      </c>
      <c r="AD58" s="11" t="s">
        <v>26</v>
      </c>
      <c r="AE58" s="10">
        <v>49285216.719999999</v>
      </c>
      <c r="AF58" s="11">
        <v>8.5435864560000005E-5</v>
      </c>
      <c r="AG58" s="11">
        <v>0.09</v>
      </c>
      <c r="AH58" s="11">
        <v>8.9899999999999994E-2</v>
      </c>
      <c r="AI58" s="10" t="s">
        <v>26</v>
      </c>
      <c r="AJ58" s="11" t="s">
        <v>26</v>
      </c>
      <c r="AK58" s="11" t="s">
        <v>26</v>
      </c>
      <c r="AL58" s="11" t="s">
        <v>26</v>
      </c>
      <c r="AM58" s="10" t="s">
        <v>26</v>
      </c>
      <c r="AN58" s="11" t="s">
        <v>26</v>
      </c>
      <c r="AO58" s="11" t="s">
        <v>26</v>
      </c>
      <c r="AP58" s="11" t="s">
        <v>26</v>
      </c>
      <c r="AQ58" s="10" t="s">
        <v>26</v>
      </c>
      <c r="AR58" s="11" t="s">
        <v>26</v>
      </c>
      <c r="AS58" s="11" t="s">
        <v>26</v>
      </c>
      <c r="AT58" s="11" t="s">
        <v>26</v>
      </c>
      <c r="AU58" s="10" t="s">
        <v>26</v>
      </c>
      <c r="AV58" s="11" t="s">
        <v>26</v>
      </c>
      <c r="AW58" s="11" t="s">
        <v>26</v>
      </c>
      <c r="AX58" s="11" t="s">
        <v>26</v>
      </c>
      <c r="AY58" s="10">
        <v>49285216.719999999</v>
      </c>
      <c r="AZ58" s="11">
        <v>7.5084305130000004E-5</v>
      </c>
      <c r="BA58" s="11">
        <v>0.09</v>
      </c>
      <c r="BB58" s="11">
        <v>8.9899999999999994E-2</v>
      </c>
    </row>
    <row r="59" spans="1:54" s="7" customFormat="1">
      <c r="A59" s="32" t="s">
        <v>36</v>
      </c>
      <c r="B59" s="31" t="s">
        <v>46</v>
      </c>
      <c r="C59" s="2">
        <v>49285216.719999999</v>
      </c>
      <c r="D59" s="1">
        <v>1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49285216.719999999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49285216.719999999</v>
      </c>
      <c r="AZ59" s="1">
        <v>1</v>
      </c>
      <c r="BA59" s="1" t="s">
        <v>26</v>
      </c>
      <c r="BB59" s="1" t="s">
        <v>26</v>
      </c>
    </row>
    <row r="60" spans="1:54" s="7" customFormat="1">
      <c r="A60" s="34" t="s">
        <v>62</v>
      </c>
      <c r="B60" s="24" t="s">
        <v>25</v>
      </c>
      <c r="C60" s="10">
        <v>17867404.300000001</v>
      </c>
      <c r="D60" s="11">
        <v>3.3574540760800001E-3</v>
      </c>
      <c r="E60" s="11">
        <v>0.12</v>
      </c>
      <c r="F60" s="11">
        <v>0.1166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>
        <v>91703336.299999997</v>
      </c>
      <c r="AB60" s="11">
        <v>7.3829156281999999E-4</v>
      </c>
      <c r="AC60" s="11">
        <v>0.13500000000000001</v>
      </c>
      <c r="AD60" s="11">
        <v>0.1343</v>
      </c>
      <c r="AE60" s="10">
        <v>109570740.59999999</v>
      </c>
      <c r="AF60" s="11">
        <v>1.8994074850000001E-4</v>
      </c>
      <c r="AG60" s="11">
        <v>0.1326</v>
      </c>
      <c r="AH60" s="11">
        <v>0.13239999999999999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109570740.59999999</v>
      </c>
      <c r="AZ60" s="11">
        <v>1.6692719373999999E-4</v>
      </c>
      <c r="BA60" s="11">
        <v>0.1326</v>
      </c>
      <c r="BB60" s="11">
        <v>0.13239999999999999</v>
      </c>
    </row>
    <row r="61" spans="1:54" s="7" customFormat="1">
      <c r="A61" s="32" t="s">
        <v>36</v>
      </c>
      <c r="B61" s="31" t="s">
        <v>56</v>
      </c>
      <c r="C61" s="2">
        <v>17867404.300000001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17867404.300000001</v>
      </c>
      <c r="AF61" s="1">
        <v>0.16306729517533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17867404.300000001</v>
      </c>
      <c r="AZ61" s="1">
        <v>0.16306729517533</v>
      </c>
      <c r="BA61" s="1" t="s">
        <v>26</v>
      </c>
      <c r="BB61" s="1" t="s">
        <v>26</v>
      </c>
    </row>
    <row r="62" spans="1:54" s="7" customFormat="1">
      <c r="A62" s="32" t="s">
        <v>38</v>
      </c>
      <c r="B62" s="31" t="s">
        <v>43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91703336.299999997</v>
      </c>
      <c r="AB62" s="1">
        <v>1</v>
      </c>
      <c r="AC62" s="1" t="s">
        <v>26</v>
      </c>
      <c r="AD62" s="1" t="s">
        <v>26</v>
      </c>
      <c r="AE62" s="2">
        <v>91703336.299999997</v>
      </c>
      <c r="AF62" s="1">
        <v>0.83693270482466997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91703336.299999997</v>
      </c>
      <c r="AZ62" s="1">
        <v>0.83693270482466997</v>
      </c>
      <c r="BA62" s="1" t="s">
        <v>26</v>
      </c>
      <c r="BB62" s="1" t="s">
        <v>26</v>
      </c>
    </row>
    <row r="63" spans="1:54" s="7" customFormat="1">
      <c r="A63" s="34" t="s">
        <v>63</v>
      </c>
      <c r="B63" s="24" t="s">
        <v>25</v>
      </c>
      <c r="C63" s="10">
        <v>22079435.18</v>
      </c>
      <c r="D63" s="11">
        <v>4.1489344729699999E-3</v>
      </c>
      <c r="E63" s="11">
        <v>0.12</v>
      </c>
      <c r="F63" s="11">
        <v>0.1159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10">
        <v>22079435.18</v>
      </c>
      <c r="AF63" s="11">
        <v>3.8274674619999999E-5</v>
      </c>
      <c r="AG63" s="11">
        <v>0.12</v>
      </c>
      <c r="AH63" s="11">
        <v>0.12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10">
        <v>22079435.18</v>
      </c>
      <c r="AZ63" s="11">
        <v>3.3637247810000002E-5</v>
      </c>
      <c r="BA63" s="11">
        <v>0.12</v>
      </c>
      <c r="BB63" s="11">
        <v>0.12</v>
      </c>
    </row>
    <row r="64" spans="1:54" s="7" customFormat="1">
      <c r="A64" s="32" t="s">
        <v>36</v>
      </c>
      <c r="B64" s="31" t="s">
        <v>56</v>
      </c>
      <c r="C64" s="2">
        <v>22079435.18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22079435.18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22079435.18</v>
      </c>
      <c r="AZ64" s="1">
        <v>1</v>
      </c>
      <c r="BA64" s="1" t="s">
        <v>26</v>
      </c>
      <c r="BB64" s="1" t="s">
        <v>26</v>
      </c>
    </row>
    <row r="65" spans="1:54" s="7" customFormat="1">
      <c r="A65" s="34" t="s">
        <v>64</v>
      </c>
      <c r="B65" s="24" t="s">
        <v>25</v>
      </c>
      <c r="C65" s="10" t="s">
        <v>26</v>
      </c>
      <c r="D65" s="11" t="s">
        <v>26</v>
      </c>
      <c r="E65" s="11" t="s">
        <v>26</v>
      </c>
      <c r="F65" s="11" t="s">
        <v>26</v>
      </c>
      <c r="G65" s="10">
        <v>25173401.129999999</v>
      </c>
      <c r="H65" s="11">
        <v>1.8566684803E-4</v>
      </c>
      <c r="I65" s="11">
        <v>0.13500000000000001</v>
      </c>
      <c r="J65" s="11">
        <v>0.1348</v>
      </c>
      <c r="K65" s="10">
        <v>30858390.460000001</v>
      </c>
      <c r="L65" s="11">
        <v>1.2166912023930001E-2</v>
      </c>
      <c r="M65" s="11">
        <v>0.13500000000000001</v>
      </c>
      <c r="N65" s="11">
        <v>0.12280000000000001</v>
      </c>
      <c r="O65" s="10">
        <v>111228168.95999999</v>
      </c>
      <c r="P65" s="11">
        <v>5.5067554561999995E-4</v>
      </c>
      <c r="Q65" s="11">
        <v>0.13389999999999999</v>
      </c>
      <c r="R65" s="11">
        <v>0.1333</v>
      </c>
      <c r="S65" s="10">
        <v>56654478.329999998</v>
      </c>
      <c r="T65" s="11">
        <v>5.5822252976000001E-4</v>
      </c>
      <c r="U65" s="11">
        <v>0.13500000000000001</v>
      </c>
      <c r="V65" s="11">
        <v>0.13439999999999999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>
        <v>30200154.899999999</v>
      </c>
      <c r="AB65" s="11">
        <v>2.4313749594999999E-4</v>
      </c>
      <c r="AC65" s="11">
        <v>0.12</v>
      </c>
      <c r="AD65" s="11">
        <v>0.1198</v>
      </c>
      <c r="AE65" s="10">
        <v>254114593.78</v>
      </c>
      <c r="AF65" s="11">
        <v>4.4050734604999999E-4</v>
      </c>
      <c r="AG65" s="11">
        <v>0.13270000000000001</v>
      </c>
      <c r="AH65" s="11">
        <v>0.1323</v>
      </c>
      <c r="AI65" s="10">
        <v>53726450.490000002</v>
      </c>
      <c r="AJ65" s="11">
        <v>3.3895785412900001E-3</v>
      </c>
      <c r="AK65" s="11">
        <v>0.13500000000000001</v>
      </c>
      <c r="AL65" s="11">
        <v>0.13159999999999999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>
        <v>53726450.490000002</v>
      </c>
      <c r="AR65" s="11">
        <v>1.3824415201899999E-3</v>
      </c>
      <c r="AS65" s="11">
        <v>0.13500000000000001</v>
      </c>
      <c r="AT65" s="11">
        <v>0.1336</v>
      </c>
      <c r="AU65" s="10">
        <v>4828109.99</v>
      </c>
      <c r="AV65" s="11">
        <v>1.1872325040000001E-4</v>
      </c>
      <c r="AW65" s="11">
        <v>0.13500000000000001</v>
      </c>
      <c r="AX65" s="11">
        <v>0.13489999999999999</v>
      </c>
      <c r="AY65" s="10">
        <v>312669154.25999999</v>
      </c>
      <c r="AZ65" s="11">
        <v>4.7634052855E-4</v>
      </c>
      <c r="BA65" s="11">
        <v>0.13320000000000001</v>
      </c>
      <c r="BB65" s="11">
        <v>0.13270000000000001</v>
      </c>
    </row>
    <row r="66" spans="1:54" s="7" customFormat="1">
      <c r="A66" s="32" t="s">
        <v>36</v>
      </c>
      <c r="B66" s="31" t="s">
        <v>56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8195554.96</v>
      </c>
      <c r="P66" s="1">
        <v>7.368236874372E-2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30200154.899999999</v>
      </c>
      <c r="AB66" s="1">
        <v>1</v>
      </c>
      <c r="AC66" s="1" t="s">
        <v>26</v>
      </c>
      <c r="AD66" s="1" t="s">
        <v>26</v>
      </c>
      <c r="AE66" s="2">
        <v>38395709.859999999</v>
      </c>
      <c r="AF66" s="1">
        <v>0.15109604406759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38395709.859999999</v>
      </c>
      <c r="AZ66" s="1">
        <v>0.12279980080182</v>
      </c>
      <c r="BA66" s="1" t="s">
        <v>26</v>
      </c>
      <c r="BB66" s="1" t="s">
        <v>26</v>
      </c>
    </row>
    <row r="67" spans="1:54" s="7" customFormat="1">
      <c r="A67" s="32" t="s">
        <v>38</v>
      </c>
      <c r="B67" s="31" t="s">
        <v>43</v>
      </c>
      <c r="C67" s="2" t="s">
        <v>26</v>
      </c>
      <c r="D67" s="1" t="s">
        <v>26</v>
      </c>
      <c r="E67" s="1" t="s">
        <v>26</v>
      </c>
      <c r="F67" s="1" t="s">
        <v>26</v>
      </c>
      <c r="G67" s="2">
        <v>25173401.129999999</v>
      </c>
      <c r="H67" s="1">
        <v>1</v>
      </c>
      <c r="I67" s="1" t="s">
        <v>26</v>
      </c>
      <c r="J67" s="1" t="s">
        <v>26</v>
      </c>
      <c r="K67" s="2">
        <v>30858390.460000001</v>
      </c>
      <c r="L67" s="1">
        <v>1</v>
      </c>
      <c r="M67" s="1" t="s">
        <v>26</v>
      </c>
      <c r="N67" s="1" t="s">
        <v>26</v>
      </c>
      <c r="O67" s="2">
        <v>103032614</v>
      </c>
      <c r="P67" s="1">
        <v>0.92631763125627997</v>
      </c>
      <c r="Q67" s="1" t="s">
        <v>26</v>
      </c>
      <c r="R67" s="1" t="s">
        <v>26</v>
      </c>
      <c r="S67" s="2">
        <v>56654478.329999998</v>
      </c>
      <c r="T67" s="1">
        <v>1</v>
      </c>
      <c r="U67" s="1" t="s">
        <v>26</v>
      </c>
      <c r="V67" s="1" t="s">
        <v>26</v>
      </c>
      <c r="W67" s="2" t="s">
        <v>26</v>
      </c>
      <c r="X67" s="1" t="s">
        <v>26</v>
      </c>
      <c r="Y67" s="1" t="s">
        <v>26</v>
      </c>
      <c r="Z67" s="1" t="s">
        <v>26</v>
      </c>
      <c r="AA67" s="2" t="s">
        <v>26</v>
      </c>
      <c r="AB67" s="1" t="s">
        <v>26</v>
      </c>
      <c r="AC67" s="1" t="s">
        <v>26</v>
      </c>
      <c r="AD67" s="1" t="s">
        <v>26</v>
      </c>
      <c r="AE67" s="2">
        <v>215718883.91999999</v>
      </c>
      <c r="AF67" s="1">
        <v>0.84890395593240997</v>
      </c>
      <c r="AG67" s="1" t="s">
        <v>26</v>
      </c>
      <c r="AH67" s="1" t="s">
        <v>26</v>
      </c>
      <c r="AI67" s="2">
        <v>53726450.490000002</v>
      </c>
      <c r="AJ67" s="1">
        <v>1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>
        <v>53726450.490000002</v>
      </c>
      <c r="AR67" s="1">
        <v>1</v>
      </c>
      <c r="AS67" s="1" t="s">
        <v>26</v>
      </c>
      <c r="AT67" s="1" t="s">
        <v>26</v>
      </c>
      <c r="AU67" s="2">
        <v>4828109.99</v>
      </c>
      <c r="AV67" s="1">
        <v>1</v>
      </c>
      <c r="AW67" s="1" t="s">
        <v>26</v>
      </c>
      <c r="AX67" s="1" t="s">
        <v>26</v>
      </c>
      <c r="AY67" s="2">
        <v>274273444.39999998</v>
      </c>
      <c r="AZ67" s="1">
        <v>0.87720019919818004</v>
      </c>
      <c r="BA67" s="1" t="s">
        <v>26</v>
      </c>
      <c r="BB67" s="1" t="s">
        <v>26</v>
      </c>
    </row>
    <row r="68" spans="1:54" s="7" customFormat="1">
      <c r="A68" s="33" t="s">
        <v>65</v>
      </c>
      <c r="B68" s="25" t="s">
        <v>25</v>
      </c>
      <c r="C68" s="55">
        <v>602100460.32000005</v>
      </c>
      <c r="D68" s="56">
        <v>0.11314036503402</v>
      </c>
      <c r="E68" s="56" t="s">
        <v>26</v>
      </c>
      <c r="F68" s="56" t="s">
        <v>26</v>
      </c>
      <c r="G68" s="55">
        <v>4561251334.0500002</v>
      </c>
      <c r="H68" s="56">
        <v>3.3641586764220001E-2</v>
      </c>
      <c r="I68" s="56" t="s">
        <v>26</v>
      </c>
      <c r="J68" s="56" t="s">
        <v>26</v>
      </c>
      <c r="K68" s="55">
        <v>506876704.56999999</v>
      </c>
      <c r="L68" s="56">
        <v>0.19985242844979001</v>
      </c>
      <c r="M68" s="56" t="s">
        <v>26</v>
      </c>
      <c r="N68" s="56" t="s">
        <v>26</v>
      </c>
      <c r="O68" s="55">
        <v>10135792314.24</v>
      </c>
      <c r="P68" s="56">
        <v>5.0180930020619997E-2</v>
      </c>
      <c r="Q68" s="56" t="s">
        <v>26</v>
      </c>
      <c r="R68" s="56" t="s">
        <v>26</v>
      </c>
      <c r="S68" s="55">
        <v>5358233627.9899998</v>
      </c>
      <c r="T68" s="56">
        <v>5.279523912339E-2</v>
      </c>
      <c r="U68" s="56" t="s">
        <v>26</v>
      </c>
      <c r="V68" s="56" t="s">
        <v>26</v>
      </c>
      <c r="W68" s="55" t="s">
        <v>26</v>
      </c>
      <c r="X68" s="56" t="s">
        <v>26</v>
      </c>
      <c r="Y68" s="56" t="s">
        <v>26</v>
      </c>
      <c r="Z68" s="56" t="s">
        <v>26</v>
      </c>
      <c r="AA68" s="55">
        <v>5282410356.0299997</v>
      </c>
      <c r="AB68" s="56">
        <v>4.2527994668070002E-2</v>
      </c>
      <c r="AC68" s="56" t="s">
        <v>26</v>
      </c>
      <c r="AD68" s="56" t="s">
        <v>26</v>
      </c>
      <c r="AE68" s="55">
        <v>26446664797.200001</v>
      </c>
      <c r="AF68" s="56">
        <v>4.5845261967669998E-2</v>
      </c>
      <c r="AG68" s="56" t="s">
        <v>26</v>
      </c>
      <c r="AH68" s="56" t="s">
        <v>26</v>
      </c>
      <c r="AI68" s="55">
        <v>1106128949.96</v>
      </c>
      <c r="AJ68" s="56">
        <v>6.9785197393310003E-2</v>
      </c>
      <c r="AK68" s="56" t="s">
        <v>26</v>
      </c>
      <c r="AL68" s="56" t="s">
        <v>26</v>
      </c>
      <c r="AM68" s="55">
        <v>2177263198.1599998</v>
      </c>
      <c r="AN68" s="56">
        <v>9.4610259048259995E-2</v>
      </c>
      <c r="AO68" s="56" t="s">
        <v>26</v>
      </c>
      <c r="AP68" s="56" t="s">
        <v>26</v>
      </c>
      <c r="AQ68" s="55">
        <v>3283392148.1199999</v>
      </c>
      <c r="AR68" s="56">
        <v>8.4485343647989999E-2</v>
      </c>
      <c r="AS68" s="56" t="s">
        <v>26</v>
      </c>
      <c r="AT68" s="56" t="s">
        <v>26</v>
      </c>
      <c r="AU68" s="55">
        <v>1347177303.95</v>
      </c>
      <c r="AV68" s="56">
        <v>3.3127097087680003E-2</v>
      </c>
      <c r="AW68" s="56" t="s">
        <v>26</v>
      </c>
      <c r="AX68" s="56" t="s">
        <v>26</v>
      </c>
      <c r="AY68" s="55">
        <v>31077234249.27</v>
      </c>
      <c r="AZ68" s="56">
        <v>4.7345080211700002E-2</v>
      </c>
      <c r="BA68" s="56" t="s">
        <v>26</v>
      </c>
      <c r="BB68" s="56" t="s">
        <v>26</v>
      </c>
    </row>
    <row r="69" spans="1:54" s="7" customFormat="1">
      <c r="A69" s="34" t="s">
        <v>105</v>
      </c>
      <c r="B69" s="24" t="s">
        <v>25</v>
      </c>
      <c r="C69" s="10" t="s">
        <v>26</v>
      </c>
      <c r="D69" s="11" t="s">
        <v>26</v>
      </c>
      <c r="E69" s="11" t="s">
        <v>26</v>
      </c>
      <c r="F69" s="11" t="s">
        <v>26</v>
      </c>
      <c r="G69" s="10" t="s">
        <v>26</v>
      </c>
      <c r="H69" s="11" t="s">
        <v>26</v>
      </c>
      <c r="I69" s="11" t="s">
        <v>26</v>
      </c>
      <c r="J69" s="11" t="s">
        <v>26</v>
      </c>
      <c r="K69" s="10">
        <v>45963670.979999997</v>
      </c>
      <c r="L69" s="11">
        <v>1.8122654253000001E-2</v>
      </c>
      <c r="M69" s="11">
        <v>0.08</v>
      </c>
      <c r="N69" s="11">
        <v>6.1899999999999997E-2</v>
      </c>
      <c r="O69" s="10" t="s">
        <v>26</v>
      </c>
      <c r="P69" s="11" t="s">
        <v>26</v>
      </c>
      <c r="Q69" s="11" t="s">
        <v>26</v>
      </c>
      <c r="R69" s="11" t="s">
        <v>26</v>
      </c>
      <c r="S69" s="10">
        <v>27069299.550000001</v>
      </c>
      <c r="T69" s="11">
        <v>2.6671665363000002E-4</v>
      </c>
      <c r="U69" s="11">
        <v>0.08</v>
      </c>
      <c r="V69" s="11">
        <v>7.9699999999999993E-2</v>
      </c>
      <c r="W69" s="10" t="s">
        <v>26</v>
      </c>
      <c r="X69" s="11" t="s">
        <v>26</v>
      </c>
      <c r="Y69" s="11" t="s">
        <v>26</v>
      </c>
      <c r="Z69" s="11" t="s">
        <v>26</v>
      </c>
      <c r="AA69" s="10" t="s">
        <v>26</v>
      </c>
      <c r="AB69" s="11" t="s">
        <v>26</v>
      </c>
      <c r="AC69" s="11" t="s">
        <v>26</v>
      </c>
      <c r="AD69" s="11" t="s">
        <v>26</v>
      </c>
      <c r="AE69" s="10">
        <v>73032970.530000001</v>
      </c>
      <c r="AF69" s="11">
        <v>1.2660256753999999E-4</v>
      </c>
      <c r="AG69" s="11">
        <v>0.08</v>
      </c>
      <c r="AH69" s="11">
        <v>7.9899999999999999E-2</v>
      </c>
      <c r="AI69" s="10" t="s">
        <v>26</v>
      </c>
      <c r="AJ69" s="11" t="s">
        <v>26</v>
      </c>
      <c r="AK69" s="11" t="s">
        <v>26</v>
      </c>
      <c r="AL69" s="11" t="s">
        <v>26</v>
      </c>
      <c r="AM69" s="10" t="s">
        <v>26</v>
      </c>
      <c r="AN69" s="11" t="s">
        <v>26</v>
      </c>
      <c r="AO69" s="11" t="s">
        <v>26</v>
      </c>
      <c r="AP69" s="11" t="s">
        <v>26</v>
      </c>
      <c r="AQ69" s="10" t="s">
        <v>26</v>
      </c>
      <c r="AR69" s="11" t="s">
        <v>26</v>
      </c>
      <c r="AS69" s="11" t="s">
        <v>26</v>
      </c>
      <c r="AT69" s="11" t="s">
        <v>26</v>
      </c>
      <c r="AU69" s="10" t="s">
        <v>26</v>
      </c>
      <c r="AV69" s="11" t="s">
        <v>26</v>
      </c>
      <c r="AW69" s="11" t="s">
        <v>26</v>
      </c>
      <c r="AX69" s="11" t="s">
        <v>26</v>
      </c>
      <c r="AY69" s="10">
        <v>73032970.530000001</v>
      </c>
      <c r="AZ69" s="11">
        <v>1.1126317805999999E-4</v>
      </c>
      <c r="BA69" s="11">
        <v>0.08</v>
      </c>
      <c r="BB69" s="11">
        <v>7.9899999999999999E-2</v>
      </c>
    </row>
    <row r="70" spans="1:54" s="7" customFormat="1">
      <c r="A70" s="32" t="s">
        <v>67</v>
      </c>
      <c r="B70" s="31" t="s">
        <v>56</v>
      </c>
      <c r="C70" s="2" t="s">
        <v>26</v>
      </c>
      <c r="D70" s="1" t="s">
        <v>26</v>
      </c>
      <c r="E70" s="1" t="s">
        <v>26</v>
      </c>
      <c r="F70" s="1" t="s">
        <v>26</v>
      </c>
      <c r="G70" s="2" t="s">
        <v>26</v>
      </c>
      <c r="H70" s="1" t="s">
        <v>26</v>
      </c>
      <c r="I70" s="1" t="s">
        <v>26</v>
      </c>
      <c r="J70" s="1" t="s">
        <v>26</v>
      </c>
      <c r="K70" s="2">
        <v>45963670.979999997</v>
      </c>
      <c r="L70" s="1">
        <v>1</v>
      </c>
      <c r="M70" s="1" t="s">
        <v>26</v>
      </c>
      <c r="N70" s="1" t="s">
        <v>26</v>
      </c>
      <c r="O70" s="2" t="s">
        <v>26</v>
      </c>
      <c r="P70" s="1" t="s">
        <v>26</v>
      </c>
      <c r="Q70" s="1" t="s">
        <v>26</v>
      </c>
      <c r="R70" s="1" t="s">
        <v>26</v>
      </c>
      <c r="S70" s="2">
        <v>27069299.550000001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73032970.530000001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73032970.530000001</v>
      </c>
      <c r="AZ70" s="1">
        <v>1</v>
      </c>
      <c r="BA70" s="1" t="s">
        <v>26</v>
      </c>
      <c r="BB70" s="1" t="s">
        <v>26</v>
      </c>
    </row>
    <row r="71" spans="1:54" s="7" customFormat="1">
      <c r="A71" s="34" t="s">
        <v>66</v>
      </c>
      <c r="B71" s="24" t="s">
        <v>25</v>
      </c>
      <c r="C71" s="10">
        <v>10842876.300000001</v>
      </c>
      <c r="D71" s="11">
        <v>2.03747889837E-3</v>
      </c>
      <c r="E71" s="11">
        <v>0.06</v>
      </c>
      <c r="F71" s="11">
        <v>5.8000000000000003E-2</v>
      </c>
      <c r="G71" s="10">
        <v>278634109.83999997</v>
      </c>
      <c r="H71" s="11">
        <v>2.0550706144299999E-3</v>
      </c>
      <c r="I71" s="11">
        <v>7.4800000000000005E-2</v>
      </c>
      <c r="J71" s="11">
        <v>7.2700000000000001E-2</v>
      </c>
      <c r="K71" s="10">
        <v>83381474.329999998</v>
      </c>
      <c r="L71" s="11">
        <v>3.2875825585059998E-2</v>
      </c>
      <c r="M71" s="11">
        <v>0.08</v>
      </c>
      <c r="N71" s="11">
        <v>4.7100000000000003E-2</v>
      </c>
      <c r="O71" s="10">
        <v>166167316.30000001</v>
      </c>
      <c r="P71" s="11">
        <v>8.2267179639000003E-4</v>
      </c>
      <c r="Q71" s="11">
        <v>0.08</v>
      </c>
      <c r="R71" s="11">
        <v>7.9200000000000007E-2</v>
      </c>
      <c r="S71" s="10">
        <v>72980898.200000003</v>
      </c>
      <c r="T71" s="11">
        <v>7.1908846075E-4</v>
      </c>
      <c r="U71" s="11">
        <v>0.06</v>
      </c>
      <c r="V71" s="11">
        <v>5.9299999999999999E-2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>
        <v>77924657.219999999</v>
      </c>
      <c r="AB71" s="11">
        <v>6.2736122023999996E-4</v>
      </c>
      <c r="AC71" s="11">
        <v>7.0800000000000002E-2</v>
      </c>
      <c r="AD71" s="11">
        <v>7.0199999999999999E-2</v>
      </c>
      <c r="AE71" s="10">
        <v>689931332.19000006</v>
      </c>
      <c r="AF71" s="11">
        <v>1.19599514368E-3</v>
      </c>
      <c r="AG71" s="11">
        <v>7.4399999999999994E-2</v>
      </c>
      <c r="AH71" s="11">
        <v>7.3200000000000001E-2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10">
        <v>689931332.19000006</v>
      </c>
      <c r="AZ71" s="11">
        <v>1.0510862711E-3</v>
      </c>
      <c r="BA71" s="11">
        <v>7.4399999999999994E-2</v>
      </c>
      <c r="BB71" s="11">
        <v>7.3300000000000004E-2</v>
      </c>
    </row>
    <row r="72" spans="1:54" s="7" customFormat="1">
      <c r="A72" s="32" t="s">
        <v>67</v>
      </c>
      <c r="B72" s="31" t="s">
        <v>56</v>
      </c>
      <c r="C72" s="2" t="s">
        <v>26</v>
      </c>
      <c r="D72" s="1" t="s">
        <v>26</v>
      </c>
      <c r="E72" s="1" t="s">
        <v>26</v>
      </c>
      <c r="F72" s="1" t="s">
        <v>26</v>
      </c>
      <c r="G72" s="2">
        <v>205653211.63999999</v>
      </c>
      <c r="H72" s="1">
        <v>0.7380762238984</v>
      </c>
      <c r="I72" s="1" t="s">
        <v>26</v>
      </c>
      <c r="J72" s="1" t="s">
        <v>26</v>
      </c>
      <c r="K72" s="2">
        <v>83381474.329999998</v>
      </c>
      <c r="L72" s="1">
        <v>1</v>
      </c>
      <c r="M72" s="1" t="s">
        <v>26</v>
      </c>
      <c r="N72" s="1" t="s">
        <v>26</v>
      </c>
      <c r="O72" s="2">
        <v>166167316.30000001</v>
      </c>
      <c r="P72" s="1">
        <v>1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42226572.159999996</v>
      </c>
      <c r="AB72" s="1">
        <v>0.54188973896649995</v>
      </c>
      <c r="AC72" s="1" t="s">
        <v>26</v>
      </c>
      <c r="AD72" s="1" t="s">
        <v>26</v>
      </c>
      <c r="AE72" s="2">
        <v>497428574.43000001</v>
      </c>
      <c r="AF72" s="1">
        <v>0.72098272860148005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497428574.43000001</v>
      </c>
      <c r="AZ72" s="1">
        <v>0.72098272860148005</v>
      </c>
      <c r="BA72" s="1" t="s">
        <v>26</v>
      </c>
      <c r="BB72" s="1" t="s">
        <v>26</v>
      </c>
    </row>
    <row r="73" spans="1:54" s="7" customFormat="1">
      <c r="A73" s="32" t="s">
        <v>67</v>
      </c>
      <c r="B73" s="31" t="s">
        <v>46</v>
      </c>
      <c r="C73" s="2">
        <v>10842876.300000001</v>
      </c>
      <c r="D73" s="1">
        <v>1</v>
      </c>
      <c r="E73" s="1" t="s">
        <v>26</v>
      </c>
      <c r="F73" s="1" t="s">
        <v>26</v>
      </c>
      <c r="G73" s="2">
        <v>72980898.200000003</v>
      </c>
      <c r="H73" s="1">
        <v>0.2619237761016</v>
      </c>
      <c r="I73" s="1" t="s">
        <v>26</v>
      </c>
      <c r="J73" s="1" t="s">
        <v>26</v>
      </c>
      <c r="K73" s="2" t="s">
        <v>26</v>
      </c>
      <c r="L73" s="1" t="s">
        <v>26</v>
      </c>
      <c r="M73" s="1" t="s">
        <v>26</v>
      </c>
      <c r="N73" s="1" t="s">
        <v>26</v>
      </c>
      <c r="O73" s="2" t="s">
        <v>26</v>
      </c>
      <c r="P73" s="1" t="s">
        <v>26</v>
      </c>
      <c r="Q73" s="1" t="s">
        <v>26</v>
      </c>
      <c r="R73" s="1" t="s">
        <v>26</v>
      </c>
      <c r="S73" s="2">
        <v>72980898.200000003</v>
      </c>
      <c r="T73" s="1">
        <v>1</v>
      </c>
      <c r="U73" s="1" t="s">
        <v>26</v>
      </c>
      <c r="V73" s="1" t="s">
        <v>26</v>
      </c>
      <c r="W73" s="2" t="s">
        <v>26</v>
      </c>
      <c r="X73" s="1" t="s">
        <v>26</v>
      </c>
      <c r="Y73" s="1" t="s">
        <v>26</v>
      </c>
      <c r="Z73" s="1" t="s">
        <v>26</v>
      </c>
      <c r="AA73" s="2">
        <v>35698085.060000002</v>
      </c>
      <c r="AB73" s="1">
        <v>0.4581102610335</v>
      </c>
      <c r="AC73" s="1" t="s">
        <v>26</v>
      </c>
      <c r="AD73" s="1" t="s">
        <v>26</v>
      </c>
      <c r="AE73" s="2">
        <v>192502757.75999999</v>
      </c>
      <c r="AF73" s="1">
        <v>0.27901727139852001</v>
      </c>
      <c r="AG73" s="1" t="s">
        <v>26</v>
      </c>
      <c r="AH73" s="1" t="s">
        <v>26</v>
      </c>
      <c r="AI73" s="2" t="s">
        <v>26</v>
      </c>
      <c r="AJ73" s="1" t="s">
        <v>26</v>
      </c>
      <c r="AK73" s="1" t="s">
        <v>26</v>
      </c>
      <c r="AL73" s="1" t="s">
        <v>26</v>
      </c>
      <c r="AM73" s="2" t="s">
        <v>26</v>
      </c>
      <c r="AN73" s="1" t="s">
        <v>26</v>
      </c>
      <c r="AO73" s="1" t="s">
        <v>26</v>
      </c>
      <c r="AP73" s="1" t="s">
        <v>26</v>
      </c>
      <c r="AQ73" s="2" t="s">
        <v>26</v>
      </c>
      <c r="AR73" s="1" t="s">
        <v>26</v>
      </c>
      <c r="AS73" s="1" t="s">
        <v>26</v>
      </c>
      <c r="AT73" s="1" t="s">
        <v>26</v>
      </c>
      <c r="AU73" s="2" t="s">
        <v>26</v>
      </c>
      <c r="AV73" s="1" t="s">
        <v>26</v>
      </c>
      <c r="AW73" s="1" t="s">
        <v>26</v>
      </c>
      <c r="AX73" s="1" t="s">
        <v>26</v>
      </c>
      <c r="AY73" s="2">
        <v>192502757.75999999</v>
      </c>
      <c r="AZ73" s="1">
        <v>0.27901727139852001</v>
      </c>
      <c r="BA73" s="1" t="s">
        <v>26</v>
      </c>
      <c r="BB73" s="1" t="s">
        <v>26</v>
      </c>
    </row>
    <row r="74" spans="1:54" s="7" customFormat="1">
      <c r="A74" s="34" t="s">
        <v>68</v>
      </c>
      <c r="B74" s="24" t="s">
        <v>25</v>
      </c>
      <c r="C74" s="10" t="s">
        <v>26</v>
      </c>
      <c r="D74" s="11" t="s">
        <v>26</v>
      </c>
      <c r="E74" s="11" t="s">
        <v>26</v>
      </c>
      <c r="F74" s="11" t="s">
        <v>26</v>
      </c>
      <c r="G74" s="10">
        <v>485361989.17000002</v>
      </c>
      <c r="H74" s="11">
        <v>3.5797956032000001E-3</v>
      </c>
      <c r="I74" s="11">
        <v>0.09</v>
      </c>
      <c r="J74" s="11">
        <v>8.6400000000000005E-2</v>
      </c>
      <c r="K74" s="10" t="s">
        <v>26</v>
      </c>
      <c r="L74" s="11" t="s">
        <v>26</v>
      </c>
      <c r="M74" s="11" t="s">
        <v>26</v>
      </c>
      <c r="N74" s="11" t="s">
        <v>26</v>
      </c>
      <c r="O74" s="10">
        <v>1069321078.48</v>
      </c>
      <c r="P74" s="11">
        <v>5.29406331002E-3</v>
      </c>
      <c r="Q74" s="11">
        <v>0.09</v>
      </c>
      <c r="R74" s="11">
        <v>8.4699999999999998E-2</v>
      </c>
      <c r="S74" s="10">
        <v>489199522.64999998</v>
      </c>
      <c r="T74" s="11">
        <v>4.8201343148700001E-3</v>
      </c>
      <c r="U74" s="11">
        <v>0.09</v>
      </c>
      <c r="V74" s="11">
        <v>8.5199999999999998E-2</v>
      </c>
      <c r="W74" s="10" t="s">
        <v>26</v>
      </c>
      <c r="X74" s="11" t="s">
        <v>26</v>
      </c>
      <c r="Y74" s="11" t="s">
        <v>26</v>
      </c>
      <c r="Z74" s="11" t="s">
        <v>26</v>
      </c>
      <c r="AA74" s="10">
        <v>1302237591.1099999</v>
      </c>
      <c r="AB74" s="11">
        <v>1.048414447168E-2</v>
      </c>
      <c r="AC74" s="11">
        <v>0.09</v>
      </c>
      <c r="AD74" s="11">
        <v>7.9500000000000001E-2</v>
      </c>
      <c r="AE74" s="10">
        <v>3346120181.4099998</v>
      </c>
      <c r="AF74" s="11">
        <v>5.8004953542699998E-3</v>
      </c>
      <c r="AG74" s="11">
        <v>0.09</v>
      </c>
      <c r="AH74" s="11">
        <v>8.4199999999999997E-2</v>
      </c>
      <c r="AI74" s="10">
        <v>90967326.230000004</v>
      </c>
      <c r="AJ74" s="11">
        <v>5.7390892965300004E-3</v>
      </c>
      <c r="AK74" s="11">
        <v>0.09</v>
      </c>
      <c r="AL74" s="11">
        <v>8.43E-2</v>
      </c>
      <c r="AM74" s="10">
        <v>12800318.07</v>
      </c>
      <c r="AN74" s="11">
        <v>5.5622187042999997E-4</v>
      </c>
      <c r="AO74" s="11">
        <v>0.09</v>
      </c>
      <c r="AP74" s="11">
        <v>8.9399999999999993E-2</v>
      </c>
      <c r="AQ74" s="10">
        <v>103767644.3</v>
      </c>
      <c r="AR74" s="11">
        <v>2.6700572739199999E-3</v>
      </c>
      <c r="AS74" s="11">
        <v>0.09</v>
      </c>
      <c r="AT74" s="11">
        <v>8.7300000000000003E-2</v>
      </c>
      <c r="AU74" s="10">
        <v>176158021.47999999</v>
      </c>
      <c r="AV74" s="11">
        <v>4.3317266875200003E-3</v>
      </c>
      <c r="AW74" s="11">
        <v>0.09</v>
      </c>
      <c r="AX74" s="11">
        <v>8.5699999999999998E-2</v>
      </c>
      <c r="AY74" s="10">
        <v>3626045847.1900001</v>
      </c>
      <c r="AZ74" s="11">
        <v>5.5241541158200002E-3</v>
      </c>
      <c r="BA74" s="11">
        <v>0.09</v>
      </c>
      <c r="BB74" s="11">
        <v>8.4500000000000006E-2</v>
      </c>
    </row>
    <row r="75" spans="1:54" s="7" customFormat="1">
      <c r="A75" s="32" t="s">
        <v>67</v>
      </c>
      <c r="B75" s="31" t="s">
        <v>37</v>
      </c>
      <c r="C75" s="2" t="s">
        <v>26</v>
      </c>
      <c r="D75" s="1" t="s">
        <v>26</v>
      </c>
      <c r="E75" s="1" t="s">
        <v>26</v>
      </c>
      <c r="F75" s="1" t="s">
        <v>26</v>
      </c>
      <c r="G75" s="2">
        <v>485361989.17000002</v>
      </c>
      <c r="H75" s="1">
        <v>1</v>
      </c>
      <c r="I75" s="1" t="s">
        <v>26</v>
      </c>
      <c r="J75" s="1" t="s">
        <v>26</v>
      </c>
      <c r="K75" s="2" t="s">
        <v>26</v>
      </c>
      <c r="L75" s="1" t="s">
        <v>26</v>
      </c>
      <c r="M75" s="1" t="s">
        <v>26</v>
      </c>
      <c r="N75" s="1" t="s">
        <v>26</v>
      </c>
      <c r="O75" s="2">
        <v>1069321078.48</v>
      </c>
      <c r="P75" s="1">
        <v>1</v>
      </c>
      <c r="Q75" s="1" t="s">
        <v>26</v>
      </c>
      <c r="R75" s="1" t="s">
        <v>26</v>
      </c>
      <c r="S75" s="2">
        <v>489199522.64999998</v>
      </c>
      <c r="T75" s="1">
        <v>1</v>
      </c>
      <c r="U75" s="1" t="s">
        <v>26</v>
      </c>
      <c r="V75" s="1" t="s">
        <v>26</v>
      </c>
      <c r="W75" s="2" t="s">
        <v>26</v>
      </c>
      <c r="X75" s="1" t="s">
        <v>26</v>
      </c>
      <c r="Y75" s="1" t="s">
        <v>26</v>
      </c>
      <c r="Z75" s="1" t="s">
        <v>26</v>
      </c>
      <c r="AA75" s="2">
        <v>1302237591.1099999</v>
      </c>
      <c r="AB75" s="1">
        <v>1</v>
      </c>
      <c r="AC75" s="1" t="s">
        <v>26</v>
      </c>
      <c r="AD75" s="1" t="s">
        <v>26</v>
      </c>
      <c r="AE75" s="2">
        <v>3346120181.4099998</v>
      </c>
      <c r="AF75" s="1">
        <v>1</v>
      </c>
      <c r="AG75" s="1" t="s">
        <v>26</v>
      </c>
      <c r="AH75" s="1" t="s">
        <v>26</v>
      </c>
      <c r="AI75" s="2">
        <v>90967326.230000004</v>
      </c>
      <c r="AJ75" s="1">
        <v>1</v>
      </c>
      <c r="AK75" s="1" t="s">
        <v>26</v>
      </c>
      <c r="AL75" s="1" t="s">
        <v>26</v>
      </c>
      <c r="AM75" s="2">
        <v>12800318.07</v>
      </c>
      <c r="AN75" s="1">
        <v>1</v>
      </c>
      <c r="AO75" s="1" t="s">
        <v>26</v>
      </c>
      <c r="AP75" s="1" t="s">
        <v>26</v>
      </c>
      <c r="AQ75" s="2">
        <v>103767644.3</v>
      </c>
      <c r="AR75" s="1">
        <v>1</v>
      </c>
      <c r="AS75" s="1" t="s">
        <v>26</v>
      </c>
      <c r="AT75" s="1" t="s">
        <v>26</v>
      </c>
      <c r="AU75" s="2">
        <v>176158021.47999999</v>
      </c>
      <c r="AV75" s="1">
        <v>1</v>
      </c>
      <c r="AW75" s="1" t="s">
        <v>26</v>
      </c>
      <c r="AX75" s="1" t="s">
        <v>26</v>
      </c>
      <c r="AY75" s="2">
        <v>3626045847.1900001</v>
      </c>
      <c r="AZ75" s="1">
        <v>1</v>
      </c>
      <c r="BA75" s="1" t="s">
        <v>26</v>
      </c>
      <c r="BB75" s="1" t="s">
        <v>26</v>
      </c>
    </row>
    <row r="76" spans="1:54" s="7" customFormat="1">
      <c r="A76" s="34" t="s">
        <v>69</v>
      </c>
      <c r="B76" s="24" t="s">
        <v>25</v>
      </c>
      <c r="C76" s="10">
        <v>311289604.64999998</v>
      </c>
      <c r="D76" s="11">
        <v>5.8494257723499997E-2</v>
      </c>
      <c r="E76" s="11">
        <v>0.08</v>
      </c>
      <c r="F76" s="11">
        <v>2.1499999999999998E-2</v>
      </c>
      <c r="G76" s="10">
        <v>405742700</v>
      </c>
      <c r="H76" s="11">
        <v>2.9925621822500001E-3</v>
      </c>
      <c r="I76" s="11">
        <v>0.08</v>
      </c>
      <c r="J76" s="11">
        <v>7.6999999999999999E-2</v>
      </c>
      <c r="K76" s="10">
        <v>159036332.91999999</v>
      </c>
      <c r="L76" s="11">
        <v>6.270518463218E-2</v>
      </c>
      <c r="M76" s="11">
        <v>0.08</v>
      </c>
      <c r="N76" s="11">
        <v>1.7299999999999999E-2</v>
      </c>
      <c r="O76" s="10">
        <v>1447536124.1700001</v>
      </c>
      <c r="P76" s="11">
        <v>7.1665545916199998E-3</v>
      </c>
      <c r="Q76" s="11">
        <v>0.08</v>
      </c>
      <c r="R76" s="11">
        <v>7.2800000000000004E-2</v>
      </c>
      <c r="S76" s="10">
        <v>312403725.11000001</v>
      </c>
      <c r="T76" s="11">
        <v>3.0781467392700002E-3</v>
      </c>
      <c r="U76" s="11">
        <v>0.08</v>
      </c>
      <c r="V76" s="11">
        <v>7.6899999999999996E-2</v>
      </c>
      <c r="W76" s="10" t="s">
        <v>26</v>
      </c>
      <c r="X76" s="11" t="s">
        <v>26</v>
      </c>
      <c r="Y76" s="11" t="s">
        <v>26</v>
      </c>
      <c r="Z76" s="11" t="s">
        <v>26</v>
      </c>
      <c r="AA76" s="10" t="s">
        <v>26</v>
      </c>
      <c r="AB76" s="11" t="s">
        <v>26</v>
      </c>
      <c r="AC76" s="11" t="s">
        <v>26</v>
      </c>
      <c r="AD76" s="11" t="s">
        <v>26</v>
      </c>
      <c r="AE76" s="10">
        <v>2636008486.8499999</v>
      </c>
      <c r="AF76" s="11">
        <v>4.5695175764299996E-3</v>
      </c>
      <c r="AG76" s="11">
        <v>0.08</v>
      </c>
      <c r="AH76" s="11">
        <v>7.5399999999999995E-2</v>
      </c>
      <c r="AI76" s="10" t="s">
        <v>26</v>
      </c>
      <c r="AJ76" s="11" t="s">
        <v>26</v>
      </c>
      <c r="AK76" s="11" t="s">
        <v>26</v>
      </c>
      <c r="AL76" s="11" t="s">
        <v>26</v>
      </c>
      <c r="AM76" s="10" t="s">
        <v>26</v>
      </c>
      <c r="AN76" s="11" t="s">
        <v>26</v>
      </c>
      <c r="AO76" s="11" t="s">
        <v>26</v>
      </c>
      <c r="AP76" s="11" t="s">
        <v>26</v>
      </c>
      <c r="AQ76" s="10" t="s">
        <v>26</v>
      </c>
      <c r="AR76" s="11" t="s">
        <v>26</v>
      </c>
      <c r="AS76" s="11" t="s">
        <v>26</v>
      </c>
      <c r="AT76" s="11" t="s">
        <v>26</v>
      </c>
      <c r="AU76" s="10" t="s">
        <v>26</v>
      </c>
      <c r="AV76" s="11" t="s">
        <v>26</v>
      </c>
      <c r="AW76" s="11" t="s">
        <v>26</v>
      </c>
      <c r="AX76" s="11" t="s">
        <v>26</v>
      </c>
      <c r="AY76" s="10">
        <v>2636008486.8499999</v>
      </c>
      <c r="AZ76" s="11">
        <v>4.0158667997200002E-3</v>
      </c>
      <c r="BA76" s="11">
        <v>0.08</v>
      </c>
      <c r="BB76" s="11">
        <v>7.5999999999999998E-2</v>
      </c>
    </row>
    <row r="77" spans="1:54" s="7" customFormat="1">
      <c r="A77" s="32" t="s">
        <v>67</v>
      </c>
      <c r="B77" s="31" t="s">
        <v>56</v>
      </c>
      <c r="C77" s="2">
        <v>311289604.64999998</v>
      </c>
      <c r="D77" s="1">
        <v>1</v>
      </c>
      <c r="E77" s="1" t="s">
        <v>26</v>
      </c>
      <c r="F77" s="1" t="s">
        <v>26</v>
      </c>
      <c r="G77" s="2">
        <v>405742700</v>
      </c>
      <c r="H77" s="1">
        <v>1</v>
      </c>
      <c r="I77" s="1" t="s">
        <v>26</v>
      </c>
      <c r="J77" s="1" t="s">
        <v>26</v>
      </c>
      <c r="K77" s="2">
        <v>159036332.91999999</v>
      </c>
      <c r="L77" s="1">
        <v>1</v>
      </c>
      <c r="M77" s="1" t="s">
        <v>26</v>
      </c>
      <c r="N77" s="1" t="s">
        <v>26</v>
      </c>
      <c r="O77" s="2">
        <v>1447536124.1700001</v>
      </c>
      <c r="P77" s="1">
        <v>1</v>
      </c>
      <c r="Q77" s="1" t="s">
        <v>26</v>
      </c>
      <c r="R77" s="1" t="s">
        <v>26</v>
      </c>
      <c r="S77" s="2">
        <v>312403725.11000001</v>
      </c>
      <c r="T77" s="1">
        <v>1</v>
      </c>
      <c r="U77" s="1" t="s">
        <v>26</v>
      </c>
      <c r="V77" s="1" t="s">
        <v>26</v>
      </c>
      <c r="W77" s="2" t="s">
        <v>26</v>
      </c>
      <c r="X77" s="1" t="s">
        <v>26</v>
      </c>
      <c r="Y77" s="1" t="s">
        <v>26</v>
      </c>
      <c r="Z77" s="1" t="s">
        <v>26</v>
      </c>
      <c r="AA77" s="2" t="s">
        <v>26</v>
      </c>
      <c r="AB77" s="1" t="s">
        <v>26</v>
      </c>
      <c r="AC77" s="1" t="s">
        <v>26</v>
      </c>
      <c r="AD77" s="1" t="s">
        <v>26</v>
      </c>
      <c r="AE77" s="2">
        <v>2636008486.8499999</v>
      </c>
      <c r="AF77" s="1">
        <v>1</v>
      </c>
      <c r="AG77" s="1" t="s">
        <v>26</v>
      </c>
      <c r="AH77" s="1" t="s">
        <v>26</v>
      </c>
      <c r="AI77" s="2" t="s">
        <v>26</v>
      </c>
      <c r="AJ77" s="1" t="s">
        <v>26</v>
      </c>
      <c r="AK77" s="1" t="s">
        <v>26</v>
      </c>
      <c r="AL77" s="1" t="s">
        <v>26</v>
      </c>
      <c r="AM77" s="2" t="s">
        <v>26</v>
      </c>
      <c r="AN77" s="1" t="s">
        <v>26</v>
      </c>
      <c r="AO77" s="1" t="s">
        <v>26</v>
      </c>
      <c r="AP77" s="1" t="s">
        <v>26</v>
      </c>
      <c r="AQ77" s="2" t="s">
        <v>26</v>
      </c>
      <c r="AR77" s="1" t="s">
        <v>26</v>
      </c>
      <c r="AS77" s="1" t="s">
        <v>26</v>
      </c>
      <c r="AT77" s="1" t="s">
        <v>26</v>
      </c>
      <c r="AU77" s="2" t="s">
        <v>26</v>
      </c>
      <c r="AV77" s="1" t="s">
        <v>26</v>
      </c>
      <c r="AW77" s="1" t="s">
        <v>26</v>
      </c>
      <c r="AX77" s="1" t="s">
        <v>26</v>
      </c>
      <c r="AY77" s="2">
        <v>2636008486.8499999</v>
      </c>
      <c r="AZ77" s="1">
        <v>1</v>
      </c>
      <c r="BA77" s="1" t="s">
        <v>26</v>
      </c>
      <c r="BB77" s="1" t="s">
        <v>26</v>
      </c>
    </row>
    <row r="78" spans="1:54" s="7" customFormat="1">
      <c r="A78" s="34" t="s">
        <v>70</v>
      </c>
      <c r="B78" s="24" t="s">
        <v>25</v>
      </c>
      <c r="C78" s="10" t="s">
        <v>26</v>
      </c>
      <c r="D78" s="11" t="s">
        <v>26</v>
      </c>
      <c r="E78" s="11" t="s">
        <v>26</v>
      </c>
      <c r="F78" s="11" t="s">
        <v>26</v>
      </c>
      <c r="G78" s="10">
        <v>2171625992.0100002</v>
      </c>
      <c r="H78" s="11">
        <v>1.6016864425840001E-2</v>
      </c>
      <c r="I78" s="11">
        <v>0.09</v>
      </c>
      <c r="J78" s="11">
        <v>7.3999999999999996E-2</v>
      </c>
      <c r="K78" s="10" t="s">
        <v>26</v>
      </c>
      <c r="L78" s="11" t="s">
        <v>26</v>
      </c>
      <c r="M78" s="11" t="s">
        <v>26</v>
      </c>
      <c r="N78" s="11" t="s">
        <v>26</v>
      </c>
      <c r="O78" s="10">
        <v>2071354299.1700001</v>
      </c>
      <c r="P78" s="11">
        <v>1.025499358235E-2</v>
      </c>
      <c r="Q78" s="11">
        <v>0.09</v>
      </c>
      <c r="R78" s="11">
        <v>7.9699999999999993E-2</v>
      </c>
      <c r="S78" s="10">
        <v>1296749583.99</v>
      </c>
      <c r="T78" s="11">
        <v>1.2777009948260001E-2</v>
      </c>
      <c r="U78" s="11">
        <v>0.09</v>
      </c>
      <c r="V78" s="11">
        <v>7.7200000000000005E-2</v>
      </c>
      <c r="W78" s="10" t="s">
        <v>26</v>
      </c>
      <c r="X78" s="11" t="s">
        <v>26</v>
      </c>
      <c r="Y78" s="11" t="s">
        <v>26</v>
      </c>
      <c r="Z78" s="11" t="s">
        <v>26</v>
      </c>
      <c r="AA78" s="10">
        <v>1730252467.25</v>
      </c>
      <c r="AB78" s="11">
        <v>1.393003624144E-2</v>
      </c>
      <c r="AC78" s="11">
        <v>0.09</v>
      </c>
      <c r="AD78" s="11">
        <v>7.6100000000000001E-2</v>
      </c>
      <c r="AE78" s="10">
        <v>7269982342.4200001</v>
      </c>
      <c r="AF78" s="11">
        <v>1.260250574295E-2</v>
      </c>
      <c r="AG78" s="11">
        <v>0.09</v>
      </c>
      <c r="AH78" s="11">
        <v>7.7399999999999997E-2</v>
      </c>
      <c r="AI78" s="10">
        <v>15404980.27</v>
      </c>
      <c r="AJ78" s="11">
        <v>9.7189354733000005E-4</v>
      </c>
      <c r="AK78" s="11">
        <v>0.09</v>
      </c>
      <c r="AL78" s="11">
        <v>8.8999999999999996E-2</v>
      </c>
      <c r="AM78" s="10">
        <v>110367064.19</v>
      </c>
      <c r="AN78" s="11">
        <v>4.79586323888E-3</v>
      </c>
      <c r="AO78" s="11">
        <v>0.09</v>
      </c>
      <c r="AP78" s="11">
        <v>8.5199999999999998E-2</v>
      </c>
      <c r="AQ78" s="10">
        <v>125772044.45999999</v>
      </c>
      <c r="AR78" s="11">
        <v>3.2362550430000002E-3</v>
      </c>
      <c r="AS78" s="11">
        <v>0.09</v>
      </c>
      <c r="AT78" s="11">
        <v>8.6800000000000002E-2</v>
      </c>
      <c r="AU78" s="10">
        <v>453169841.29000002</v>
      </c>
      <c r="AV78" s="11">
        <v>1.1143448813760001E-2</v>
      </c>
      <c r="AW78" s="11">
        <v>0.09</v>
      </c>
      <c r="AX78" s="11">
        <v>7.8899999999999998E-2</v>
      </c>
      <c r="AY78" s="10">
        <v>7848924228.1700001</v>
      </c>
      <c r="AZ78" s="11">
        <v>1.195756173724E-2</v>
      </c>
      <c r="BA78" s="11">
        <v>0.09</v>
      </c>
      <c r="BB78" s="11">
        <v>7.8E-2</v>
      </c>
    </row>
    <row r="79" spans="1:54" s="7" customFormat="1">
      <c r="A79" s="32" t="s">
        <v>67</v>
      </c>
      <c r="B79" s="31" t="s">
        <v>37</v>
      </c>
      <c r="C79" s="2" t="s">
        <v>26</v>
      </c>
      <c r="D79" s="1" t="s">
        <v>26</v>
      </c>
      <c r="E79" s="1" t="s">
        <v>26</v>
      </c>
      <c r="F79" s="1" t="s">
        <v>26</v>
      </c>
      <c r="G79" s="2">
        <v>2171625992.0100002</v>
      </c>
      <c r="H79" s="1">
        <v>1</v>
      </c>
      <c r="I79" s="1" t="s">
        <v>26</v>
      </c>
      <c r="J79" s="1" t="s">
        <v>26</v>
      </c>
      <c r="K79" s="2" t="s">
        <v>26</v>
      </c>
      <c r="L79" s="1" t="s">
        <v>26</v>
      </c>
      <c r="M79" s="1" t="s">
        <v>26</v>
      </c>
      <c r="N79" s="1" t="s">
        <v>26</v>
      </c>
      <c r="O79" s="2">
        <v>2071354299.1700001</v>
      </c>
      <c r="P79" s="1">
        <v>1</v>
      </c>
      <c r="Q79" s="1" t="s">
        <v>26</v>
      </c>
      <c r="R79" s="1" t="s">
        <v>26</v>
      </c>
      <c r="S79" s="2">
        <v>1296749583.99</v>
      </c>
      <c r="T79" s="1">
        <v>1</v>
      </c>
      <c r="U79" s="1" t="s">
        <v>26</v>
      </c>
      <c r="V79" s="1" t="s">
        <v>26</v>
      </c>
      <c r="W79" s="2" t="s">
        <v>26</v>
      </c>
      <c r="X79" s="1" t="s">
        <v>26</v>
      </c>
      <c r="Y79" s="1" t="s">
        <v>26</v>
      </c>
      <c r="Z79" s="1" t="s">
        <v>26</v>
      </c>
      <c r="AA79" s="2">
        <v>1730252467.25</v>
      </c>
      <c r="AB79" s="1">
        <v>1</v>
      </c>
      <c r="AC79" s="1" t="s">
        <v>26</v>
      </c>
      <c r="AD79" s="1" t="s">
        <v>26</v>
      </c>
      <c r="AE79" s="2">
        <v>7269982342.4200001</v>
      </c>
      <c r="AF79" s="1">
        <v>1</v>
      </c>
      <c r="AG79" s="1" t="s">
        <v>26</v>
      </c>
      <c r="AH79" s="1" t="s">
        <v>26</v>
      </c>
      <c r="AI79" s="2">
        <v>15404980.27</v>
      </c>
      <c r="AJ79" s="1">
        <v>1</v>
      </c>
      <c r="AK79" s="1" t="s">
        <v>26</v>
      </c>
      <c r="AL79" s="1" t="s">
        <v>26</v>
      </c>
      <c r="AM79" s="2">
        <v>110367064.19</v>
      </c>
      <c r="AN79" s="1">
        <v>1</v>
      </c>
      <c r="AO79" s="1" t="s">
        <v>26</v>
      </c>
      <c r="AP79" s="1" t="s">
        <v>26</v>
      </c>
      <c r="AQ79" s="2">
        <v>125772044.45999999</v>
      </c>
      <c r="AR79" s="1">
        <v>1</v>
      </c>
      <c r="AS79" s="1" t="s">
        <v>26</v>
      </c>
      <c r="AT79" s="1" t="s">
        <v>26</v>
      </c>
      <c r="AU79" s="2">
        <v>453169841.29000002</v>
      </c>
      <c r="AV79" s="1">
        <v>1</v>
      </c>
      <c r="AW79" s="1" t="s">
        <v>26</v>
      </c>
      <c r="AX79" s="1" t="s">
        <v>26</v>
      </c>
      <c r="AY79" s="2">
        <v>7848924228.1700001</v>
      </c>
      <c r="AZ79" s="1">
        <v>1</v>
      </c>
      <c r="BA79" s="1" t="s">
        <v>26</v>
      </c>
      <c r="BB79" s="1" t="s">
        <v>26</v>
      </c>
    </row>
    <row r="80" spans="1:54" s="7" customFormat="1">
      <c r="A80" s="34" t="s">
        <v>71</v>
      </c>
      <c r="B80" s="24" t="s">
        <v>25</v>
      </c>
      <c r="C80" s="10">
        <v>87871512.879999995</v>
      </c>
      <c r="D80" s="11">
        <v>1.6511887464839999E-2</v>
      </c>
      <c r="E80" s="11">
        <v>0.08</v>
      </c>
      <c r="F80" s="11">
        <v>6.3500000000000001E-2</v>
      </c>
      <c r="G80" s="10">
        <v>228311788.43000001</v>
      </c>
      <c r="H80" s="11">
        <v>1.6839174772999999E-3</v>
      </c>
      <c r="I80" s="11">
        <v>0.08</v>
      </c>
      <c r="J80" s="11">
        <v>7.8299999999999995E-2</v>
      </c>
      <c r="K80" s="10">
        <v>105786350.44</v>
      </c>
      <c r="L80" s="11">
        <v>4.1709667936329999E-2</v>
      </c>
      <c r="M80" s="11">
        <v>0.08</v>
      </c>
      <c r="N80" s="11">
        <v>3.8300000000000001E-2</v>
      </c>
      <c r="O80" s="10">
        <v>2864664908.23</v>
      </c>
      <c r="P80" s="11">
        <v>1.4182566575529999E-2</v>
      </c>
      <c r="Q80" s="11">
        <v>0.08</v>
      </c>
      <c r="R80" s="11">
        <v>6.5799999999999997E-2</v>
      </c>
      <c r="S80" s="10">
        <v>2923027789.98</v>
      </c>
      <c r="T80" s="11">
        <v>2.880090004478E-2</v>
      </c>
      <c r="U80" s="11">
        <v>0.08</v>
      </c>
      <c r="V80" s="11">
        <v>5.1200000000000002E-2</v>
      </c>
      <c r="W80" s="10" t="s">
        <v>26</v>
      </c>
      <c r="X80" s="11" t="s">
        <v>26</v>
      </c>
      <c r="Y80" s="11" t="s">
        <v>26</v>
      </c>
      <c r="Z80" s="11" t="s">
        <v>26</v>
      </c>
      <c r="AA80" s="10">
        <v>1916704635.45</v>
      </c>
      <c r="AB80" s="11">
        <v>1.5431138253700001E-2</v>
      </c>
      <c r="AC80" s="11">
        <v>0.08</v>
      </c>
      <c r="AD80" s="11">
        <v>6.4600000000000005E-2</v>
      </c>
      <c r="AE80" s="10">
        <v>8126366985.4099998</v>
      </c>
      <c r="AF80" s="11">
        <v>1.408704750291E-2</v>
      </c>
      <c r="AG80" s="11">
        <v>0.08</v>
      </c>
      <c r="AH80" s="11">
        <v>6.59E-2</v>
      </c>
      <c r="AI80" s="10">
        <v>621044224.38999999</v>
      </c>
      <c r="AJ80" s="11">
        <v>3.9181411706650002E-2</v>
      </c>
      <c r="AK80" s="11">
        <v>0.08</v>
      </c>
      <c r="AL80" s="11">
        <v>4.0800000000000003E-2</v>
      </c>
      <c r="AM80" s="10">
        <v>1684472056.1400001</v>
      </c>
      <c r="AN80" s="11">
        <v>7.3196634070529995E-2</v>
      </c>
      <c r="AO80" s="11">
        <v>0.08</v>
      </c>
      <c r="AP80" s="11">
        <v>6.7999999999999996E-3</v>
      </c>
      <c r="AQ80" s="10">
        <v>2305516280.5300002</v>
      </c>
      <c r="AR80" s="11">
        <v>5.932350644079E-2</v>
      </c>
      <c r="AS80" s="11">
        <v>0.08</v>
      </c>
      <c r="AT80" s="11">
        <v>2.07E-2</v>
      </c>
      <c r="AU80" s="10">
        <v>717849441.17999995</v>
      </c>
      <c r="AV80" s="11">
        <v>1.7651921586399999E-2</v>
      </c>
      <c r="AW80" s="11">
        <v>0.08</v>
      </c>
      <c r="AX80" s="11">
        <v>6.2300000000000001E-2</v>
      </c>
      <c r="AY80" s="10">
        <v>11149732707.120001</v>
      </c>
      <c r="AZ80" s="11">
        <v>1.6986228089779998E-2</v>
      </c>
      <c r="BA80" s="11">
        <v>0.08</v>
      </c>
      <c r="BB80" s="11">
        <v>6.3E-2</v>
      </c>
    </row>
    <row r="81" spans="1:54" s="7" customFormat="1">
      <c r="A81" s="32" t="s">
        <v>67</v>
      </c>
      <c r="B81" s="31" t="s">
        <v>56</v>
      </c>
      <c r="C81" s="2">
        <v>87871512.879999995</v>
      </c>
      <c r="D81" s="1">
        <v>1</v>
      </c>
      <c r="E81" s="1" t="s">
        <v>26</v>
      </c>
      <c r="F81" s="1" t="s">
        <v>26</v>
      </c>
      <c r="G81" s="2">
        <v>228311788.43000001</v>
      </c>
      <c r="H81" s="1">
        <v>1</v>
      </c>
      <c r="I81" s="1" t="s">
        <v>26</v>
      </c>
      <c r="J81" s="1" t="s">
        <v>26</v>
      </c>
      <c r="K81" s="2">
        <v>105786350.44</v>
      </c>
      <c r="L81" s="1">
        <v>1</v>
      </c>
      <c r="M81" s="1" t="s">
        <v>26</v>
      </c>
      <c r="N81" s="1" t="s">
        <v>26</v>
      </c>
      <c r="O81" s="2">
        <v>2864664908.23</v>
      </c>
      <c r="P81" s="1">
        <v>1</v>
      </c>
      <c r="Q81" s="1" t="s">
        <v>26</v>
      </c>
      <c r="R81" s="1" t="s">
        <v>26</v>
      </c>
      <c r="S81" s="2">
        <v>2923027789.98</v>
      </c>
      <c r="T81" s="1">
        <v>1</v>
      </c>
      <c r="U81" s="1" t="s">
        <v>26</v>
      </c>
      <c r="V81" s="1" t="s">
        <v>26</v>
      </c>
      <c r="W81" s="2" t="s">
        <v>26</v>
      </c>
      <c r="X81" s="1" t="s">
        <v>26</v>
      </c>
      <c r="Y81" s="1" t="s">
        <v>26</v>
      </c>
      <c r="Z81" s="1" t="s">
        <v>26</v>
      </c>
      <c r="AA81" s="2">
        <v>1916704635.45</v>
      </c>
      <c r="AB81" s="1">
        <v>1</v>
      </c>
      <c r="AC81" s="1" t="s">
        <v>26</v>
      </c>
      <c r="AD81" s="1" t="s">
        <v>26</v>
      </c>
      <c r="AE81" s="2">
        <v>8126366985.4099998</v>
      </c>
      <c r="AF81" s="1">
        <v>1</v>
      </c>
      <c r="AG81" s="1" t="s">
        <v>26</v>
      </c>
      <c r="AH81" s="1" t="s">
        <v>26</v>
      </c>
      <c r="AI81" s="2">
        <v>621044224.38999999</v>
      </c>
      <c r="AJ81" s="1">
        <v>1</v>
      </c>
      <c r="AK81" s="1" t="s">
        <v>26</v>
      </c>
      <c r="AL81" s="1" t="s">
        <v>26</v>
      </c>
      <c r="AM81" s="2">
        <v>1684472056.1400001</v>
      </c>
      <c r="AN81" s="1">
        <v>1</v>
      </c>
      <c r="AO81" s="1" t="s">
        <v>26</v>
      </c>
      <c r="AP81" s="1" t="s">
        <v>26</v>
      </c>
      <c r="AQ81" s="2">
        <v>2305516280.5300002</v>
      </c>
      <c r="AR81" s="1">
        <v>1</v>
      </c>
      <c r="AS81" s="1" t="s">
        <v>26</v>
      </c>
      <c r="AT81" s="1" t="s">
        <v>26</v>
      </c>
      <c r="AU81" s="2">
        <v>717849441.17999995</v>
      </c>
      <c r="AV81" s="1">
        <v>1</v>
      </c>
      <c r="AW81" s="1" t="s">
        <v>26</v>
      </c>
      <c r="AX81" s="1" t="s">
        <v>26</v>
      </c>
      <c r="AY81" s="2">
        <v>11149732707.120001</v>
      </c>
      <c r="AZ81" s="1">
        <v>1</v>
      </c>
      <c r="BA81" s="1" t="s">
        <v>26</v>
      </c>
      <c r="BB81" s="1" t="s">
        <v>26</v>
      </c>
    </row>
    <row r="82" spans="1:54" s="7" customFormat="1">
      <c r="A82" s="34" t="s">
        <v>72</v>
      </c>
      <c r="B82" s="24" t="s">
        <v>25</v>
      </c>
      <c r="C82" s="10">
        <v>90573995.329999998</v>
      </c>
      <c r="D82" s="11">
        <v>1.7019709449779999E-2</v>
      </c>
      <c r="E82" s="11">
        <v>0.08</v>
      </c>
      <c r="F82" s="11">
        <v>6.3E-2</v>
      </c>
      <c r="G82" s="10" t="s">
        <v>26</v>
      </c>
      <c r="H82" s="11" t="s">
        <v>26</v>
      </c>
      <c r="I82" s="11" t="s">
        <v>26</v>
      </c>
      <c r="J82" s="11" t="s">
        <v>26</v>
      </c>
      <c r="K82" s="10">
        <v>103763843.54000001</v>
      </c>
      <c r="L82" s="11">
        <v>4.0912229600969997E-2</v>
      </c>
      <c r="M82" s="11">
        <v>0.08</v>
      </c>
      <c r="N82" s="11">
        <v>3.9100000000000003E-2</v>
      </c>
      <c r="O82" s="10">
        <v>1737376475.51</v>
      </c>
      <c r="P82" s="11">
        <v>8.6015147739899999E-3</v>
      </c>
      <c r="Q82" s="11">
        <v>0.08</v>
      </c>
      <c r="R82" s="11">
        <v>7.1400000000000005E-2</v>
      </c>
      <c r="S82" s="10" t="s">
        <v>26</v>
      </c>
      <c r="T82" s="11" t="s">
        <v>26</v>
      </c>
      <c r="U82" s="11" t="s">
        <v>26</v>
      </c>
      <c r="V82" s="11" t="s">
        <v>26</v>
      </c>
      <c r="W82" s="10" t="s">
        <v>26</v>
      </c>
      <c r="X82" s="11" t="s">
        <v>26</v>
      </c>
      <c r="Y82" s="11" t="s">
        <v>26</v>
      </c>
      <c r="Z82" s="11" t="s">
        <v>26</v>
      </c>
      <c r="AA82" s="10" t="s">
        <v>26</v>
      </c>
      <c r="AB82" s="11" t="s">
        <v>26</v>
      </c>
      <c r="AC82" s="11" t="s">
        <v>26</v>
      </c>
      <c r="AD82" s="11" t="s">
        <v>26</v>
      </c>
      <c r="AE82" s="10">
        <v>1931714314.3800001</v>
      </c>
      <c r="AF82" s="11">
        <v>3.34862446621E-3</v>
      </c>
      <c r="AG82" s="11">
        <v>0.08</v>
      </c>
      <c r="AH82" s="11">
        <v>7.6700000000000004E-2</v>
      </c>
      <c r="AI82" s="10" t="s">
        <v>26</v>
      </c>
      <c r="AJ82" s="11" t="s">
        <v>26</v>
      </c>
      <c r="AK82" s="11" t="s">
        <v>26</v>
      </c>
      <c r="AL82" s="11" t="s">
        <v>26</v>
      </c>
      <c r="AM82" s="10">
        <v>369623759.75999999</v>
      </c>
      <c r="AN82" s="11">
        <v>1.6061539868419999E-2</v>
      </c>
      <c r="AO82" s="11">
        <v>0.08</v>
      </c>
      <c r="AP82" s="11">
        <v>6.3899999999999998E-2</v>
      </c>
      <c r="AQ82" s="10">
        <v>369623759.75999999</v>
      </c>
      <c r="AR82" s="11">
        <v>9.5108317724599996E-3</v>
      </c>
      <c r="AS82" s="11">
        <v>0.08</v>
      </c>
      <c r="AT82" s="11">
        <v>7.0499999999999993E-2</v>
      </c>
      <c r="AU82" s="10" t="s">
        <v>26</v>
      </c>
      <c r="AV82" s="11" t="s">
        <v>26</v>
      </c>
      <c r="AW82" s="11" t="s">
        <v>26</v>
      </c>
      <c r="AX82" s="11" t="s">
        <v>26</v>
      </c>
      <c r="AY82" s="10">
        <v>2301338074.1399999</v>
      </c>
      <c r="AZ82" s="11">
        <v>3.5060081228699999E-3</v>
      </c>
      <c r="BA82" s="11">
        <v>0.08</v>
      </c>
      <c r="BB82" s="11">
        <v>7.6499999999999999E-2</v>
      </c>
    </row>
    <row r="83" spans="1:54" s="7" customFormat="1">
      <c r="A83" s="32" t="s">
        <v>67</v>
      </c>
      <c r="B83" s="31" t="s">
        <v>56</v>
      </c>
      <c r="C83" s="2">
        <v>90573995.329999998</v>
      </c>
      <c r="D83" s="1">
        <v>1</v>
      </c>
      <c r="E83" s="1" t="s">
        <v>26</v>
      </c>
      <c r="F83" s="1" t="s">
        <v>26</v>
      </c>
      <c r="G83" s="2" t="s">
        <v>26</v>
      </c>
      <c r="H83" s="1" t="s">
        <v>26</v>
      </c>
      <c r="I83" s="1" t="s">
        <v>26</v>
      </c>
      <c r="J83" s="1" t="s">
        <v>26</v>
      </c>
      <c r="K83" s="2">
        <v>103763843.54000001</v>
      </c>
      <c r="L83" s="1">
        <v>1</v>
      </c>
      <c r="M83" s="1" t="s">
        <v>26</v>
      </c>
      <c r="N83" s="1" t="s">
        <v>26</v>
      </c>
      <c r="O83" s="2">
        <v>1737376475.51</v>
      </c>
      <c r="P83" s="1">
        <v>1</v>
      </c>
      <c r="Q83" s="1" t="s">
        <v>26</v>
      </c>
      <c r="R83" s="1" t="s">
        <v>26</v>
      </c>
      <c r="S83" s="2" t="s">
        <v>26</v>
      </c>
      <c r="T83" s="1" t="s">
        <v>26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 t="s">
        <v>26</v>
      </c>
      <c r="AB83" s="1" t="s">
        <v>26</v>
      </c>
      <c r="AC83" s="1" t="s">
        <v>26</v>
      </c>
      <c r="AD83" s="1" t="s">
        <v>26</v>
      </c>
      <c r="AE83" s="2">
        <v>1931714314.3800001</v>
      </c>
      <c r="AF83" s="1">
        <v>1</v>
      </c>
      <c r="AG83" s="1" t="s">
        <v>26</v>
      </c>
      <c r="AH83" s="1" t="s">
        <v>26</v>
      </c>
      <c r="AI83" s="2" t="s">
        <v>26</v>
      </c>
      <c r="AJ83" s="1" t="s">
        <v>26</v>
      </c>
      <c r="AK83" s="1" t="s">
        <v>26</v>
      </c>
      <c r="AL83" s="1" t="s">
        <v>26</v>
      </c>
      <c r="AM83" s="2">
        <v>369623759.75999999</v>
      </c>
      <c r="AN83" s="1">
        <v>1</v>
      </c>
      <c r="AO83" s="1" t="s">
        <v>26</v>
      </c>
      <c r="AP83" s="1" t="s">
        <v>26</v>
      </c>
      <c r="AQ83" s="2">
        <v>369623759.75999999</v>
      </c>
      <c r="AR83" s="1">
        <v>1</v>
      </c>
      <c r="AS83" s="1" t="s">
        <v>26</v>
      </c>
      <c r="AT83" s="1" t="s">
        <v>26</v>
      </c>
      <c r="AU83" s="2" t="s">
        <v>26</v>
      </c>
      <c r="AV83" s="1" t="s">
        <v>26</v>
      </c>
      <c r="AW83" s="1" t="s">
        <v>26</v>
      </c>
      <c r="AX83" s="1" t="s">
        <v>26</v>
      </c>
      <c r="AY83" s="2">
        <v>2301338074.1399999</v>
      </c>
      <c r="AZ83" s="1">
        <v>1</v>
      </c>
      <c r="BA83" s="1" t="s">
        <v>26</v>
      </c>
      <c r="BB83" s="1" t="s">
        <v>26</v>
      </c>
    </row>
    <row r="84" spans="1:54" s="7" customFormat="1">
      <c r="A84" s="34" t="s">
        <v>73</v>
      </c>
      <c r="B84" s="24" t="s">
        <v>25</v>
      </c>
      <c r="C84" s="10">
        <v>89190379.609999999</v>
      </c>
      <c r="D84" s="11">
        <v>1.6759714983829999E-2</v>
      </c>
      <c r="E84" s="11">
        <v>0.06</v>
      </c>
      <c r="F84" s="11">
        <v>4.3200000000000002E-2</v>
      </c>
      <c r="G84" s="10">
        <v>412322250.60000002</v>
      </c>
      <c r="H84" s="11">
        <v>3.0410897695599998E-3</v>
      </c>
      <c r="I84" s="11">
        <v>0.06</v>
      </c>
      <c r="J84" s="11">
        <v>5.7000000000000002E-2</v>
      </c>
      <c r="K84" s="10">
        <v>8945032.3599999994</v>
      </c>
      <c r="L84" s="11">
        <v>3.5268664422500001E-3</v>
      </c>
      <c r="M84" s="11">
        <v>0.06</v>
      </c>
      <c r="N84" s="11">
        <v>5.6500000000000002E-2</v>
      </c>
      <c r="O84" s="10">
        <v>408556875.82999998</v>
      </c>
      <c r="P84" s="11">
        <v>2.0227095583500001E-3</v>
      </c>
      <c r="Q84" s="11">
        <v>0.06</v>
      </c>
      <c r="R84" s="11">
        <v>5.8000000000000003E-2</v>
      </c>
      <c r="S84" s="10">
        <v>129702974.76000001</v>
      </c>
      <c r="T84" s="11">
        <v>1.27797704298E-3</v>
      </c>
      <c r="U84" s="11">
        <v>0.06</v>
      </c>
      <c r="V84" s="11">
        <v>5.8700000000000002E-2</v>
      </c>
      <c r="W84" s="10" t="s">
        <v>26</v>
      </c>
      <c r="X84" s="11" t="s">
        <v>26</v>
      </c>
      <c r="Y84" s="11" t="s">
        <v>26</v>
      </c>
      <c r="Z84" s="11" t="s">
        <v>26</v>
      </c>
      <c r="AA84" s="10">
        <v>101583428</v>
      </c>
      <c r="AB84" s="11">
        <v>8.1783488846000005E-4</v>
      </c>
      <c r="AC84" s="11">
        <v>0.06</v>
      </c>
      <c r="AD84" s="11">
        <v>5.9200000000000003E-2</v>
      </c>
      <c r="AE84" s="10">
        <v>1150300941.1600001</v>
      </c>
      <c r="AF84" s="11">
        <v>1.9940453132200001E-3</v>
      </c>
      <c r="AG84" s="11">
        <v>0.06</v>
      </c>
      <c r="AH84" s="11">
        <v>5.8000000000000003E-2</v>
      </c>
      <c r="AI84" s="10">
        <v>270704817.06999999</v>
      </c>
      <c r="AJ84" s="11">
        <v>1.7078649912590001E-2</v>
      </c>
      <c r="AK84" s="11">
        <v>0.06</v>
      </c>
      <c r="AL84" s="11">
        <v>4.2900000000000001E-2</v>
      </c>
      <c r="AM84" s="10" t="s">
        <v>26</v>
      </c>
      <c r="AN84" s="11" t="s">
        <v>26</v>
      </c>
      <c r="AO84" s="11" t="s">
        <v>26</v>
      </c>
      <c r="AP84" s="11" t="s">
        <v>26</v>
      </c>
      <c r="AQ84" s="10">
        <v>270704817.06999999</v>
      </c>
      <c r="AR84" s="11">
        <v>6.9655370012400002E-3</v>
      </c>
      <c r="AS84" s="11">
        <v>0.06</v>
      </c>
      <c r="AT84" s="11">
        <v>5.2999999999999999E-2</v>
      </c>
      <c r="AU84" s="10" t="s">
        <v>26</v>
      </c>
      <c r="AV84" s="11" t="s">
        <v>26</v>
      </c>
      <c r="AW84" s="11" t="s">
        <v>26</v>
      </c>
      <c r="AX84" s="11" t="s">
        <v>26</v>
      </c>
      <c r="AY84" s="10">
        <v>1421005758.23</v>
      </c>
      <c r="AZ84" s="11">
        <v>2.1648526076999998E-3</v>
      </c>
      <c r="BA84" s="11">
        <v>0.06</v>
      </c>
      <c r="BB84" s="11">
        <v>5.7799999999999997E-2</v>
      </c>
    </row>
    <row r="85" spans="1:54" s="7" customFormat="1">
      <c r="A85" s="32" t="s">
        <v>67</v>
      </c>
      <c r="B85" s="31" t="s">
        <v>46</v>
      </c>
      <c r="C85" s="2">
        <v>89190379.609999999</v>
      </c>
      <c r="D85" s="1">
        <v>1</v>
      </c>
      <c r="E85" s="1" t="s">
        <v>26</v>
      </c>
      <c r="F85" s="1" t="s">
        <v>26</v>
      </c>
      <c r="G85" s="2">
        <v>412322250.60000002</v>
      </c>
      <c r="H85" s="1">
        <v>1</v>
      </c>
      <c r="I85" s="1" t="s">
        <v>26</v>
      </c>
      <c r="J85" s="1" t="s">
        <v>26</v>
      </c>
      <c r="K85" s="2">
        <v>8945032.3599999994</v>
      </c>
      <c r="L85" s="1">
        <v>1</v>
      </c>
      <c r="M85" s="1" t="s">
        <v>26</v>
      </c>
      <c r="N85" s="1" t="s">
        <v>26</v>
      </c>
      <c r="O85" s="2">
        <v>408556875.82999998</v>
      </c>
      <c r="P85" s="1">
        <v>1</v>
      </c>
      <c r="Q85" s="1" t="s">
        <v>26</v>
      </c>
      <c r="R85" s="1" t="s">
        <v>26</v>
      </c>
      <c r="S85" s="2">
        <v>129702974.76000001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>
        <v>101583428</v>
      </c>
      <c r="AB85" s="1">
        <v>1</v>
      </c>
      <c r="AC85" s="1" t="s">
        <v>26</v>
      </c>
      <c r="AD85" s="1" t="s">
        <v>26</v>
      </c>
      <c r="AE85" s="2">
        <v>1150300941.1600001</v>
      </c>
      <c r="AF85" s="1">
        <v>1</v>
      </c>
      <c r="AG85" s="1" t="s">
        <v>26</v>
      </c>
      <c r="AH85" s="1" t="s">
        <v>26</v>
      </c>
      <c r="AI85" s="2">
        <v>270704817.06999999</v>
      </c>
      <c r="AJ85" s="1">
        <v>1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270704817.06999999</v>
      </c>
      <c r="AR85" s="1">
        <v>1</v>
      </c>
      <c r="AS85" s="1" t="s">
        <v>26</v>
      </c>
      <c r="AT85" s="1" t="s">
        <v>26</v>
      </c>
      <c r="AU85" s="2" t="s">
        <v>26</v>
      </c>
      <c r="AV85" s="1" t="s">
        <v>26</v>
      </c>
      <c r="AW85" s="1" t="s">
        <v>26</v>
      </c>
      <c r="AX85" s="1" t="s">
        <v>26</v>
      </c>
      <c r="AY85" s="2">
        <v>1421005758.23</v>
      </c>
      <c r="AZ85" s="1">
        <v>1</v>
      </c>
      <c r="BA85" s="1" t="s">
        <v>26</v>
      </c>
      <c r="BB85" s="1" t="s">
        <v>26</v>
      </c>
    </row>
    <row r="86" spans="1:54" s="7" customFormat="1">
      <c r="A86" s="34" t="s">
        <v>74</v>
      </c>
      <c r="B86" s="24" t="s">
        <v>25</v>
      </c>
      <c r="C86" s="10">
        <v>12332091.550000001</v>
      </c>
      <c r="D86" s="11">
        <v>2.3173165136900001E-3</v>
      </c>
      <c r="E86" s="11">
        <v>0.06</v>
      </c>
      <c r="F86" s="11">
        <v>5.7700000000000001E-2</v>
      </c>
      <c r="G86" s="10">
        <v>579252504</v>
      </c>
      <c r="H86" s="11">
        <v>4.2722866916399998E-3</v>
      </c>
      <c r="I86" s="11">
        <v>0.06</v>
      </c>
      <c r="J86" s="11">
        <v>5.57E-2</v>
      </c>
      <c r="K86" s="10" t="s">
        <v>26</v>
      </c>
      <c r="L86" s="11" t="s">
        <v>26</v>
      </c>
      <c r="M86" s="11" t="s">
        <v>26</v>
      </c>
      <c r="N86" s="11" t="s">
        <v>26</v>
      </c>
      <c r="O86" s="10">
        <v>370815236.55000001</v>
      </c>
      <c r="P86" s="11">
        <v>1.8358558323799999E-3</v>
      </c>
      <c r="Q86" s="11">
        <v>0.06</v>
      </c>
      <c r="R86" s="11">
        <v>5.8200000000000002E-2</v>
      </c>
      <c r="S86" s="10">
        <v>107099833.75</v>
      </c>
      <c r="T86" s="11">
        <v>1.0552659188599999E-3</v>
      </c>
      <c r="U86" s="11">
        <v>0.06</v>
      </c>
      <c r="V86" s="11">
        <v>5.8900000000000001E-2</v>
      </c>
      <c r="W86" s="10" t="s">
        <v>26</v>
      </c>
      <c r="X86" s="11" t="s">
        <v>26</v>
      </c>
      <c r="Y86" s="11" t="s">
        <v>26</v>
      </c>
      <c r="Z86" s="11" t="s">
        <v>26</v>
      </c>
      <c r="AA86" s="10">
        <v>153707577</v>
      </c>
      <c r="AB86" s="11">
        <v>1.2374795925600001E-3</v>
      </c>
      <c r="AC86" s="11">
        <v>0.06</v>
      </c>
      <c r="AD86" s="11">
        <v>5.8799999999999998E-2</v>
      </c>
      <c r="AE86" s="10">
        <v>1223207242.8499999</v>
      </c>
      <c r="AF86" s="11">
        <v>2.12042830048E-3</v>
      </c>
      <c r="AG86" s="11">
        <v>0.06</v>
      </c>
      <c r="AH86" s="11">
        <v>5.79E-2</v>
      </c>
      <c r="AI86" s="10">
        <v>108007602</v>
      </c>
      <c r="AJ86" s="11">
        <v>6.8141529301999999E-3</v>
      </c>
      <c r="AK86" s="11">
        <v>0.06</v>
      </c>
      <c r="AL86" s="11">
        <v>5.3199999999999997E-2</v>
      </c>
      <c r="AM86" s="10" t="s">
        <v>26</v>
      </c>
      <c r="AN86" s="11" t="s">
        <v>26</v>
      </c>
      <c r="AO86" s="11" t="s">
        <v>26</v>
      </c>
      <c r="AP86" s="11" t="s">
        <v>26</v>
      </c>
      <c r="AQ86" s="10">
        <v>108007602</v>
      </c>
      <c r="AR86" s="11">
        <v>2.7791561165800001E-3</v>
      </c>
      <c r="AS86" s="11">
        <v>0.06</v>
      </c>
      <c r="AT86" s="11">
        <v>5.7200000000000001E-2</v>
      </c>
      <c r="AU86" s="10" t="s">
        <v>26</v>
      </c>
      <c r="AV86" s="11" t="s">
        <v>26</v>
      </c>
      <c r="AW86" s="11" t="s">
        <v>26</v>
      </c>
      <c r="AX86" s="11" t="s">
        <v>26</v>
      </c>
      <c r="AY86" s="10">
        <v>1331214844.8499999</v>
      </c>
      <c r="AZ86" s="11">
        <v>2.0280592894099999E-3</v>
      </c>
      <c r="BA86" s="11">
        <v>0.06</v>
      </c>
      <c r="BB86" s="11">
        <v>5.8000000000000003E-2</v>
      </c>
    </row>
    <row r="87" spans="1:54" s="7" customFormat="1">
      <c r="A87" s="32" t="s">
        <v>67</v>
      </c>
      <c r="B87" s="31" t="s">
        <v>46</v>
      </c>
      <c r="C87" s="2">
        <v>12332091.550000001</v>
      </c>
      <c r="D87" s="1">
        <v>1</v>
      </c>
      <c r="E87" s="1" t="s">
        <v>26</v>
      </c>
      <c r="F87" s="1" t="s">
        <v>26</v>
      </c>
      <c r="G87" s="2">
        <v>579252504</v>
      </c>
      <c r="H87" s="1">
        <v>1</v>
      </c>
      <c r="I87" s="1" t="s">
        <v>26</v>
      </c>
      <c r="J87" s="1" t="s">
        <v>26</v>
      </c>
      <c r="K87" s="2" t="s">
        <v>26</v>
      </c>
      <c r="L87" s="1" t="s">
        <v>26</v>
      </c>
      <c r="M87" s="1" t="s">
        <v>26</v>
      </c>
      <c r="N87" s="1" t="s">
        <v>26</v>
      </c>
      <c r="O87" s="2">
        <v>370815236.55000001</v>
      </c>
      <c r="P87" s="1">
        <v>1</v>
      </c>
      <c r="Q87" s="1" t="s">
        <v>26</v>
      </c>
      <c r="R87" s="1" t="s">
        <v>26</v>
      </c>
      <c r="S87" s="2">
        <v>107099833.75</v>
      </c>
      <c r="T87" s="1">
        <v>1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2">
        <v>153707577</v>
      </c>
      <c r="AB87" s="1">
        <v>1</v>
      </c>
      <c r="AC87" s="1" t="s">
        <v>26</v>
      </c>
      <c r="AD87" s="1" t="s">
        <v>26</v>
      </c>
      <c r="AE87" s="2">
        <v>1223207242.8499999</v>
      </c>
      <c r="AF87" s="1">
        <v>1</v>
      </c>
      <c r="AG87" s="1" t="s">
        <v>26</v>
      </c>
      <c r="AH87" s="1" t="s">
        <v>26</v>
      </c>
      <c r="AI87" s="2">
        <v>108007602</v>
      </c>
      <c r="AJ87" s="1">
        <v>1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>
        <v>108007602</v>
      </c>
      <c r="AR87" s="1">
        <v>1</v>
      </c>
      <c r="AS87" s="1" t="s">
        <v>26</v>
      </c>
      <c r="AT87" s="1" t="s">
        <v>26</v>
      </c>
      <c r="AU87" s="2" t="s">
        <v>26</v>
      </c>
      <c r="AV87" s="1" t="s">
        <v>26</v>
      </c>
      <c r="AW87" s="1" t="s">
        <v>26</v>
      </c>
      <c r="AX87" s="1" t="s">
        <v>26</v>
      </c>
      <c r="AY87" s="2">
        <v>1331214844.8499999</v>
      </c>
      <c r="AZ87" s="1">
        <v>1</v>
      </c>
      <c r="BA87" s="1" t="s">
        <v>26</v>
      </c>
      <c r="BB87" s="1" t="s">
        <v>26</v>
      </c>
    </row>
    <row r="88" spans="1:54" s="7" customFormat="1">
      <c r="A88" s="33" t="s">
        <v>75</v>
      </c>
      <c r="B88" s="25" t="s">
        <v>25</v>
      </c>
      <c r="C88" s="55" t="s">
        <v>26</v>
      </c>
      <c r="D88" s="56" t="s">
        <v>26</v>
      </c>
      <c r="E88" s="56" t="s">
        <v>26</v>
      </c>
      <c r="F88" s="56" t="s">
        <v>26</v>
      </c>
      <c r="G88" s="55" t="s">
        <v>26</v>
      </c>
      <c r="H88" s="56" t="s">
        <v>26</v>
      </c>
      <c r="I88" s="56" t="s">
        <v>26</v>
      </c>
      <c r="J88" s="56" t="s">
        <v>26</v>
      </c>
      <c r="K88" s="55" t="s">
        <v>26</v>
      </c>
      <c r="L88" s="56" t="s">
        <v>26</v>
      </c>
      <c r="M88" s="56" t="s">
        <v>26</v>
      </c>
      <c r="N88" s="56" t="s">
        <v>26</v>
      </c>
      <c r="O88" s="55">
        <v>130686696.25</v>
      </c>
      <c r="P88" s="56">
        <v>6.4701206929000004E-4</v>
      </c>
      <c r="Q88" s="56" t="s">
        <v>26</v>
      </c>
      <c r="R88" s="56" t="s">
        <v>26</v>
      </c>
      <c r="S88" s="55">
        <v>261407966.02000001</v>
      </c>
      <c r="T88" s="56">
        <v>2.5756801649500002E-3</v>
      </c>
      <c r="U88" s="56" t="s">
        <v>26</v>
      </c>
      <c r="V88" s="56" t="s">
        <v>26</v>
      </c>
      <c r="W88" s="55" t="s">
        <v>26</v>
      </c>
      <c r="X88" s="56" t="s">
        <v>26</v>
      </c>
      <c r="Y88" s="56" t="s">
        <v>26</v>
      </c>
      <c r="Z88" s="56" t="s">
        <v>26</v>
      </c>
      <c r="AA88" s="55">
        <v>145323606.22999999</v>
      </c>
      <c r="AB88" s="56">
        <v>1.16998134078E-3</v>
      </c>
      <c r="AC88" s="56" t="s">
        <v>26</v>
      </c>
      <c r="AD88" s="56" t="s">
        <v>26</v>
      </c>
      <c r="AE88" s="55">
        <v>537418268.5</v>
      </c>
      <c r="AF88" s="56">
        <v>9.3161392918999998E-4</v>
      </c>
      <c r="AG88" s="56" t="s">
        <v>26</v>
      </c>
      <c r="AH88" s="56" t="s">
        <v>26</v>
      </c>
      <c r="AI88" s="55">
        <v>13072991.32</v>
      </c>
      <c r="AJ88" s="56">
        <v>8.2476937234000002E-4</v>
      </c>
      <c r="AK88" s="56" t="s">
        <v>26</v>
      </c>
      <c r="AL88" s="56" t="s">
        <v>26</v>
      </c>
      <c r="AM88" s="55" t="s">
        <v>26</v>
      </c>
      <c r="AN88" s="56" t="s">
        <v>26</v>
      </c>
      <c r="AO88" s="56" t="s">
        <v>26</v>
      </c>
      <c r="AP88" s="56" t="s">
        <v>26</v>
      </c>
      <c r="AQ88" s="55">
        <v>13072991.32</v>
      </c>
      <c r="AR88" s="56">
        <v>3.3638265378000001E-4</v>
      </c>
      <c r="AS88" s="56" t="s">
        <v>26</v>
      </c>
      <c r="AT88" s="56" t="s">
        <v>26</v>
      </c>
      <c r="AU88" s="55">
        <v>39218973.950000003</v>
      </c>
      <c r="AV88" s="56">
        <v>9.6439477856000004E-4</v>
      </c>
      <c r="AW88" s="56" t="s">
        <v>26</v>
      </c>
      <c r="AX88" s="56" t="s">
        <v>26</v>
      </c>
      <c r="AY88" s="55">
        <v>589710233.76999998</v>
      </c>
      <c r="AZ88" s="56">
        <v>8.9840293043999997E-4</v>
      </c>
      <c r="BA88" s="56" t="s">
        <v>26</v>
      </c>
      <c r="BB88" s="56" t="s">
        <v>26</v>
      </c>
    </row>
    <row r="89" spans="1:54" s="7" customFormat="1">
      <c r="A89" s="34" t="s">
        <v>76</v>
      </c>
      <c r="B89" s="24" t="s">
        <v>25</v>
      </c>
      <c r="C89" s="10" t="s">
        <v>26</v>
      </c>
      <c r="D89" s="11" t="s">
        <v>26</v>
      </c>
      <c r="E89" s="11" t="s">
        <v>26</v>
      </c>
      <c r="F89" s="11" t="s">
        <v>26</v>
      </c>
      <c r="G89" s="10" t="s">
        <v>26</v>
      </c>
      <c r="H89" s="11" t="s">
        <v>26</v>
      </c>
      <c r="I89" s="11" t="s">
        <v>26</v>
      </c>
      <c r="J89" s="11" t="s">
        <v>26</v>
      </c>
      <c r="K89" s="10" t="s">
        <v>26</v>
      </c>
      <c r="L89" s="11" t="s">
        <v>26</v>
      </c>
      <c r="M89" s="11" t="s">
        <v>26</v>
      </c>
      <c r="N89" s="11" t="s">
        <v>26</v>
      </c>
      <c r="O89" s="10" t="s">
        <v>26</v>
      </c>
      <c r="P89" s="11" t="s">
        <v>26</v>
      </c>
      <c r="Q89" s="11" t="s">
        <v>26</v>
      </c>
      <c r="R89" s="11" t="s">
        <v>26</v>
      </c>
      <c r="S89" s="10">
        <v>104583930.52</v>
      </c>
      <c r="T89" s="11">
        <v>1.0304764599E-3</v>
      </c>
      <c r="U89" s="11">
        <v>0.1</v>
      </c>
      <c r="V89" s="11">
        <v>9.9000000000000005E-2</v>
      </c>
      <c r="W89" s="10" t="s">
        <v>26</v>
      </c>
      <c r="X89" s="11" t="s">
        <v>26</v>
      </c>
      <c r="Y89" s="11" t="s">
        <v>26</v>
      </c>
      <c r="Z89" s="11" t="s">
        <v>26</v>
      </c>
      <c r="AA89" s="10" t="s">
        <v>26</v>
      </c>
      <c r="AB89" s="11" t="s">
        <v>26</v>
      </c>
      <c r="AC89" s="11" t="s">
        <v>26</v>
      </c>
      <c r="AD89" s="11" t="s">
        <v>26</v>
      </c>
      <c r="AE89" s="10">
        <v>104583930.52</v>
      </c>
      <c r="AF89" s="11">
        <v>1.8129611915000001E-4</v>
      </c>
      <c r="AG89" s="11">
        <v>0.1</v>
      </c>
      <c r="AH89" s="11">
        <v>9.98E-2</v>
      </c>
      <c r="AI89" s="10">
        <v>13072991.32</v>
      </c>
      <c r="AJ89" s="11">
        <v>8.2476937234000002E-4</v>
      </c>
      <c r="AK89" s="11">
        <v>0.1</v>
      </c>
      <c r="AL89" s="11">
        <v>9.9199999999999997E-2</v>
      </c>
      <c r="AM89" s="10" t="s">
        <v>26</v>
      </c>
      <c r="AN89" s="11" t="s">
        <v>26</v>
      </c>
      <c r="AO89" s="11" t="s">
        <v>26</v>
      </c>
      <c r="AP89" s="11" t="s">
        <v>26</v>
      </c>
      <c r="AQ89" s="10">
        <v>13072991.32</v>
      </c>
      <c r="AR89" s="11">
        <v>3.3638265378000001E-4</v>
      </c>
      <c r="AS89" s="11">
        <v>0.1</v>
      </c>
      <c r="AT89" s="11">
        <v>9.9699999999999997E-2</v>
      </c>
      <c r="AU89" s="10">
        <v>39218973.950000003</v>
      </c>
      <c r="AV89" s="11">
        <v>9.6439477856000004E-4</v>
      </c>
      <c r="AW89" s="11">
        <v>0.1</v>
      </c>
      <c r="AX89" s="11">
        <v>9.9000000000000005E-2</v>
      </c>
      <c r="AY89" s="10">
        <v>156875895.78999999</v>
      </c>
      <c r="AZ89" s="11">
        <v>2.3899494432999999E-4</v>
      </c>
      <c r="BA89" s="11">
        <v>0.1</v>
      </c>
      <c r="BB89" s="11">
        <v>9.98E-2</v>
      </c>
    </row>
    <row r="90" spans="1:54" s="7" customFormat="1">
      <c r="A90" s="32" t="s">
        <v>77</v>
      </c>
      <c r="B90" s="31" t="s">
        <v>29</v>
      </c>
      <c r="C90" s="2" t="s">
        <v>26</v>
      </c>
      <c r="D90" s="1" t="s">
        <v>26</v>
      </c>
      <c r="E90" s="1" t="s">
        <v>26</v>
      </c>
      <c r="F90" s="1" t="s">
        <v>26</v>
      </c>
      <c r="G90" s="2" t="s">
        <v>26</v>
      </c>
      <c r="H90" s="1" t="s">
        <v>26</v>
      </c>
      <c r="I90" s="1" t="s">
        <v>26</v>
      </c>
      <c r="J90" s="1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 t="s">
        <v>26</v>
      </c>
      <c r="P90" s="1" t="s">
        <v>26</v>
      </c>
      <c r="Q90" s="1" t="s">
        <v>26</v>
      </c>
      <c r="R90" s="1" t="s">
        <v>26</v>
      </c>
      <c r="S90" s="2">
        <v>104583930.52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 t="s">
        <v>26</v>
      </c>
      <c r="AB90" s="1" t="s">
        <v>26</v>
      </c>
      <c r="AC90" s="1" t="s">
        <v>26</v>
      </c>
      <c r="AD90" s="1" t="s">
        <v>26</v>
      </c>
      <c r="AE90" s="2">
        <v>104583930.52</v>
      </c>
      <c r="AF90" s="1">
        <v>1</v>
      </c>
      <c r="AG90" s="1" t="s">
        <v>26</v>
      </c>
      <c r="AH90" s="1" t="s">
        <v>26</v>
      </c>
      <c r="AI90" s="2">
        <v>13072991.32</v>
      </c>
      <c r="AJ90" s="1">
        <v>1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>
        <v>13072991.32</v>
      </c>
      <c r="AR90" s="1">
        <v>1</v>
      </c>
      <c r="AS90" s="1" t="s">
        <v>26</v>
      </c>
      <c r="AT90" s="1" t="s">
        <v>26</v>
      </c>
      <c r="AU90" s="2">
        <v>39218973.950000003</v>
      </c>
      <c r="AV90" s="1">
        <v>1</v>
      </c>
      <c r="AW90" s="1" t="s">
        <v>26</v>
      </c>
      <c r="AX90" s="1" t="s">
        <v>26</v>
      </c>
      <c r="AY90" s="2">
        <v>156875895.78999999</v>
      </c>
      <c r="AZ90" s="1">
        <v>1</v>
      </c>
      <c r="BA90" s="1" t="s">
        <v>26</v>
      </c>
      <c r="BB90" s="1" t="s">
        <v>26</v>
      </c>
    </row>
    <row r="91" spans="1:54" s="7" customFormat="1">
      <c r="A91" s="34" t="s">
        <v>78</v>
      </c>
      <c r="B91" s="24" t="s">
        <v>25</v>
      </c>
      <c r="C91" s="10" t="s">
        <v>26</v>
      </c>
      <c r="D91" s="11" t="s">
        <v>26</v>
      </c>
      <c r="E91" s="11" t="s">
        <v>26</v>
      </c>
      <c r="F91" s="11" t="s">
        <v>26</v>
      </c>
      <c r="G91" s="10" t="s">
        <v>26</v>
      </c>
      <c r="H91" s="11" t="s">
        <v>26</v>
      </c>
      <c r="I91" s="11" t="s">
        <v>26</v>
      </c>
      <c r="J91" s="11" t="s">
        <v>26</v>
      </c>
      <c r="K91" s="10" t="s">
        <v>26</v>
      </c>
      <c r="L91" s="11" t="s">
        <v>26</v>
      </c>
      <c r="M91" s="11" t="s">
        <v>26</v>
      </c>
      <c r="N91" s="11" t="s">
        <v>26</v>
      </c>
      <c r="O91" s="10">
        <v>130686696.25</v>
      </c>
      <c r="P91" s="11">
        <v>6.4701206929000004E-4</v>
      </c>
      <c r="Q91" s="11">
        <v>0.09</v>
      </c>
      <c r="R91" s="11">
        <v>8.9399999999999993E-2</v>
      </c>
      <c r="S91" s="10">
        <v>156824035.5</v>
      </c>
      <c r="T91" s="11">
        <v>1.5452037050499999E-3</v>
      </c>
      <c r="U91" s="11">
        <v>0.09</v>
      </c>
      <c r="V91" s="11">
        <v>8.8499999999999995E-2</v>
      </c>
      <c r="W91" s="10" t="s">
        <v>26</v>
      </c>
      <c r="X91" s="11" t="s">
        <v>26</v>
      </c>
      <c r="Y91" s="11" t="s">
        <v>26</v>
      </c>
      <c r="Z91" s="11" t="s">
        <v>26</v>
      </c>
      <c r="AA91" s="10">
        <v>145323606.22999999</v>
      </c>
      <c r="AB91" s="11">
        <v>1.16998134078E-3</v>
      </c>
      <c r="AC91" s="11">
        <v>0.09</v>
      </c>
      <c r="AD91" s="11">
        <v>8.8800000000000004E-2</v>
      </c>
      <c r="AE91" s="10">
        <v>432834337.98000002</v>
      </c>
      <c r="AF91" s="11">
        <v>7.5031781003000002E-4</v>
      </c>
      <c r="AG91" s="11">
        <v>0.09</v>
      </c>
      <c r="AH91" s="11">
        <v>8.9200000000000002E-2</v>
      </c>
      <c r="AI91" s="10" t="s">
        <v>26</v>
      </c>
      <c r="AJ91" s="11" t="s">
        <v>26</v>
      </c>
      <c r="AK91" s="11" t="s">
        <v>26</v>
      </c>
      <c r="AL91" s="11" t="s">
        <v>26</v>
      </c>
      <c r="AM91" s="10" t="s">
        <v>26</v>
      </c>
      <c r="AN91" s="11" t="s">
        <v>26</v>
      </c>
      <c r="AO91" s="11" t="s">
        <v>26</v>
      </c>
      <c r="AP91" s="11" t="s">
        <v>26</v>
      </c>
      <c r="AQ91" s="10" t="s">
        <v>26</v>
      </c>
      <c r="AR91" s="11" t="s">
        <v>26</v>
      </c>
      <c r="AS91" s="11" t="s">
        <v>26</v>
      </c>
      <c r="AT91" s="11" t="s">
        <v>26</v>
      </c>
      <c r="AU91" s="10" t="s">
        <v>26</v>
      </c>
      <c r="AV91" s="11" t="s">
        <v>26</v>
      </c>
      <c r="AW91" s="11" t="s">
        <v>26</v>
      </c>
      <c r="AX91" s="11" t="s">
        <v>26</v>
      </c>
      <c r="AY91" s="10">
        <v>432834337.98000002</v>
      </c>
      <c r="AZ91" s="11">
        <v>6.5940798610999996E-4</v>
      </c>
      <c r="BA91" s="11">
        <v>0.09</v>
      </c>
      <c r="BB91" s="11">
        <v>8.9300000000000004E-2</v>
      </c>
    </row>
    <row r="92" spans="1:54" s="7" customFormat="1">
      <c r="A92" s="32" t="s">
        <v>77</v>
      </c>
      <c r="B92" s="31" t="s">
        <v>37</v>
      </c>
      <c r="C92" s="2" t="s">
        <v>26</v>
      </c>
      <c r="D92" s="1" t="s">
        <v>26</v>
      </c>
      <c r="E92" s="1" t="s">
        <v>26</v>
      </c>
      <c r="F92" s="1" t="s">
        <v>26</v>
      </c>
      <c r="G92" s="2" t="s">
        <v>26</v>
      </c>
      <c r="H92" s="1" t="s">
        <v>26</v>
      </c>
      <c r="I92" s="1" t="s">
        <v>26</v>
      </c>
      <c r="J92" s="1" t="s">
        <v>26</v>
      </c>
      <c r="K92" s="2" t="s">
        <v>26</v>
      </c>
      <c r="L92" s="1" t="s">
        <v>26</v>
      </c>
      <c r="M92" s="1" t="s">
        <v>26</v>
      </c>
      <c r="N92" s="1" t="s">
        <v>26</v>
      </c>
      <c r="O92" s="2">
        <v>130686696.25</v>
      </c>
      <c r="P92" s="1">
        <v>1</v>
      </c>
      <c r="Q92" s="1" t="s">
        <v>26</v>
      </c>
      <c r="R92" s="1" t="s">
        <v>26</v>
      </c>
      <c r="S92" s="2">
        <v>156824035.5</v>
      </c>
      <c r="T92" s="1">
        <v>1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2">
        <v>145323606.22999999</v>
      </c>
      <c r="AB92" s="1">
        <v>1</v>
      </c>
      <c r="AC92" s="1" t="s">
        <v>26</v>
      </c>
      <c r="AD92" s="1" t="s">
        <v>26</v>
      </c>
      <c r="AE92" s="2">
        <v>432834337.98000002</v>
      </c>
      <c r="AF92" s="1">
        <v>1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2">
        <v>432834337.98000002</v>
      </c>
      <c r="AZ92" s="1">
        <v>1</v>
      </c>
      <c r="BA92" s="1" t="s">
        <v>26</v>
      </c>
      <c r="BB92" s="1" t="s">
        <v>26</v>
      </c>
    </row>
    <row r="93" spans="1:54" s="7" customFormat="1">
      <c r="A93" s="33" t="s">
        <v>108</v>
      </c>
      <c r="B93" s="25" t="s">
        <v>25</v>
      </c>
      <c r="C93" s="55" t="s">
        <v>26</v>
      </c>
      <c r="D93" s="56" t="s">
        <v>26</v>
      </c>
      <c r="E93" s="56" t="s">
        <v>26</v>
      </c>
      <c r="F93" s="56" t="s">
        <v>26</v>
      </c>
      <c r="G93" s="55">
        <v>669106625.83000004</v>
      </c>
      <c r="H93" s="56">
        <v>4.9350072948900004E-3</v>
      </c>
      <c r="I93" s="56">
        <v>0.05</v>
      </c>
      <c r="J93" s="56">
        <f>I93-H93</f>
        <v>4.5064992705110003E-2</v>
      </c>
      <c r="K93" s="55">
        <v>22498798.77</v>
      </c>
      <c r="L93" s="56">
        <v>8.8708743780199998E-3</v>
      </c>
      <c r="M93" s="56">
        <v>0.05</v>
      </c>
      <c r="N93" s="56">
        <f>M93-L93</f>
        <v>4.1129125621980005E-2</v>
      </c>
      <c r="O93" s="55">
        <v>1349927926.2</v>
      </c>
      <c r="P93" s="56">
        <v>6.6833096710500004E-3</v>
      </c>
      <c r="Q93" s="56">
        <v>0.05</v>
      </c>
      <c r="R93" s="56">
        <f>Q93-P93</f>
        <v>4.3316690328950004E-2</v>
      </c>
      <c r="S93" s="55">
        <v>1263782803.71</v>
      </c>
      <c r="T93" s="56">
        <v>1.2452184797130001E-2</v>
      </c>
      <c r="U93" s="56">
        <v>0.05</v>
      </c>
      <c r="V93" s="56">
        <f>U93-T93</f>
        <v>3.7547815202870004E-2</v>
      </c>
      <c r="W93" s="55" t="s">
        <v>26</v>
      </c>
      <c r="X93" s="56" t="s">
        <v>26</v>
      </c>
      <c r="Y93" s="56" t="s">
        <v>26</v>
      </c>
      <c r="Z93" s="56" t="s">
        <v>26</v>
      </c>
      <c r="AA93" s="55">
        <v>354364855.16000003</v>
      </c>
      <c r="AB93" s="56">
        <v>2.85294508663E-3</v>
      </c>
      <c r="AC93" s="56">
        <v>0.05</v>
      </c>
      <c r="AD93" s="56">
        <f>AC93-AB93</f>
        <v>4.7147054913370005E-2</v>
      </c>
      <c r="AE93" s="55">
        <v>3659681009.6700001</v>
      </c>
      <c r="AF93" s="56">
        <v>6.3440526770799999E-3</v>
      </c>
      <c r="AG93" s="56">
        <v>0.05</v>
      </c>
      <c r="AH93" s="56">
        <f>AG93-AF93</f>
        <v>4.3655947322920004E-2</v>
      </c>
      <c r="AI93" s="55" t="s">
        <v>26</v>
      </c>
      <c r="AJ93" s="56" t="s">
        <v>26</v>
      </c>
      <c r="AK93" s="56" t="s">
        <v>26</v>
      </c>
      <c r="AL93" s="56" t="s">
        <v>26</v>
      </c>
      <c r="AM93" s="55" t="s">
        <v>26</v>
      </c>
      <c r="AN93" s="56" t="s">
        <v>26</v>
      </c>
      <c r="AO93" s="56" t="s">
        <v>26</v>
      </c>
      <c r="AP93" s="56" t="s">
        <v>26</v>
      </c>
      <c r="AQ93" s="55" t="s">
        <v>26</v>
      </c>
      <c r="AR93" s="56" t="s">
        <v>26</v>
      </c>
      <c r="AS93" s="56" t="s">
        <v>26</v>
      </c>
      <c r="AT93" s="56" t="s">
        <v>26</v>
      </c>
      <c r="AU93" s="55">
        <v>625294344</v>
      </c>
      <c r="AV93" s="56">
        <v>1.5375991253220001E-2</v>
      </c>
      <c r="AW93" s="56" t="s">
        <v>26</v>
      </c>
      <c r="AX93" s="56" t="s">
        <v>26</v>
      </c>
      <c r="AY93" s="55">
        <v>4284975353.6700001</v>
      </c>
      <c r="AZ93" s="56">
        <v>6.5280101889799999E-3</v>
      </c>
      <c r="BA93" s="56">
        <v>0.05</v>
      </c>
      <c r="BB93" s="56">
        <f>BA93-AZ93</f>
        <v>4.3471989811020004E-2</v>
      </c>
    </row>
    <row r="94" spans="1:54" s="7" customFormat="1">
      <c r="A94" s="34" t="s">
        <v>80</v>
      </c>
      <c r="B94" s="24" t="s">
        <v>25</v>
      </c>
      <c r="C94" s="10" t="s">
        <v>26</v>
      </c>
      <c r="D94" s="11" t="s">
        <v>26</v>
      </c>
      <c r="E94" s="11" t="s">
        <v>26</v>
      </c>
      <c r="F94" s="11" t="s">
        <v>26</v>
      </c>
      <c r="G94" s="10" t="s">
        <v>26</v>
      </c>
      <c r="H94" s="11" t="s">
        <v>26</v>
      </c>
      <c r="I94" s="11" t="s">
        <v>26</v>
      </c>
      <c r="J94" s="11" t="s">
        <v>26</v>
      </c>
      <c r="K94" s="10" t="s">
        <v>26</v>
      </c>
      <c r="L94" s="11" t="s">
        <v>26</v>
      </c>
      <c r="M94" s="11" t="s">
        <v>26</v>
      </c>
      <c r="N94" s="11" t="s">
        <v>26</v>
      </c>
      <c r="O94" s="10" t="s">
        <v>26</v>
      </c>
      <c r="P94" s="11" t="s">
        <v>26</v>
      </c>
      <c r="Q94" s="11" t="s">
        <v>26</v>
      </c>
      <c r="R94" s="11" t="s">
        <v>26</v>
      </c>
      <c r="S94" s="10">
        <v>588818840.60000002</v>
      </c>
      <c r="T94" s="11">
        <v>5.8016939252999999E-3</v>
      </c>
      <c r="U94" s="1" t="s">
        <v>26</v>
      </c>
      <c r="V94" s="1" t="s">
        <v>26</v>
      </c>
      <c r="W94" s="10" t="s">
        <v>26</v>
      </c>
      <c r="X94" s="11" t="s">
        <v>26</v>
      </c>
      <c r="Y94" s="11" t="s">
        <v>26</v>
      </c>
      <c r="Z94" s="11" t="s">
        <v>26</v>
      </c>
      <c r="AA94" s="10" t="s">
        <v>26</v>
      </c>
      <c r="AB94" s="11" t="s">
        <v>26</v>
      </c>
      <c r="AC94" s="11" t="s">
        <v>26</v>
      </c>
      <c r="AD94" s="11" t="s">
        <v>26</v>
      </c>
      <c r="AE94" s="10">
        <v>588818840.60000002</v>
      </c>
      <c r="AF94" s="11">
        <v>1.0207167597800001E-3</v>
      </c>
      <c r="AG94" s="1" t="s">
        <v>26</v>
      </c>
      <c r="AH94" s="1" t="s">
        <v>26</v>
      </c>
      <c r="AI94" s="10" t="s">
        <v>26</v>
      </c>
      <c r="AJ94" s="11" t="s">
        <v>26</v>
      </c>
      <c r="AK94" s="11" t="s">
        <v>26</v>
      </c>
      <c r="AL94" s="11" t="s">
        <v>26</v>
      </c>
      <c r="AM94" s="10" t="s">
        <v>26</v>
      </c>
      <c r="AN94" s="11" t="s">
        <v>26</v>
      </c>
      <c r="AO94" s="11" t="s">
        <v>26</v>
      </c>
      <c r="AP94" s="11" t="s">
        <v>26</v>
      </c>
      <c r="AQ94" s="10" t="s">
        <v>26</v>
      </c>
      <c r="AR94" s="11" t="s">
        <v>26</v>
      </c>
      <c r="AS94" s="11" t="s">
        <v>26</v>
      </c>
      <c r="AT94" s="11" t="s">
        <v>26</v>
      </c>
      <c r="AU94" s="10">
        <v>625294344</v>
      </c>
      <c r="AV94" s="11">
        <v>1.5375991253220001E-2</v>
      </c>
      <c r="AW94" s="11">
        <v>0.05</v>
      </c>
      <c r="AX94" s="11">
        <v>3.4599999999999999E-2</v>
      </c>
      <c r="AY94" s="10">
        <v>1214113184.5999999</v>
      </c>
      <c r="AZ94" s="11">
        <v>1.84965900279E-3</v>
      </c>
      <c r="BA94" s="1" t="s">
        <v>26</v>
      </c>
      <c r="BB94" s="1" t="s">
        <v>26</v>
      </c>
    </row>
    <row r="95" spans="1:54" s="7" customFormat="1">
      <c r="A95" s="32" t="s">
        <v>81</v>
      </c>
      <c r="B95" s="31" t="s">
        <v>37</v>
      </c>
      <c r="C95" s="2" t="s">
        <v>26</v>
      </c>
      <c r="D95" s="1" t="s">
        <v>26</v>
      </c>
      <c r="E95" s="1" t="s">
        <v>26</v>
      </c>
      <c r="F95" s="1" t="s">
        <v>26</v>
      </c>
      <c r="G95" s="2" t="s">
        <v>26</v>
      </c>
      <c r="H95" s="1" t="s">
        <v>26</v>
      </c>
      <c r="I95" s="1" t="s">
        <v>26</v>
      </c>
      <c r="J95" s="1" t="s">
        <v>26</v>
      </c>
      <c r="K95" s="2" t="s">
        <v>26</v>
      </c>
      <c r="L95" s="1" t="s">
        <v>26</v>
      </c>
      <c r="M95" s="1" t="s">
        <v>26</v>
      </c>
      <c r="N95" s="1" t="s">
        <v>26</v>
      </c>
      <c r="O95" s="2" t="s">
        <v>26</v>
      </c>
      <c r="P95" s="1" t="s">
        <v>26</v>
      </c>
      <c r="Q95" s="1" t="s">
        <v>26</v>
      </c>
      <c r="R95" s="1" t="s">
        <v>26</v>
      </c>
      <c r="S95" s="2">
        <v>588818840.60000002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 t="s">
        <v>26</v>
      </c>
      <c r="AB95" s="1" t="s">
        <v>26</v>
      </c>
      <c r="AC95" s="1" t="s">
        <v>26</v>
      </c>
      <c r="AD95" s="1" t="s">
        <v>26</v>
      </c>
      <c r="AE95" s="2">
        <v>588818840.60000002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>
        <v>625294344</v>
      </c>
      <c r="AV95" s="1">
        <v>1</v>
      </c>
      <c r="AW95" s="1" t="s">
        <v>26</v>
      </c>
      <c r="AX95" s="1" t="s">
        <v>26</v>
      </c>
      <c r="AY95" s="2">
        <v>1214113184.5999999</v>
      </c>
      <c r="AZ95" s="1">
        <v>1</v>
      </c>
      <c r="BA95" s="1" t="s">
        <v>26</v>
      </c>
      <c r="BB95" s="1" t="s">
        <v>26</v>
      </c>
    </row>
    <row r="96" spans="1:54" s="7" customFormat="1">
      <c r="A96" s="34" t="s">
        <v>82</v>
      </c>
      <c r="B96" s="24" t="s">
        <v>25</v>
      </c>
      <c r="C96" s="10" t="s">
        <v>26</v>
      </c>
      <c r="D96" s="11" t="s">
        <v>26</v>
      </c>
      <c r="E96" s="11" t="s">
        <v>26</v>
      </c>
      <c r="F96" s="11" t="s">
        <v>26</v>
      </c>
      <c r="G96" s="10">
        <v>669106625.83000004</v>
      </c>
      <c r="H96" s="11">
        <v>4.9350072948900004E-3</v>
      </c>
      <c r="I96" s="1" t="s">
        <v>26</v>
      </c>
      <c r="J96" s="1" t="s">
        <v>26</v>
      </c>
      <c r="K96" s="10">
        <v>22498798.77</v>
      </c>
      <c r="L96" s="11">
        <v>8.8708743780199998E-3</v>
      </c>
      <c r="M96" s="1" t="s">
        <v>26</v>
      </c>
      <c r="N96" s="1" t="s">
        <v>26</v>
      </c>
      <c r="O96" s="10">
        <v>1349927926.2</v>
      </c>
      <c r="P96" s="11">
        <v>6.6833096710500004E-3</v>
      </c>
      <c r="Q96" s="1" t="s">
        <v>26</v>
      </c>
      <c r="R96" s="1" t="s">
        <v>26</v>
      </c>
      <c r="S96" s="10">
        <v>674963963.11000001</v>
      </c>
      <c r="T96" s="11">
        <v>6.6504908718299999E-3</v>
      </c>
      <c r="U96" s="1" t="s">
        <v>26</v>
      </c>
      <c r="V96" s="1" t="s">
        <v>26</v>
      </c>
      <c r="W96" s="10" t="s">
        <v>26</v>
      </c>
      <c r="X96" s="11" t="s">
        <v>26</v>
      </c>
      <c r="Y96" s="11" t="s">
        <v>26</v>
      </c>
      <c r="Z96" s="11" t="s">
        <v>26</v>
      </c>
      <c r="AA96" s="10">
        <v>354364855.16000003</v>
      </c>
      <c r="AB96" s="11">
        <v>2.85294508663E-3</v>
      </c>
      <c r="AC96" s="1" t="s">
        <v>26</v>
      </c>
      <c r="AD96" s="1" t="s">
        <v>26</v>
      </c>
      <c r="AE96" s="10">
        <v>3070862169.0700002</v>
      </c>
      <c r="AF96" s="11">
        <v>5.3233359173000001E-3</v>
      </c>
      <c r="AG96" s="1" t="s">
        <v>26</v>
      </c>
      <c r="AH96" s="1" t="s">
        <v>26</v>
      </c>
      <c r="AI96" s="10" t="s">
        <v>26</v>
      </c>
      <c r="AJ96" s="11" t="s">
        <v>26</v>
      </c>
      <c r="AK96" s="11" t="s">
        <v>26</v>
      </c>
      <c r="AL96" s="11" t="s">
        <v>26</v>
      </c>
      <c r="AM96" s="10" t="s">
        <v>26</v>
      </c>
      <c r="AN96" s="11" t="s">
        <v>26</v>
      </c>
      <c r="AO96" s="11" t="s">
        <v>26</v>
      </c>
      <c r="AP96" s="11" t="s">
        <v>26</v>
      </c>
      <c r="AQ96" s="10" t="s">
        <v>26</v>
      </c>
      <c r="AR96" s="11" t="s">
        <v>26</v>
      </c>
      <c r="AS96" s="11" t="s">
        <v>26</v>
      </c>
      <c r="AT96" s="11" t="s">
        <v>26</v>
      </c>
      <c r="AU96" s="10" t="s">
        <v>26</v>
      </c>
      <c r="AV96" s="11" t="s">
        <v>26</v>
      </c>
      <c r="AW96" s="11" t="s">
        <v>26</v>
      </c>
      <c r="AX96" s="11" t="s">
        <v>26</v>
      </c>
      <c r="AY96" s="10">
        <v>3070862169.0700002</v>
      </c>
      <c r="AZ96" s="11">
        <v>4.6783511861899999E-3</v>
      </c>
      <c r="BA96" s="1" t="s">
        <v>26</v>
      </c>
      <c r="BB96" s="1" t="s">
        <v>26</v>
      </c>
    </row>
    <row r="97" spans="1:54" s="7" customFormat="1">
      <c r="A97" s="32" t="s">
        <v>83</v>
      </c>
      <c r="B97" s="31" t="s">
        <v>37</v>
      </c>
      <c r="C97" s="2" t="s">
        <v>26</v>
      </c>
      <c r="D97" s="1" t="s">
        <v>26</v>
      </c>
      <c r="E97" s="1" t="s">
        <v>26</v>
      </c>
      <c r="F97" s="1" t="s">
        <v>26</v>
      </c>
      <c r="G97" s="2">
        <v>669106625.83000004</v>
      </c>
      <c r="H97" s="1">
        <v>1</v>
      </c>
      <c r="I97" s="1" t="s">
        <v>26</v>
      </c>
      <c r="J97" s="1" t="s">
        <v>26</v>
      </c>
      <c r="K97" s="2">
        <v>22498798.77</v>
      </c>
      <c r="L97" s="1">
        <v>1</v>
      </c>
      <c r="M97" s="1" t="s">
        <v>26</v>
      </c>
      <c r="N97" s="1" t="s">
        <v>26</v>
      </c>
      <c r="O97" s="2">
        <v>1349927926.2</v>
      </c>
      <c r="P97" s="1">
        <v>1</v>
      </c>
      <c r="Q97" s="1" t="s">
        <v>26</v>
      </c>
      <c r="R97" s="1" t="s">
        <v>26</v>
      </c>
      <c r="S97" s="2">
        <v>674963963.11000001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>
        <v>354364855.16000003</v>
      </c>
      <c r="AB97" s="1">
        <v>1</v>
      </c>
      <c r="AC97" s="1" t="s">
        <v>26</v>
      </c>
      <c r="AD97" s="1" t="s">
        <v>26</v>
      </c>
      <c r="AE97" s="2">
        <v>3070862169.0700002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3070862169.0700002</v>
      </c>
      <c r="AZ97" s="1">
        <v>1</v>
      </c>
      <c r="BA97" s="1" t="s">
        <v>26</v>
      </c>
      <c r="BB97" s="1" t="s">
        <v>26</v>
      </c>
    </row>
    <row r="98" spans="1:54" s="7" customFormat="1">
      <c r="A98" s="33" t="s">
        <v>84</v>
      </c>
      <c r="B98" s="25" t="s">
        <v>25</v>
      </c>
      <c r="C98" s="55" t="s">
        <v>26</v>
      </c>
      <c r="D98" s="56" t="s">
        <v>26</v>
      </c>
      <c r="E98" s="56" t="s">
        <v>26</v>
      </c>
      <c r="F98" s="56" t="s">
        <v>26</v>
      </c>
      <c r="G98" s="55">
        <v>5841380174.2700005</v>
      </c>
      <c r="H98" s="56">
        <v>4.3083198789889997E-2</v>
      </c>
      <c r="I98" s="56">
        <v>0.15</v>
      </c>
      <c r="J98" s="56">
        <f>I98-H98</f>
        <v>0.10691680121010999</v>
      </c>
      <c r="K98" s="55">
        <v>29835116.73</v>
      </c>
      <c r="L98" s="56">
        <v>1.1763453474610001E-2</v>
      </c>
      <c r="M98" s="56">
        <v>0.15</v>
      </c>
      <c r="N98" s="56">
        <f>M98-L98</f>
        <v>0.13823654652539</v>
      </c>
      <c r="O98" s="55">
        <v>17061302992.719999</v>
      </c>
      <c r="P98" s="56">
        <v>8.4468192026339997E-2</v>
      </c>
      <c r="Q98" s="56">
        <v>0.15</v>
      </c>
      <c r="R98" s="56">
        <f>Q98-P98</f>
        <v>6.5531807973659997E-2</v>
      </c>
      <c r="S98" s="55">
        <v>4527799538.0900002</v>
      </c>
      <c r="T98" s="56">
        <v>4.4612884751340003E-2</v>
      </c>
      <c r="U98" s="56">
        <v>0.15</v>
      </c>
      <c r="V98" s="56">
        <f>U98-T98</f>
        <v>0.10538711524865998</v>
      </c>
      <c r="W98" s="55" t="s">
        <v>26</v>
      </c>
      <c r="X98" s="56" t="s">
        <v>26</v>
      </c>
      <c r="Y98" s="56" t="s">
        <v>26</v>
      </c>
      <c r="Z98" s="56" t="s">
        <v>26</v>
      </c>
      <c r="AA98" s="55">
        <v>5354309480.7200003</v>
      </c>
      <c r="AB98" s="56">
        <v>4.3106845114250003E-2</v>
      </c>
      <c r="AC98" s="56">
        <v>0.15</v>
      </c>
      <c r="AD98" s="56">
        <f>AC98-AB98</f>
        <v>0.10689315488574999</v>
      </c>
      <c r="AE98" s="55">
        <v>32814627302.529999</v>
      </c>
      <c r="AF98" s="56">
        <v>5.6884117395979997E-2</v>
      </c>
      <c r="AG98" s="56">
        <v>0.15</v>
      </c>
      <c r="AH98" s="56">
        <f>AG98-AF98</f>
        <v>9.3115882604019998E-2</v>
      </c>
      <c r="AI98" s="55" t="s">
        <v>26</v>
      </c>
      <c r="AJ98" s="56" t="s">
        <v>26</v>
      </c>
      <c r="AK98" s="56" t="s">
        <v>26</v>
      </c>
      <c r="AL98" s="56" t="s">
        <v>26</v>
      </c>
      <c r="AM98" s="55" t="s">
        <v>26</v>
      </c>
      <c r="AN98" s="56" t="s">
        <v>26</v>
      </c>
      <c r="AO98" s="56" t="s">
        <v>26</v>
      </c>
      <c r="AP98" s="56" t="s">
        <v>26</v>
      </c>
      <c r="AQ98" s="55" t="s">
        <v>26</v>
      </c>
      <c r="AR98" s="56" t="s">
        <v>26</v>
      </c>
      <c r="AS98" s="56" t="s">
        <v>26</v>
      </c>
      <c r="AT98" s="56" t="s">
        <v>26</v>
      </c>
      <c r="AU98" s="55">
        <v>1779277593.8499999</v>
      </c>
      <c r="AV98" s="56">
        <v>4.3752445520410001E-2</v>
      </c>
      <c r="AW98" s="56" t="s">
        <v>26</v>
      </c>
      <c r="AX98" s="56" t="s">
        <v>26</v>
      </c>
      <c r="AY98" s="55">
        <v>34593904896.379997</v>
      </c>
      <c r="AZ98" s="56">
        <v>5.270260503292E-2</v>
      </c>
      <c r="BA98" s="56">
        <v>0.15</v>
      </c>
      <c r="BB98" s="56">
        <f>BA98-AZ98</f>
        <v>9.7297394967079995E-2</v>
      </c>
    </row>
    <row r="99" spans="1:54" s="7" customFormat="1">
      <c r="A99" s="34" t="s">
        <v>85</v>
      </c>
      <c r="B99" s="24" t="s">
        <v>25</v>
      </c>
      <c r="C99" s="10" t="s">
        <v>26</v>
      </c>
      <c r="D99" s="11" t="s">
        <v>26</v>
      </c>
      <c r="E99" s="11" t="s">
        <v>26</v>
      </c>
      <c r="F99" s="11" t="s">
        <v>26</v>
      </c>
      <c r="G99" s="10">
        <v>116746108.95</v>
      </c>
      <c r="H99" s="11">
        <v>8.6106291146999996E-4</v>
      </c>
      <c r="I99" s="1" t="s">
        <v>26</v>
      </c>
      <c r="J99" s="1" t="s">
        <v>26</v>
      </c>
      <c r="K99" s="10">
        <v>29835116.73</v>
      </c>
      <c r="L99" s="11">
        <v>1.1763453474610001E-2</v>
      </c>
      <c r="M99" s="1" t="s">
        <v>26</v>
      </c>
      <c r="N99" s="1" t="s">
        <v>26</v>
      </c>
      <c r="O99" s="10" t="s">
        <v>26</v>
      </c>
      <c r="P99" s="11" t="s">
        <v>26</v>
      </c>
      <c r="Q99" s="11" t="s">
        <v>26</v>
      </c>
      <c r="R99" s="11" t="s">
        <v>26</v>
      </c>
      <c r="S99" s="10">
        <v>252949902.72999999</v>
      </c>
      <c r="T99" s="11">
        <v>2.4923419783499999E-3</v>
      </c>
      <c r="U99" s="1" t="s">
        <v>26</v>
      </c>
      <c r="V99" s="1" t="s">
        <v>26</v>
      </c>
      <c r="W99" s="10" t="s">
        <v>26</v>
      </c>
      <c r="X99" s="11" t="s">
        <v>26</v>
      </c>
      <c r="Y99" s="11" t="s">
        <v>26</v>
      </c>
      <c r="Z99" s="11" t="s">
        <v>26</v>
      </c>
      <c r="AA99" s="10">
        <v>131015077.81999999</v>
      </c>
      <c r="AB99" s="11">
        <v>1.05478525056E-3</v>
      </c>
      <c r="AC99" s="1" t="s">
        <v>26</v>
      </c>
      <c r="AD99" s="1" t="s">
        <v>26</v>
      </c>
      <c r="AE99" s="10">
        <v>530546206.23000002</v>
      </c>
      <c r="AF99" s="11">
        <v>9.1970121741999995E-4</v>
      </c>
      <c r="AG99" s="1" t="s">
        <v>26</v>
      </c>
      <c r="AH99" s="1" t="s">
        <v>26</v>
      </c>
      <c r="AI99" s="10" t="s">
        <v>26</v>
      </c>
      <c r="AJ99" s="11" t="s">
        <v>26</v>
      </c>
      <c r="AK99" s="11" t="s">
        <v>26</v>
      </c>
      <c r="AL99" s="11" t="s">
        <v>26</v>
      </c>
      <c r="AM99" s="10" t="s">
        <v>26</v>
      </c>
      <c r="AN99" s="11" t="s">
        <v>26</v>
      </c>
      <c r="AO99" s="11" t="s">
        <v>26</v>
      </c>
      <c r="AP99" s="11" t="s">
        <v>26</v>
      </c>
      <c r="AQ99" s="10" t="s">
        <v>26</v>
      </c>
      <c r="AR99" s="11" t="s">
        <v>26</v>
      </c>
      <c r="AS99" s="11" t="s">
        <v>26</v>
      </c>
      <c r="AT99" s="11" t="s">
        <v>26</v>
      </c>
      <c r="AU99" s="10" t="s">
        <v>26</v>
      </c>
      <c r="AV99" s="11" t="s">
        <v>26</v>
      </c>
      <c r="AW99" s="11" t="s">
        <v>26</v>
      </c>
      <c r="AX99" s="11" t="s">
        <v>26</v>
      </c>
      <c r="AY99" s="10">
        <v>530546206.23000002</v>
      </c>
      <c r="AZ99" s="11">
        <v>8.0826860230000003E-4</v>
      </c>
      <c r="BA99" s="1" t="s">
        <v>26</v>
      </c>
      <c r="BB99" s="1" t="s">
        <v>26</v>
      </c>
    </row>
    <row r="100" spans="1:54" s="7" customFormat="1">
      <c r="A100" s="32" t="s">
        <v>86</v>
      </c>
      <c r="B100" s="31" t="s">
        <v>46</v>
      </c>
      <c r="C100" s="2" t="s">
        <v>26</v>
      </c>
      <c r="D100" s="1" t="s">
        <v>26</v>
      </c>
      <c r="E100" s="1" t="s">
        <v>26</v>
      </c>
      <c r="F100" s="1" t="s">
        <v>26</v>
      </c>
      <c r="G100" s="2">
        <v>116746108.95</v>
      </c>
      <c r="H100" s="1">
        <v>1</v>
      </c>
      <c r="I100" s="1" t="s">
        <v>26</v>
      </c>
      <c r="J100" s="1" t="s">
        <v>26</v>
      </c>
      <c r="K100" s="2">
        <v>29835116.73</v>
      </c>
      <c r="L100" s="1">
        <v>1</v>
      </c>
      <c r="M100" s="1" t="s">
        <v>26</v>
      </c>
      <c r="N100" s="1" t="s">
        <v>26</v>
      </c>
      <c r="O100" s="2" t="s">
        <v>26</v>
      </c>
      <c r="P100" s="1" t="s">
        <v>26</v>
      </c>
      <c r="Q100" s="1" t="s">
        <v>26</v>
      </c>
      <c r="R100" s="1" t="s">
        <v>26</v>
      </c>
      <c r="S100" s="2">
        <v>252949902.72999999</v>
      </c>
      <c r="T100" s="1">
        <v>1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2">
        <v>131015077.81999999</v>
      </c>
      <c r="AB100" s="1">
        <v>1</v>
      </c>
      <c r="AC100" s="1" t="s">
        <v>26</v>
      </c>
      <c r="AD100" s="1" t="s">
        <v>26</v>
      </c>
      <c r="AE100" s="2">
        <v>530546206.23000002</v>
      </c>
      <c r="AF100" s="1">
        <v>1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2">
        <v>530546206.23000002</v>
      </c>
      <c r="AZ100" s="1">
        <v>1</v>
      </c>
      <c r="BA100" s="1" t="s">
        <v>26</v>
      </c>
      <c r="BB100" s="1" t="s">
        <v>26</v>
      </c>
    </row>
    <row r="101" spans="1:54" s="7" customFormat="1">
      <c r="A101" s="34" t="s">
        <v>87</v>
      </c>
      <c r="B101" s="24" t="s">
        <v>25</v>
      </c>
      <c r="C101" s="10" t="s">
        <v>26</v>
      </c>
      <c r="D101" s="11" t="s">
        <v>26</v>
      </c>
      <c r="E101" s="11" t="s">
        <v>26</v>
      </c>
      <c r="F101" s="11" t="s">
        <v>26</v>
      </c>
      <c r="G101" s="10">
        <v>1718922858.7</v>
      </c>
      <c r="H101" s="11">
        <v>1.26779447693E-2</v>
      </c>
      <c r="I101" s="1" t="s">
        <v>26</v>
      </c>
      <c r="J101" s="1" t="s">
        <v>26</v>
      </c>
      <c r="K101" s="10" t="s">
        <v>26</v>
      </c>
      <c r="L101" s="11" t="s">
        <v>26</v>
      </c>
      <c r="M101" s="11" t="s">
        <v>26</v>
      </c>
      <c r="N101" s="11" t="s">
        <v>26</v>
      </c>
      <c r="O101" s="10">
        <v>3082471054.4899998</v>
      </c>
      <c r="P101" s="11">
        <v>1.526089519994E-2</v>
      </c>
      <c r="Q101" s="1" t="s">
        <v>26</v>
      </c>
      <c r="R101" s="1" t="s">
        <v>26</v>
      </c>
      <c r="S101" s="10">
        <v>1123389450.97</v>
      </c>
      <c r="T101" s="11">
        <v>1.106887433628E-2</v>
      </c>
      <c r="U101" s="1" t="s">
        <v>26</v>
      </c>
      <c r="V101" s="1" t="s">
        <v>26</v>
      </c>
      <c r="W101" s="10" t="s">
        <v>26</v>
      </c>
      <c r="X101" s="11" t="s">
        <v>26</v>
      </c>
      <c r="Y101" s="11" t="s">
        <v>26</v>
      </c>
      <c r="Z101" s="11" t="s">
        <v>26</v>
      </c>
      <c r="AA101" s="10">
        <v>1717826868.99</v>
      </c>
      <c r="AB101" s="11">
        <v>1.3829999375510001E-2</v>
      </c>
      <c r="AC101" s="1" t="s">
        <v>26</v>
      </c>
      <c r="AD101" s="1" t="s">
        <v>26</v>
      </c>
      <c r="AE101" s="10">
        <v>7642610233.1499996</v>
      </c>
      <c r="AF101" s="11">
        <v>1.324845574829E-2</v>
      </c>
      <c r="AG101" s="1" t="s">
        <v>26</v>
      </c>
      <c r="AH101" s="1" t="s">
        <v>26</v>
      </c>
      <c r="AI101" s="10" t="s">
        <v>26</v>
      </c>
      <c r="AJ101" s="11" t="s">
        <v>26</v>
      </c>
      <c r="AK101" s="11" t="s">
        <v>26</v>
      </c>
      <c r="AL101" s="11" t="s">
        <v>26</v>
      </c>
      <c r="AM101" s="10" t="s">
        <v>26</v>
      </c>
      <c r="AN101" s="11" t="s">
        <v>26</v>
      </c>
      <c r="AO101" s="11" t="s">
        <v>26</v>
      </c>
      <c r="AP101" s="11" t="s">
        <v>26</v>
      </c>
      <c r="AQ101" s="10" t="s">
        <v>26</v>
      </c>
      <c r="AR101" s="11" t="s">
        <v>26</v>
      </c>
      <c r="AS101" s="11" t="s">
        <v>26</v>
      </c>
      <c r="AT101" s="11" t="s">
        <v>26</v>
      </c>
      <c r="AU101" s="10">
        <v>281806353.74000001</v>
      </c>
      <c r="AV101" s="11">
        <v>6.9296197411399998E-3</v>
      </c>
      <c r="AW101" s="11">
        <v>0.15</v>
      </c>
      <c r="AX101" s="11">
        <v>0.14307038025886001</v>
      </c>
      <c r="AY101" s="10">
        <v>7924416586.8900003</v>
      </c>
      <c r="AZ101" s="11">
        <v>1.2072571707250001E-2</v>
      </c>
      <c r="BA101" s="1" t="s">
        <v>26</v>
      </c>
      <c r="BB101" s="1" t="s">
        <v>26</v>
      </c>
    </row>
    <row r="102" spans="1:54" s="7" customFormat="1">
      <c r="A102" s="32" t="s">
        <v>86</v>
      </c>
      <c r="B102" s="31" t="s">
        <v>46</v>
      </c>
      <c r="C102" s="2" t="s">
        <v>26</v>
      </c>
      <c r="D102" s="1" t="s">
        <v>26</v>
      </c>
      <c r="E102" s="1" t="s">
        <v>26</v>
      </c>
      <c r="F102" s="1" t="s">
        <v>26</v>
      </c>
      <c r="G102" s="2">
        <v>1718922858.7</v>
      </c>
      <c r="H102" s="1">
        <v>1</v>
      </c>
      <c r="I102" s="1" t="s">
        <v>26</v>
      </c>
      <c r="J102" s="1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2">
        <v>3082471054.4899998</v>
      </c>
      <c r="P102" s="1">
        <v>1</v>
      </c>
      <c r="Q102" s="1" t="s">
        <v>26</v>
      </c>
      <c r="R102" s="1" t="s">
        <v>26</v>
      </c>
      <c r="S102" s="2">
        <v>1123389450.97</v>
      </c>
      <c r="T102" s="1">
        <v>1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2">
        <v>1717826868.99</v>
      </c>
      <c r="AB102" s="1">
        <v>1</v>
      </c>
      <c r="AC102" s="1" t="s">
        <v>26</v>
      </c>
      <c r="AD102" s="1" t="s">
        <v>26</v>
      </c>
      <c r="AE102" s="2">
        <v>7642610233.1499996</v>
      </c>
      <c r="AF102" s="1">
        <v>1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2">
        <v>281806353.74000001</v>
      </c>
      <c r="AV102" s="1">
        <v>1</v>
      </c>
      <c r="AW102" s="1" t="s">
        <v>26</v>
      </c>
      <c r="AX102" s="1" t="s">
        <v>26</v>
      </c>
      <c r="AY102" s="2">
        <v>7924416586.8900003</v>
      </c>
      <c r="AZ102" s="1">
        <v>1</v>
      </c>
      <c r="BA102" s="1" t="s">
        <v>26</v>
      </c>
      <c r="BB102" s="1" t="s">
        <v>26</v>
      </c>
    </row>
    <row r="103" spans="1:54" s="8" customFormat="1">
      <c r="A103" s="34" t="s">
        <v>88</v>
      </c>
      <c r="B103" s="24" t="s">
        <v>25</v>
      </c>
      <c r="C103" s="10" t="s">
        <v>26</v>
      </c>
      <c r="D103" s="11" t="s">
        <v>26</v>
      </c>
      <c r="E103" s="11" t="s">
        <v>26</v>
      </c>
      <c r="F103" s="11" t="s">
        <v>26</v>
      </c>
      <c r="G103" s="10">
        <v>1364840385.4100001</v>
      </c>
      <c r="H103" s="11">
        <v>1.006640346747E-2</v>
      </c>
      <c r="I103" s="1" t="s">
        <v>26</v>
      </c>
      <c r="J103" s="1" t="s">
        <v>26</v>
      </c>
      <c r="K103" s="10" t="s">
        <v>26</v>
      </c>
      <c r="L103" s="11" t="s">
        <v>26</v>
      </c>
      <c r="M103" s="11" t="s">
        <v>26</v>
      </c>
      <c r="N103" s="11" t="s">
        <v>26</v>
      </c>
      <c r="O103" s="10">
        <v>1312346524.4200001</v>
      </c>
      <c r="P103" s="11">
        <v>6.49724925916E-3</v>
      </c>
      <c r="Q103" s="1" t="s">
        <v>26</v>
      </c>
      <c r="R103" s="1" t="s">
        <v>26</v>
      </c>
      <c r="S103" s="10">
        <v>1312346524.4400001</v>
      </c>
      <c r="T103" s="11">
        <v>1.293068824186E-2</v>
      </c>
      <c r="U103" s="1" t="s">
        <v>26</v>
      </c>
      <c r="V103" s="1" t="s">
        <v>26</v>
      </c>
      <c r="W103" s="10" t="s">
        <v>26</v>
      </c>
      <c r="X103" s="11" t="s">
        <v>26</v>
      </c>
      <c r="Y103" s="11" t="s">
        <v>26</v>
      </c>
      <c r="Z103" s="11" t="s">
        <v>26</v>
      </c>
      <c r="AA103" s="10">
        <v>1259065255.54</v>
      </c>
      <c r="AB103" s="11">
        <v>1.0136569646320001E-2</v>
      </c>
      <c r="AC103" s="1" t="s">
        <v>26</v>
      </c>
      <c r="AD103" s="1" t="s">
        <v>26</v>
      </c>
      <c r="AE103" s="10">
        <v>5248598689.8100004</v>
      </c>
      <c r="AF103" s="11">
        <v>9.0984395855799993E-3</v>
      </c>
      <c r="AG103" s="1" t="s">
        <v>26</v>
      </c>
      <c r="AH103" s="1" t="s">
        <v>26</v>
      </c>
      <c r="AI103" s="10" t="s">
        <v>26</v>
      </c>
      <c r="AJ103" s="11" t="s">
        <v>26</v>
      </c>
      <c r="AK103" s="11" t="s">
        <v>26</v>
      </c>
      <c r="AL103" s="11" t="s">
        <v>26</v>
      </c>
      <c r="AM103" s="10" t="s">
        <v>26</v>
      </c>
      <c r="AN103" s="11" t="s">
        <v>26</v>
      </c>
      <c r="AO103" s="11" t="s">
        <v>26</v>
      </c>
      <c r="AP103" s="11" t="s">
        <v>26</v>
      </c>
      <c r="AQ103" s="10" t="s">
        <v>26</v>
      </c>
      <c r="AR103" s="11" t="s">
        <v>26</v>
      </c>
      <c r="AS103" s="11" t="s">
        <v>26</v>
      </c>
      <c r="AT103" s="11" t="s">
        <v>26</v>
      </c>
      <c r="AU103" s="10" t="s">
        <v>26</v>
      </c>
      <c r="AV103" s="11" t="s">
        <v>26</v>
      </c>
      <c r="AW103" s="11" t="s">
        <v>26</v>
      </c>
      <c r="AX103" s="11" t="s">
        <v>26</v>
      </c>
      <c r="AY103" s="10">
        <v>5248598689.8100004</v>
      </c>
      <c r="AZ103" s="11">
        <v>7.9960566624099998E-3</v>
      </c>
      <c r="BA103" s="1" t="s">
        <v>26</v>
      </c>
      <c r="BB103" s="1" t="s">
        <v>26</v>
      </c>
    </row>
    <row r="104" spans="1:54" s="7" customFormat="1">
      <c r="A104" s="32" t="s">
        <v>86</v>
      </c>
      <c r="B104" s="31" t="s">
        <v>46</v>
      </c>
      <c r="C104" s="2" t="s">
        <v>26</v>
      </c>
      <c r="D104" s="1" t="s">
        <v>26</v>
      </c>
      <c r="E104" s="1" t="s">
        <v>26</v>
      </c>
      <c r="F104" s="1" t="s">
        <v>26</v>
      </c>
      <c r="G104" s="2">
        <v>1364840385.4100001</v>
      </c>
      <c r="H104" s="1">
        <v>1</v>
      </c>
      <c r="I104" s="1" t="s">
        <v>26</v>
      </c>
      <c r="J104" s="1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2">
        <v>1312346524.4200001</v>
      </c>
      <c r="P104" s="1">
        <v>1</v>
      </c>
      <c r="Q104" s="1" t="s">
        <v>26</v>
      </c>
      <c r="R104" s="1" t="s">
        <v>26</v>
      </c>
      <c r="S104" s="2">
        <v>1312346524.4400001</v>
      </c>
      <c r="T104" s="1">
        <v>1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>
        <v>1259065255.54</v>
      </c>
      <c r="AB104" s="1">
        <v>1</v>
      </c>
      <c r="AC104" s="1" t="s">
        <v>26</v>
      </c>
      <c r="AD104" s="1" t="s">
        <v>26</v>
      </c>
      <c r="AE104" s="2">
        <v>5248598689.8100004</v>
      </c>
      <c r="AF104" s="1">
        <v>1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 t="s">
        <v>26</v>
      </c>
      <c r="AV104" s="1" t="s">
        <v>26</v>
      </c>
      <c r="AW104" s="1" t="s">
        <v>26</v>
      </c>
      <c r="AX104" s="1" t="s">
        <v>26</v>
      </c>
      <c r="AY104" s="2">
        <v>5248598689.8100004</v>
      </c>
      <c r="AZ104" s="1">
        <v>1</v>
      </c>
      <c r="BA104" s="1" t="s">
        <v>26</v>
      </c>
      <c r="BB104" s="1" t="s">
        <v>26</v>
      </c>
    </row>
    <row r="105" spans="1:54" s="7" customFormat="1">
      <c r="A105" s="34" t="s">
        <v>89</v>
      </c>
      <c r="B105" s="24" t="s">
        <v>25</v>
      </c>
      <c r="C105" s="10" t="s">
        <v>26</v>
      </c>
      <c r="D105" s="11" t="s">
        <v>26</v>
      </c>
      <c r="E105" s="11" t="s">
        <v>26</v>
      </c>
      <c r="F105" s="11" t="s">
        <v>26</v>
      </c>
      <c r="G105" s="10" t="s">
        <v>26</v>
      </c>
      <c r="H105" s="11" t="s">
        <v>26</v>
      </c>
      <c r="I105" s="11" t="s">
        <v>26</v>
      </c>
      <c r="J105" s="11" t="s">
        <v>26</v>
      </c>
      <c r="K105" s="10" t="s">
        <v>26</v>
      </c>
      <c r="L105" s="11" t="s">
        <v>26</v>
      </c>
      <c r="M105" s="11" t="s">
        <v>26</v>
      </c>
      <c r="N105" s="11" t="s">
        <v>26</v>
      </c>
      <c r="O105" s="10">
        <v>2946069990.54</v>
      </c>
      <c r="P105" s="11">
        <v>1.45855920729E-2</v>
      </c>
      <c r="Q105" s="1" t="s">
        <v>26</v>
      </c>
      <c r="R105" s="1" t="s">
        <v>26</v>
      </c>
      <c r="S105" s="10">
        <v>465137063.76999998</v>
      </c>
      <c r="T105" s="11">
        <v>4.5830443784000002E-3</v>
      </c>
      <c r="U105" s="1" t="s">
        <v>26</v>
      </c>
      <c r="V105" s="1" t="s">
        <v>26</v>
      </c>
      <c r="W105" s="10" t="s">
        <v>26</v>
      </c>
      <c r="X105" s="11" t="s">
        <v>26</v>
      </c>
      <c r="Y105" s="11" t="s">
        <v>26</v>
      </c>
      <c r="Z105" s="11" t="s">
        <v>26</v>
      </c>
      <c r="AA105" s="10">
        <v>1167948349.99</v>
      </c>
      <c r="AB105" s="11">
        <v>9.4029993607499997E-3</v>
      </c>
      <c r="AC105" s="1" t="s">
        <v>26</v>
      </c>
      <c r="AD105" s="1" t="s">
        <v>26</v>
      </c>
      <c r="AE105" s="10">
        <v>4579155404.3000002</v>
      </c>
      <c r="AF105" s="11">
        <v>7.9379604464499993E-3</v>
      </c>
      <c r="AG105" s="1" t="s">
        <v>26</v>
      </c>
      <c r="AH105" s="1" t="s">
        <v>26</v>
      </c>
      <c r="AI105" s="10" t="s">
        <v>26</v>
      </c>
      <c r="AJ105" s="11" t="s">
        <v>26</v>
      </c>
      <c r="AK105" s="11" t="s">
        <v>26</v>
      </c>
      <c r="AL105" s="11" t="s">
        <v>26</v>
      </c>
      <c r="AM105" s="10" t="s">
        <v>26</v>
      </c>
      <c r="AN105" s="11" t="s">
        <v>26</v>
      </c>
      <c r="AO105" s="11" t="s">
        <v>26</v>
      </c>
      <c r="AP105" s="11" t="s">
        <v>26</v>
      </c>
      <c r="AQ105" s="10" t="s">
        <v>26</v>
      </c>
      <c r="AR105" s="11" t="s">
        <v>26</v>
      </c>
      <c r="AS105" s="11" t="s">
        <v>26</v>
      </c>
      <c r="AT105" s="11" t="s">
        <v>26</v>
      </c>
      <c r="AU105" s="10">
        <v>324514230.54000002</v>
      </c>
      <c r="AV105" s="11">
        <v>7.9798066593899999E-3</v>
      </c>
      <c r="AW105" s="11">
        <v>0.15</v>
      </c>
      <c r="AX105" s="11">
        <v>0.14202019334061</v>
      </c>
      <c r="AY105" s="10">
        <v>4903669634.8400002</v>
      </c>
      <c r="AZ105" s="11">
        <v>7.4705693026299999E-3</v>
      </c>
      <c r="BA105" s="1" t="s">
        <v>26</v>
      </c>
      <c r="BB105" s="1" t="s">
        <v>26</v>
      </c>
    </row>
    <row r="106" spans="1:54" s="7" customFormat="1">
      <c r="A106" s="32" t="s">
        <v>86</v>
      </c>
      <c r="B106" s="31" t="s">
        <v>46</v>
      </c>
      <c r="C106" s="2" t="s">
        <v>26</v>
      </c>
      <c r="D106" s="1" t="s">
        <v>26</v>
      </c>
      <c r="E106" s="1" t="s">
        <v>26</v>
      </c>
      <c r="F106" s="1" t="s">
        <v>26</v>
      </c>
      <c r="G106" s="2" t="s">
        <v>26</v>
      </c>
      <c r="H106" s="1" t="s">
        <v>26</v>
      </c>
      <c r="I106" s="1" t="s">
        <v>26</v>
      </c>
      <c r="J106" s="1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2">
        <v>2946069990.54</v>
      </c>
      <c r="P106" s="1">
        <v>1</v>
      </c>
      <c r="Q106" s="1" t="s">
        <v>26</v>
      </c>
      <c r="R106" s="1" t="s">
        <v>26</v>
      </c>
      <c r="S106" s="2">
        <v>465137063.76999998</v>
      </c>
      <c r="T106" s="1">
        <v>1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2">
        <v>1167948349.99</v>
      </c>
      <c r="AB106" s="1">
        <v>1</v>
      </c>
      <c r="AC106" s="1" t="s">
        <v>26</v>
      </c>
      <c r="AD106" s="1" t="s">
        <v>26</v>
      </c>
      <c r="AE106" s="2">
        <v>4579155404.3000002</v>
      </c>
      <c r="AF106" s="1">
        <v>1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>
        <v>324514230.54000002</v>
      </c>
      <c r="AV106" s="1">
        <v>1</v>
      </c>
      <c r="AW106" s="1" t="s">
        <v>26</v>
      </c>
      <c r="AX106" s="1" t="s">
        <v>26</v>
      </c>
      <c r="AY106" s="2">
        <v>4903669634.8400002</v>
      </c>
      <c r="AZ106" s="1">
        <v>1</v>
      </c>
      <c r="BA106" s="1" t="s">
        <v>26</v>
      </c>
      <c r="BB106" s="1" t="s">
        <v>26</v>
      </c>
    </row>
    <row r="107" spans="1:54" s="7" customFormat="1">
      <c r="A107" s="34" t="s">
        <v>106</v>
      </c>
      <c r="B107" s="24" t="s">
        <v>25</v>
      </c>
      <c r="C107" s="10" t="s">
        <v>26</v>
      </c>
      <c r="D107" s="11" t="s">
        <v>26</v>
      </c>
      <c r="E107" s="11" t="s">
        <v>26</v>
      </c>
      <c r="F107" s="11" t="s">
        <v>26</v>
      </c>
      <c r="G107" s="10" t="s">
        <v>26</v>
      </c>
      <c r="H107" s="11" t="s">
        <v>26</v>
      </c>
      <c r="I107" s="11" t="s">
        <v>26</v>
      </c>
      <c r="J107" s="11" t="s">
        <v>26</v>
      </c>
      <c r="K107" s="10" t="s">
        <v>26</v>
      </c>
      <c r="L107" s="11" t="s">
        <v>26</v>
      </c>
      <c r="M107" s="11" t="s">
        <v>26</v>
      </c>
      <c r="N107" s="11" t="s">
        <v>26</v>
      </c>
      <c r="O107" s="10">
        <v>608512775.39999998</v>
      </c>
      <c r="P107" s="11">
        <v>3.0126640377300001E-3</v>
      </c>
      <c r="Q107" s="1" t="s">
        <v>26</v>
      </c>
      <c r="R107" s="1" t="s">
        <v>26</v>
      </c>
      <c r="S107" s="10" t="s">
        <v>26</v>
      </c>
      <c r="T107" s="11" t="s">
        <v>26</v>
      </c>
      <c r="U107" s="11" t="s">
        <v>26</v>
      </c>
      <c r="V107" s="11" t="s">
        <v>26</v>
      </c>
      <c r="W107" s="10" t="s">
        <v>26</v>
      </c>
      <c r="X107" s="11" t="s">
        <v>26</v>
      </c>
      <c r="Y107" s="11" t="s">
        <v>26</v>
      </c>
      <c r="Z107" s="11" t="s">
        <v>26</v>
      </c>
      <c r="AA107" s="10" t="s">
        <v>26</v>
      </c>
      <c r="AB107" s="11" t="s">
        <v>26</v>
      </c>
      <c r="AC107" s="11" t="s">
        <v>26</v>
      </c>
      <c r="AD107" s="11" t="s">
        <v>26</v>
      </c>
      <c r="AE107" s="10">
        <v>608512775.39999998</v>
      </c>
      <c r="AF107" s="11">
        <v>1.0548561723299999E-3</v>
      </c>
      <c r="AG107" s="1" t="s">
        <v>26</v>
      </c>
      <c r="AH107" s="1" t="s">
        <v>26</v>
      </c>
      <c r="AI107" s="10" t="s">
        <v>26</v>
      </c>
      <c r="AJ107" s="11" t="s">
        <v>26</v>
      </c>
      <c r="AK107" s="11" t="s">
        <v>26</v>
      </c>
      <c r="AL107" s="11" t="s">
        <v>26</v>
      </c>
      <c r="AM107" s="10" t="s">
        <v>26</v>
      </c>
      <c r="AN107" s="11" t="s">
        <v>26</v>
      </c>
      <c r="AO107" s="11" t="s">
        <v>26</v>
      </c>
      <c r="AP107" s="11" t="s">
        <v>26</v>
      </c>
      <c r="AQ107" s="10" t="s">
        <v>26</v>
      </c>
      <c r="AR107" s="11" t="s">
        <v>26</v>
      </c>
      <c r="AS107" s="11" t="s">
        <v>26</v>
      </c>
      <c r="AT107" s="11" t="s">
        <v>26</v>
      </c>
      <c r="AU107" s="10" t="s">
        <v>26</v>
      </c>
      <c r="AV107" s="11" t="s">
        <v>26</v>
      </c>
      <c r="AW107" s="11" t="s">
        <v>26</v>
      </c>
      <c r="AX107" s="11" t="s">
        <v>26</v>
      </c>
      <c r="AY107" s="10">
        <v>608512775.39999998</v>
      </c>
      <c r="AZ107" s="11">
        <v>9.2704794545000004E-4</v>
      </c>
      <c r="BA107" s="1" t="s">
        <v>26</v>
      </c>
      <c r="BB107" s="1" t="s">
        <v>26</v>
      </c>
    </row>
    <row r="108" spans="1:54" s="7" customFormat="1">
      <c r="A108" s="32" t="s">
        <v>86</v>
      </c>
      <c r="B108" s="31" t="s">
        <v>46</v>
      </c>
      <c r="C108" s="2" t="s">
        <v>26</v>
      </c>
      <c r="D108" s="1" t="s">
        <v>26</v>
      </c>
      <c r="E108" s="1" t="s">
        <v>26</v>
      </c>
      <c r="F108" s="1" t="s">
        <v>26</v>
      </c>
      <c r="G108" s="2" t="s">
        <v>26</v>
      </c>
      <c r="H108" s="1" t="s">
        <v>26</v>
      </c>
      <c r="I108" s="1" t="s">
        <v>26</v>
      </c>
      <c r="J108" s="1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2">
        <v>608512775.39999998</v>
      </c>
      <c r="P108" s="1">
        <v>1</v>
      </c>
      <c r="Q108" s="1" t="s">
        <v>26</v>
      </c>
      <c r="R108" s="1" t="s">
        <v>26</v>
      </c>
      <c r="S108" s="2" t="s">
        <v>26</v>
      </c>
      <c r="T108" s="1" t="s">
        <v>26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2">
        <v>608512775.39999998</v>
      </c>
      <c r="AF108" s="1">
        <v>1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2">
        <v>608512775.39999998</v>
      </c>
      <c r="AZ108" s="1">
        <v>1</v>
      </c>
      <c r="BA108" s="1" t="s">
        <v>26</v>
      </c>
      <c r="BB108" s="1" t="s">
        <v>26</v>
      </c>
    </row>
    <row r="109" spans="1:54" s="7" customFormat="1">
      <c r="A109" s="34" t="s">
        <v>90</v>
      </c>
      <c r="B109" s="24" t="s">
        <v>25</v>
      </c>
      <c r="C109" s="10" t="s">
        <v>26</v>
      </c>
      <c r="D109" s="11" t="s">
        <v>26</v>
      </c>
      <c r="E109" s="11" t="s">
        <v>26</v>
      </c>
      <c r="F109" s="11" t="s">
        <v>26</v>
      </c>
      <c r="G109" s="10" t="s">
        <v>26</v>
      </c>
      <c r="H109" s="11" t="s">
        <v>26</v>
      </c>
      <c r="I109" s="11" t="s">
        <v>26</v>
      </c>
      <c r="J109" s="11" t="s">
        <v>26</v>
      </c>
      <c r="K109" s="10" t="s">
        <v>26</v>
      </c>
      <c r="L109" s="11" t="s">
        <v>26</v>
      </c>
      <c r="M109" s="11" t="s">
        <v>26</v>
      </c>
      <c r="N109" s="11" t="s">
        <v>26</v>
      </c>
      <c r="O109" s="10">
        <v>308734611.88</v>
      </c>
      <c r="P109" s="11">
        <v>1.5285030980700001E-3</v>
      </c>
      <c r="Q109" s="1" t="s">
        <v>26</v>
      </c>
      <c r="R109" s="1" t="s">
        <v>26</v>
      </c>
      <c r="S109" s="10" t="s">
        <v>26</v>
      </c>
      <c r="T109" s="11" t="s">
        <v>26</v>
      </c>
      <c r="U109" s="11" t="s">
        <v>26</v>
      </c>
      <c r="V109" s="11" t="s">
        <v>26</v>
      </c>
      <c r="W109" s="10" t="s">
        <v>26</v>
      </c>
      <c r="X109" s="11" t="s">
        <v>26</v>
      </c>
      <c r="Y109" s="11" t="s">
        <v>26</v>
      </c>
      <c r="Z109" s="11" t="s">
        <v>26</v>
      </c>
      <c r="AA109" s="10">
        <v>308734611.88</v>
      </c>
      <c r="AB109" s="11">
        <v>2.4855819678799998E-3</v>
      </c>
      <c r="AC109" s="1" t="s">
        <v>26</v>
      </c>
      <c r="AD109" s="1" t="s">
        <v>26</v>
      </c>
      <c r="AE109" s="10">
        <v>617469223.75999999</v>
      </c>
      <c r="AF109" s="11">
        <v>1.0703821649100001E-3</v>
      </c>
      <c r="AG109" s="1" t="s">
        <v>26</v>
      </c>
      <c r="AH109" s="1" t="s">
        <v>26</v>
      </c>
      <c r="AI109" s="10" t="s">
        <v>26</v>
      </c>
      <c r="AJ109" s="11" t="s">
        <v>26</v>
      </c>
      <c r="AK109" s="11" t="s">
        <v>26</v>
      </c>
      <c r="AL109" s="11" t="s">
        <v>26</v>
      </c>
      <c r="AM109" s="10" t="s">
        <v>26</v>
      </c>
      <c r="AN109" s="11" t="s">
        <v>26</v>
      </c>
      <c r="AO109" s="11" t="s">
        <v>26</v>
      </c>
      <c r="AP109" s="11" t="s">
        <v>26</v>
      </c>
      <c r="AQ109" s="10" t="s">
        <v>26</v>
      </c>
      <c r="AR109" s="11" t="s">
        <v>26</v>
      </c>
      <c r="AS109" s="11" t="s">
        <v>26</v>
      </c>
      <c r="AT109" s="11" t="s">
        <v>26</v>
      </c>
      <c r="AU109" s="10" t="s">
        <v>26</v>
      </c>
      <c r="AV109" s="11" t="s">
        <v>26</v>
      </c>
      <c r="AW109" s="11" t="s">
        <v>26</v>
      </c>
      <c r="AX109" s="11" t="s">
        <v>26</v>
      </c>
      <c r="AY109" s="10">
        <v>617469223.75999999</v>
      </c>
      <c r="AZ109" s="11">
        <v>9.4069278150000005E-4</v>
      </c>
      <c r="BA109" s="1" t="s">
        <v>26</v>
      </c>
      <c r="BB109" s="1" t="s">
        <v>26</v>
      </c>
    </row>
    <row r="110" spans="1:54" s="7" customFormat="1">
      <c r="A110" s="32" t="s">
        <v>86</v>
      </c>
      <c r="B110" s="31" t="s">
        <v>46</v>
      </c>
      <c r="C110" s="2" t="s">
        <v>26</v>
      </c>
      <c r="D110" s="1" t="s">
        <v>26</v>
      </c>
      <c r="E110" s="1" t="s">
        <v>26</v>
      </c>
      <c r="F110" s="1" t="s">
        <v>26</v>
      </c>
      <c r="G110" s="2" t="s">
        <v>26</v>
      </c>
      <c r="H110" s="1" t="s">
        <v>26</v>
      </c>
      <c r="I110" s="1" t="s">
        <v>26</v>
      </c>
      <c r="J110" s="1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>
        <v>308734611.88</v>
      </c>
      <c r="P110" s="1">
        <v>1</v>
      </c>
      <c r="Q110" s="1" t="s">
        <v>26</v>
      </c>
      <c r="R110" s="1" t="s">
        <v>26</v>
      </c>
      <c r="S110" s="2" t="s">
        <v>26</v>
      </c>
      <c r="T110" s="1" t="s">
        <v>26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>
        <v>308734611.88</v>
      </c>
      <c r="AB110" s="1">
        <v>1</v>
      </c>
      <c r="AC110" s="1" t="s">
        <v>26</v>
      </c>
      <c r="AD110" s="1" t="s">
        <v>26</v>
      </c>
      <c r="AE110" s="2">
        <v>617469223.75999999</v>
      </c>
      <c r="AF110" s="1">
        <v>1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2" t="s">
        <v>26</v>
      </c>
      <c r="AV110" s="1" t="s">
        <v>26</v>
      </c>
      <c r="AW110" s="1" t="s">
        <v>26</v>
      </c>
      <c r="AX110" s="1" t="s">
        <v>26</v>
      </c>
      <c r="AY110" s="2">
        <v>617469223.75999999</v>
      </c>
      <c r="AZ110" s="1">
        <v>1</v>
      </c>
      <c r="BA110" s="1" t="s">
        <v>26</v>
      </c>
      <c r="BB110" s="1" t="s">
        <v>26</v>
      </c>
    </row>
    <row r="111" spans="1:54" s="7" customFormat="1">
      <c r="A111" s="34" t="s">
        <v>91</v>
      </c>
      <c r="B111" s="24" t="s">
        <v>25</v>
      </c>
      <c r="C111" s="10" t="s">
        <v>26</v>
      </c>
      <c r="D111" s="11" t="s">
        <v>26</v>
      </c>
      <c r="E111" s="11" t="s">
        <v>26</v>
      </c>
      <c r="F111" s="11" t="s">
        <v>26</v>
      </c>
      <c r="G111" s="10" t="s">
        <v>26</v>
      </c>
      <c r="H111" s="11" t="s">
        <v>26</v>
      </c>
      <c r="I111" s="11" t="s">
        <v>26</v>
      </c>
      <c r="J111" s="11" t="s">
        <v>26</v>
      </c>
      <c r="K111" s="10" t="s">
        <v>26</v>
      </c>
      <c r="L111" s="11" t="s">
        <v>26</v>
      </c>
      <c r="M111" s="11" t="s">
        <v>26</v>
      </c>
      <c r="N111" s="11" t="s">
        <v>26</v>
      </c>
      <c r="O111" s="10" t="s">
        <v>26</v>
      </c>
      <c r="P111" s="11" t="s">
        <v>26</v>
      </c>
      <c r="Q111" s="1" t="s">
        <v>26</v>
      </c>
      <c r="R111" s="1" t="s">
        <v>26</v>
      </c>
      <c r="S111" s="10">
        <v>129026320.19</v>
      </c>
      <c r="T111" s="11">
        <v>1.2713098943799999E-3</v>
      </c>
      <c r="U111" s="1" t="s">
        <v>26</v>
      </c>
      <c r="V111" s="1" t="s">
        <v>26</v>
      </c>
      <c r="W111" s="10" t="s">
        <v>26</v>
      </c>
      <c r="X111" s="11" t="s">
        <v>26</v>
      </c>
      <c r="Y111" s="11" t="s">
        <v>26</v>
      </c>
      <c r="Z111" s="11" t="s">
        <v>26</v>
      </c>
      <c r="AA111" s="10" t="s">
        <v>26</v>
      </c>
      <c r="AB111" s="11" t="s">
        <v>26</v>
      </c>
      <c r="AC111" s="1" t="s">
        <v>26</v>
      </c>
      <c r="AD111" s="1" t="s">
        <v>26</v>
      </c>
      <c r="AE111" s="10">
        <v>129026320.19</v>
      </c>
      <c r="AF111" s="11">
        <v>2.2366697257000001E-4</v>
      </c>
      <c r="AG111" s="1" t="s">
        <v>26</v>
      </c>
      <c r="AH111" s="1" t="s">
        <v>26</v>
      </c>
      <c r="AI111" s="10" t="s">
        <v>26</v>
      </c>
      <c r="AJ111" s="11" t="s">
        <v>26</v>
      </c>
      <c r="AK111" s="11" t="s">
        <v>26</v>
      </c>
      <c r="AL111" s="11" t="s">
        <v>26</v>
      </c>
      <c r="AM111" s="10" t="s">
        <v>26</v>
      </c>
      <c r="AN111" s="11" t="s">
        <v>26</v>
      </c>
      <c r="AO111" s="11" t="s">
        <v>26</v>
      </c>
      <c r="AP111" s="11" t="s">
        <v>26</v>
      </c>
      <c r="AQ111" s="10" t="s">
        <v>26</v>
      </c>
      <c r="AR111" s="11" t="s">
        <v>26</v>
      </c>
      <c r="AS111" s="11" t="s">
        <v>26</v>
      </c>
      <c r="AT111" s="11" t="s">
        <v>26</v>
      </c>
      <c r="AU111" s="10">
        <v>165285541.55000001</v>
      </c>
      <c r="AV111" s="11">
        <v>4.06437234807E-3</v>
      </c>
      <c r="AW111" s="11">
        <v>0.15</v>
      </c>
      <c r="AX111" s="11">
        <v>0.14593562765192999</v>
      </c>
      <c r="AY111" s="10">
        <v>294311861.74000001</v>
      </c>
      <c r="AZ111" s="11">
        <v>4.4837383499000001E-4</v>
      </c>
      <c r="BA111" s="1" t="s">
        <v>26</v>
      </c>
      <c r="BB111" s="1" t="s">
        <v>26</v>
      </c>
    </row>
    <row r="112" spans="1:54" s="7" customFormat="1">
      <c r="A112" s="32" t="s">
        <v>86</v>
      </c>
      <c r="B112" s="31" t="s">
        <v>46</v>
      </c>
      <c r="C112" s="2" t="s">
        <v>26</v>
      </c>
      <c r="D112" s="1" t="s">
        <v>26</v>
      </c>
      <c r="E112" s="1" t="s">
        <v>26</v>
      </c>
      <c r="F112" s="1" t="s">
        <v>26</v>
      </c>
      <c r="G112" s="2" t="s">
        <v>26</v>
      </c>
      <c r="H112" s="1" t="s">
        <v>26</v>
      </c>
      <c r="I112" s="1" t="s">
        <v>26</v>
      </c>
      <c r="J112" s="1" t="s">
        <v>26</v>
      </c>
      <c r="K112" s="2" t="s">
        <v>26</v>
      </c>
      <c r="L112" s="1" t="s">
        <v>26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2">
        <v>129026320.19</v>
      </c>
      <c r="T112" s="1">
        <v>1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2">
        <v>129026320.19</v>
      </c>
      <c r="AF112" s="1">
        <v>1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>
        <v>165285541.55000001</v>
      </c>
      <c r="AV112" s="1">
        <v>1</v>
      </c>
      <c r="AW112" s="1" t="s">
        <v>26</v>
      </c>
      <c r="AX112" s="1" t="s">
        <v>26</v>
      </c>
      <c r="AY112" s="2">
        <v>294311861.74000001</v>
      </c>
      <c r="AZ112" s="1">
        <v>1</v>
      </c>
      <c r="BA112" s="1" t="s">
        <v>26</v>
      </c>
      <c r="BB112" s="1" t="s">
        <v>26</v>
      </c>
    </row>
    <row r="113" spans="1:54" s="7" customFormat="1">
      <c r="A113" s="34" t="s">
        <v>92</v>
      </c>
      <c r="B113" s="24" t="s">
        <v>25</v>
      </c>
      <c r="C113" s="10" t="s">
        <v>26</v>
      </c>
      <c r="D113" s="11" t="s">
        <v>26</v>
      </c>
      <c r="E113" s="11" t="s">
        <v>26</v>
      </c>
      <c r="F113" s="11" t="s">
        <v>26</v>
      </c>
      <c r="G113" s="10">
        <v>617245644.38</v>
      </c>
      <c r="H113" s="11">
        <v>4.5525057444699996E-3</v>
      </c>
      <c r="I113" s="1" t="s">
        <v>26</v>
      </c>
      <c r="J113" s="1" t="s">
        <v>26</v>
      </c>
      <c r="K113" s="10" t="s">
        <v>26</v>
      </c>
      <c r="L113" s="11" t="s">
        <v>26</v>
      </c>
      <c r="M113" s="11" t="s">
        <v>26</v>
      </c>
      <c r="N113" s="11" t="s">
        <v>26</v>
      </c>
      <c r="O113" s="10">
        <v>1938727567.04</v>
      </c>
      <c r="P113" s="11">
        <v>9.5983766591200004E-3</v>
      </c>
      <c r="Q113" s="1" t="s">
        <v>26</v>
      </c>
      <c r="R113" s="1" t="s">
        <v>26</v>
      </c>
      <c r="S113" s="10" t="s">
        <v>26</v>
      </c>
      <c r="T113" s="11" t="s">
        <v>26</v>
      </c>
      <c r="U113" s="1" t="s">
        <v>26</v>
      </c>
      <c r="V113" s="1" t="s">
        <v>26</v>
      </c>
      <c r="W113" s="10" t="s">
        <v>26</v>
      </c>
      <c r="X113" s="11" t="s">
        <v>26</v>
      </c>
      <c r="Y113" s="11" t="s">
        <v>26</v>
      </c>
      <c r="Z113" s="11" t="s">
        <v>26</v>
      </c>
      <c r="AA113" s="10" t="s">
        <v>26</v>
      </c>
      <c r="AB113" s="11" t="s">
        <v>26</v>
      </c>
      <c r="AC113" s="1" t="s">
        <v>26</v>
      </c>
      <c r="AD113" s="1" t="s">
        <v>26</v>
      </c>
      <c r="AE113" s="10">
        <v>2555973211.4200001</v>
      </c>
      <c r="AF113" s="11">
        <v>4.4307765216699997E-3</v>
      </c>
      <c r="AG113" s="1" t="s">
        <v>26</v>
      </c>
      <c r="AH113" s="1" t="s">
        <v>26</v>
      </c>
      <c r="AI113" s="10" t="s">
        <v>26</v>
      </c>
      <c r="AJ113" s="11" t="s">
        <v>26</v>
      </c>
      <c r="AK113" s="11" t="s">
        <v>26</v>
      </c>
      <c r="AL113" s="11" t="s">
        <v>26</v>
      </c>
      <c r="AM113" s="10" t="s">
        <v>26</v>
      </c>
      <c r="AN113" s="11" t="s">
        <v>26</v>
      </c>
      <c r="AO113" s="11" t="s">
        <v>26</v>
      </c>
      <c r="AP113" s="11" t="s">
        <v>26</v>
      </c>
      <c r="AQ113" s="10" t="s">
        <v>26</v>
      </c>
      <c r="AR113" s="11" t="s">
        <v>26</v>
      </c>
      <c r="AS113" s="11" t="s">
        <v>26</v>
      </c>
      <c r="AT113" s="11" t="s">
        <v>26</v>
      </c>
      <c r="AU113" s="10" t="s">
        <v>26</v>
      </c>
      <c r="AV113" s="11" t="s">
        <v>26</v>
      </c>
      <c r="AW113" s="11" t="s">
        <v>26</v>
      </c>
      <c r="AX113" s="11" t="s">
        <v>26</v>
      </c>
      <c r="AY113" s="10">
        <v>2555973211.4200001</v>
      </c>
      <c r="AZ113" s="11">
        <v>3.89393585488E-3</v>
      </c>
      <c r="BA113" s="1" t="s">
        <v>26</v>
      </c>
      <c r="BB113" s="1" t="s">
        <v>26</v>
      </c>
    </row>
    <row r="114" spans="1:54" s="7" customFormat="1">
      <c r="A114" s="32" t="s">
        <v>86</v>
      </c>
      <c r="B114" s="31" t="s">
        <v>46</v>
      </c>
      <c r="C114" s="2" t="s">
        <v>26</v>
      </c>
      <c r="D114" s="1" t="s">
        <v>26</v>
      </c>
      <c r="E114" s="1" t="s">
        <v>26</v>
      </c>
      <c r="F114" s="1" t="s">
        <v>26</v>
      </c>
      <c r="G114" s="2">
        <v>617245644.38</v>
      </c>
      <c r="H114" s="1">
        <v>1</v>
      </c>
      <c r="I114" s="1" t="s">
        <v>26</v>
      </c>
      <c r="J114" s="1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2">
        <v>1938727567.04</v>
      </c>
      <c r="P114" s="1">
        <v>1</v>
      </c>
      <c r="Q114" s="1" t="s">
        <v>26</v>
      </c>
      <c r="R114" s="1" t="s">
        <v>26</v>
      </c>
      <c r="S114" s="2" t="s">
        <v>26</v>
      </c>
      <c r="T114" s="1" t="s">
        <v>26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2">
        <v>2555973211.4200001</v>
      </c>
      <c r="AF114" s="1">
        <v>1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2">
        <v>2555973211.4200001</v>
      </c>
      <c r="AZ114" s="1">
        <v>1</v>
      </c>
      <c r="BA114" s="1" t="s">
        <v>26</v>
      </c>
      <c r="BB114" s="1" t="s">
        <v>26</v>
      </c>
    </row>
    <row r="115" spans="1:54" s="7" customFormat="1">
      <c r="A115" s="34" t="s">
        <v>93</v>
      </c>
      <c r="B115" s="24" t="s">
        <v>25</v>
      </c>
      <c r="C115" s="10" t="s">
        <v>26</v>
      </c>
      <c r="D115" s="11" t="s">
        <v>26</v>
      </c>
      <c r="E115" s="11" t="s">
        <v>26</v>
      </c>
      <c r="F115" s="11" t="s">
        <v>26</v>
      </c>
      <c r="G115" s="10">
        <v>1510478965.8299999</v>
      </c>
      <c r="H115" s="11">
        <v>1.1140563293490001E-2</v>
      </c>
      <c r="I115" s="1" t="s">
        <v>26</v>
      </c>
      <c r="J115" s="1" t="s">
        <v>26</v>
      </c>
      <c r="K115" s="10" t="s">
        <v>26</v>
      </c>
      <c r="L115" s="11" t="s">
        <v>26</v>
      </c>
      <c r="M115" s="11" t="s">
        <v>26</v>
      </c>
      <c r="N115" s="11" t="s">
        <v>26</v>
      </c>
      <c r="O115" s="10">
        <v>3598826671.48</v>
      </c>
      <c r="P115" s="11">
        <v>1.7817301673020002E-2</v>
      </c>
      <c r="Q115" s="1" t="s">
        <v>26</v>
      </c>
      <c r="R115" s="1" t="s">
        <v>26</v>
      </c>
      <c r="S115" s="10">
        <v>1007671468.02</v>
      </c>
      <c r="T115" s="11">
        <v>9.9286928875300003E-3</v>
      </c>
      <c r="U115" s="1" t="s">
        <v>26</v>
      </c>
      <c r="V115" s="1" t="s">
        <v>26</v>
      </c>
      <c r="W115" s="10" t="s">
        <v>26</v>
      </c>
      <c r="X115" s="11" t="s">
        <v>26</v>
      </c>
      <c r="Y115" s="11" t="s">
        <v>26</v>
      </c>
      <c r="Z115" s="11" t="s">
        <v>26</v>
      </c>
      <c r="AA115" s="10" t="s">
        <v>26</v>
      </c>
      <c r="AB115" s="11" t="s">
        <v>26</v>
      </c>
      <c r="AC115" s="1" t="s">
        <v>26</v>
      </c>
      <c r="AD115" s="1" t="s">
        <v>26</v>
      </c>
      <c r="AE115" s="10">
        <v>6116977105.3299999</v>
      </c>
      <c r="AF115" s="11">
        <v>1.0603772535950001E-2</v>
      </c>
      <c r="AG115" s="1" t="s">
        <v>26</v>
      </c>
      <c r="AH115" s="1" t="s">
        <v>26</v>
      </c>
      <c r="AI115" s="10" t="s">
        <v>26</v>
      </c>
      <c r="AJ115" s="11" t="s">
        <v>26</v>
      </c>
      <c r="AK115" s="11" t="s">
        <v>26</v>
      </c>
      <c r="AL115" s="11" t="s">
        <v>26</v>
      </c>
      <c r="AM115" s="10" t="s">
        <v>26</v>
      </c>
      <c r="AN115" s="11" t="s">
        <v>26</v>
      </c>
      <c r="AO115" s="11" t="s">
        <v>26</v>
      </c>
      <c r="AP115" s="11" t="s">
        <v>26</v>
      </c>
      <c r="AQ115" s="10" t="s">
        <v>26</v>
      </c>
      <c r="AR115" s="11" t="s">
        <v>26</v>
      </c>
      <c r="AS115" s="11" t="s">
        <v>26</v>
      </c>
      <c r="AT115" s="11" t="s">
        <v>26</v>
      </c>
      <c r="AU115" s="10">
        <v>1007671468.02</v>
      </c>
      <c r="AV115" s="11">
        <v>2.4778646771820002E-2</v>
      </c>
      <c r="AW115" s="11">
        <v>0.15</v>
      </c>
      <c r="AX115" s="11">
        <v>0.12522135322818001</v>
      </c>
      <c r="AY115" s="10">
        <v>7124648573.3500004</v>
      </c>
      <c r="AZ115" s="11">
        <v>1.0854153090970001E-2</v>
      </c>
      <c r="BA115" s="1" t="s">
        <v>26</v>
      </c>
      <c r="BB115" s="1" t="s">
        <v>26</v>
      </c>
    </row>
    <row r="116" spans="1:54" s="8" customFormat="1">
      <c r="A116" s="32" t="s">
        <v>86</v>
      </c>
      <c r="B116" s="31" t="s">
        <v>37</v>
      </c>
      <c r="C116" s="2" t="s">
        <v>26</v>
      </c>
      <c r="D116" s="1" t="s">
        <v>26</v>
      </c>
      <c r="E116" s="1" t="s">
        <v>26</v>
      </c>
      <c r="F116" s="1" t="s">
        <v>26</v>
      </c>
      <c r="G116" s="2">
        <v>1510478965.8299999</v>
      </c>
      <c r="H116" s="1">
        <v>1</v>
      </c>
      <c r="I116" s="1" t="s">
        <v>26</v>
      </c>
      <c r="J116" s="1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2">
        <v>3598826671.48</v>
      </c>
      <c r="P116" s="1">
        <v>1</v>
      </c>
      <c r="Q116" s="1" t="s">
        <v>26</v>
      </c>
      <c r="R116" s="1" t="s">
        <v>26</v>
      </c>
      <c r="S116" s="2">
        <v>1007671468.02</v>
      </c>
      <c r="T116" s="1">
        <v>1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2">
        <v>6116977105.3299999</v>
      </c>
      <c r="AF116" s="1">
        <v>1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>
        <v>1007671468.02</v>
      </c>
      <c r="AV116" s="1">
        <v>1</v>
      </c>
      <c r="AW116" s="1" t="s">
        <v>26</v>
      </c>
      <c r="AX116" s="1" t="s">
        <v>26</v>
      </c>
      <c r="AY116" s="2">
        <v>7124648573.3500004</v>
      </c>
      <c r="AZ116" s="1">
        <v>1</v>
      </c>
      <c r="BA116" s="1" t="s">
        <v>26</v>
      </c>
      <c r="BB116" s="1" t="s">
        <v>26</v>
      </c>
    </row>
    <row r="117" spans="1:54" s="8" customFormat="1">
      <c r="A117" s="34" t="s">
        <v>94</v>
      </c>
      <c r="B117" s="24" t="s">
        <v>25</v>
      </c>
      <c r="C117" s="10" t="s">
        <v>26</v>
      </c>
      <c r="D117" s="11" t="s">
        <v>26</v>
      </c>
      <c r="E117" s="11" t="s">
        <v>26</v>
      </c>
      <c r="F117" s="11" t="s">
        <v>26</v>
      </c>
      <c r="G117" s="10">
        <v>513146211</v>
      </c>
      <c r="H117" s="11">
        <v>3.7847186036900002E-3</v>
      </c>
      <c r="I117" s="1" t="s">
        <v>26</v>
      </c>
      <c r="J117" s="1" t="s">
        <v>26</v>
      </c>
      <c r="K117" s="10" t="s">
        <v>26</v>
      </c>
      <c r="L117" s="11" t="s">
        <v>26</v>
      </c>
      <c r="M117" s="11" t="s">
        <v>26</v>
      </c>
      <c r="N117" s="11" t="s">
        <v>26</v>
      </c>
      <c r="O117" s="10">
        <v>711518273.25</v>
      </c>
      <c r="P117" s="11">
        <v>3.5226302563600002E-3</v>
      </c>
      <c r="Q117" s="1" t="s">
        <v>26</v>
      </c>
      <c r="R117" s="1" t="s">
        <v>26</v>
      </c>
      <c r="S117" s="10">
        <v>237278807.97</v>
      </c>
      <c r="T117" s="11">
        <v>2.33793303455E-3</v>
      </c>
      <c r="U117" s="1" t="s">
        <v>26</v>
      </c>
      <c r="V117" s="1" t="s">
        <v>26</v>
      </c>
      <c r="W117" s="10" t="s">
        <v>26</v>
      </c>
      <c r="X117" s="11" t="s">
        <v>26</v>
      </c>
      <c r="Y117" s="11" t="s">
        <v>26</v>
      </c>
      <c r="Z117" s="11" t="s">
        <v>26</v>
      </c>
      <c r="AA117" s="10">
        <v>769719316.5</v>
      </c>
      <c r="AB117" s="11">
        <v>6.1969095132199999E-3</v>
      </c>
      <c r="AC117" s="1" t="s">
        <v>26</v>
      </c>
      <c r="AD117" s="1" t="s">
        <v>26</v>
      </c>
      <c r="AE117" s="10">
        <v>2231662608.7199998</v>
      </c>
      <c r="AF117" s="11">
        <v>3.8685844776600001E-3</v>
      </c>
      <c r="AG117" s="1" t="s">
        <v>26</v>
      </c>
      <c r="AH117" s="1" t="s">
        <v>26</v>
      </c>
      <c r="AI117" s="10" t="s">
        <v>26</v>
      </c>
      <c r="AJ117" s="11" t="s">
        <v>26</v>
      </c>
      <c r="AK117" s="11" t="s">
        <v>26</v>
      </c>
      <c r="AL117" s="11" t="s">
        <v>26</v>
      </c>
      <c r="AM117" s="10" t="s">
        <v>26</v>
      </c>
      <c r="AN117" s="11" t="s">
        <v>26</v>
      </c>
      <c r="AO117" s="11" t="s">
        <v>26</v>
      </c>
      <c r="AP117" s="11" t="s">
        <v>26</v>
      </c>
      <c r="AQ117" s="10" t="s">
        <v>26</v>
      </c>
      <c r="AR117" s="11" t="s">
        <v>26</v>
      </c>
      <c r="AS117" s="11" t="s">
        <v>26</v>
      </c>
      <c r="AT117" s="11" t="s">
        <v>26</v>
      </c>
      <c r="AU117" s="10" t="s">
        <v>26</v>
      </c>
      <c r="AV117" s="11" t="s">
        <v>26</v>
      </c>
      <c r="AW117" s="11" t="s">
        <v>26</v>
      </c>
      <c r="AX117" s="11" t="s">
        <v>26</v>
      </c>
      <c r="AY117" s="10">
        <v>2231662608.7199998</v>
      </c>
      <c r="AZ117" s="11">
        <v>3.3998599865E-3</v>
      </c>
      <c r="BA117" s="1" t="s">
        <v>26</v>
      </c>
      <c r="BB117" s="1" t="s">
        <v>26</v>
      </c>
    </row>
    <row r="118" spans="1:54">
      <c r="A118" s="32" t="s">
        <v>86</v>
      </c>
      <c r="B118" s="31" t="s">
        <v>46</v>
      </c>
      <c r="C118" s="2" t="s">
        <v>26</v>
      </c>
      <c r="D118" s="1" t="s">
        <v>26</v>
      </c>
      <c r="E118" s="1" t="s">
        <v>26</v>
      </c>
      <c r="F118" s="1" t="s">
        <v>26</v>
      </c>
      <c r="G118" s="2">
        <v>513146211</v>
      </c>
      <c r="H118" s="1">
        <v>1</v>
      </c>
      <c r="I118" s="1" t="s">
        <v>26</v>
      </c>
      <c r="J118" s="1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2">
        <v>711518273.25</v>
      </c>
      <c r="P118" s="1">
        <v>1</v>
      </c>
      <c r="Q118" s="1" t="s">
        <v>26</v>
      </c>
      <c r="R118" s="1" t="s">
        <v>26</v>
      </c>
      <c r="S118" s="2">
        <v>237278807.97</v>
      </c>
      <c r="T118" s="1">
        <v>1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>
        <v>769719316.5</v>
      </c>
      <c r="AB118" s="1">
        <v>1</v>
      </c>
      <c r="AC118" s="1" t="s">
        <v>26</v>
      </c>
      <c r="AD118" s="1" t="s">
        <v>26</v>
      </c>
      <c r="AE118" s="2">
        <v>2231662608.7199998</v>
      </c>
      <c r="AF118" s="1">
        <v>1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2" t="s">
        <v>26</v>
      </c>
      <c r="AV118" s="1" t="s">
        <v>26</v>
      </c>
      <c r="AW118" s="1" t="s">
        <v>26</v>
      </c>
      <c r="AX118" s="1" t="s">
        <v>26</v>
      </c>
      <c r="AY118" s="35">
        <v>2231662608.7199998</v>
      </c>
      <c r="AZ118" s="1">
        <v>1</v>
      </c>
      <c r="BA118" s="1" t="s">
        <v>26</v>
      </c>
      <c r="BB118" s="1" t="s">
        <v>26</v>
      </c>
    </row>
    <row r="119" spans="1:54" s="7" customFormat="1">
      <c r="A119" s="34" t="s">
        <v>95</v>
      </c>
      <c r="B119" s="24" t="s">
        <v>25</v>
      </c>
      <c r="C119" s="10" t="s">
        <v>26</v>
      </c>
      <c r="D119" s="11" t="s">
        <v>26</v>
      </c>
      <c r="E119" s="11" t="s">
        <v>26</v>
      </c>
      <c r="F119" s="11" t="s">
        <v>26</v>
      </c>
      <c r="G119" s="10" t="s">
        <v>26</v>
      </c>
      <c r="H119" s="11" t="s">
        <v>26</v>
      </c>
      <c r="I119" s="11" t="s">
        <v>26</v>
      </c>
      <c r="J119" s="11" t="s">
        <v>26</v>
      </c>
      <c r="K119" s="10" t="s">
        <v>26</v>
      </c>
      <c r="L119" s="11" t="s">
        <v>26</v>
      </c>
      <c r="M119" s="11" t="s">
        <v>26</v>
      </c>
      <c r="N119" s="11" t="s">
        <v>26</v>
      </c>
      <c r="O119" s="10">
        <v>241069726.84</v>
      </c>
      <c r="P119" s="11">
        <v>1.19350344972E-3</v>
      </c>
      <c r="Q119" s="1" t="s">
        <v>26</v>
      </c>
      <c r="R119" s="1" t="s">
        <v>26</v>
      </c>
      <c r="S119" s="10" t="s">
        <v>26</v>
      </c>
      <c r="T119" s="11" t="s">
        <v>26</v>
      </c>
      <c r="U119" s="11" t="s">
        <v>26</v>
      </c>
      <c r="V119" s="11" t="s">
        <v>26</v>
      </c>
      <c r="W119" s="10" t="s">
        <v>26</v>
      </c>
      <c r="X119" s="11" t="s">
        <v>26</v>
      </c>
      <c r="Y119" s="11" t="s">
        <v>26</v>
      </c>
      <c r="Z119" s="11" t="s">
        <v>26</v>
      </c>
      <c r="AA119" s="10" t="s">
        <v>26</v>
      </c>
      <c r="AB119" s="11" t="s">
        <v>26</v>
      </c>
      <c r="AC119" s="1" t="s">
        <v>26</v>
      </c>
      <c r="AD119" s="1" t="s">
        <v>26</v>
      </c>
      <c r="AE119" s="10">
        <v>241069726.84</v>
      </c>
      <c r="AF119" s="11">
        <v>4.1789408473000001E-4</v>
      </c>
      <c r="AG119" s="1" t="s">
        <v>26</v>
      </c>
      <c r="AH119" s="1" t="s">
        <v>26</v>
      </c>
      <c r="AI119" s="10" t="s">
        <v>26</v>
      </c>
      <c r="AJ119" s="11" t="s">
        <v>26</v>
      </c>
      <c r="AK119" s="11" t="s">
        <v>26</v>
      </c>
      <c r="AL119" s="11" t="s">
        <v>26</v>
      </c>
      <c r="AM119" s="10" t="s">
        <v>26</v>
      </c>
      <c r="AN119" s="11" t="s">
        <v>26</v>
      </c>
      <c r="AO119" s="11" t="s">
        <v>26</v>
      </c>
      <c r="AP119" s="11" t="s">
        <v>26</v>
      </c>
      <c r="AQ119" s="10" t="s">
        <v>26</v>
      </c>
      <c r="AR119" s="11" t="s">
        <v>26</v>
      </c>
      <c r="AS119" s="11" t="s">
        <v>26</v>
      </c>
      <c r="AT119" s="11" t="s">
        <v>26</v>
      </c>
      <c r="AU119" s="10" t="s">
        <v>26</v>
      </c>
      <c r="AV119" s="11" t="s">
        <v>26</v>
      </c>
      <c r="AW119" s="11" t="s">
        <v>26</v>
      </c>
      <c r="AX119" s="11" t="s">
        <v>26</v>
      </c>
      <c r="AY119" s="10">
        <v>241069726.84</v>
      </c>
      <c r="AZ119" s="11">
        <v>3.6726130332E-4</v>
      </c>
      <c r="BA119" s="1" t="s">
        <v>26</v>
      </c>
      <c r="BB119" s="1" t="s">
        <v>26</v>
      </c>
    </row>
    <row r="120" spans="1:54" s="7" customFormat="1">
      <c r="A120" s="32" t="s">
        <v>86</v>
      </c>
      <c r="B120" s="31" t="s">
        <v>56</v>
      </c>
      <c r="C120" s="2" t="s">
        <v>26</v>
      </c>
      <c r="D120" s="1" t="s">
        <v>26</v>
      </c>
      <c r="E120" s="1" t="s">
        <v>26</v>
      </c>
      <c r="F120" s="1" t="s">
        <v>26</v>
      </c>
      <c r="G120" s="2" t="s">
        <v>26</v>
      </c>
      <c r="H120" s="1" t="s">
        <v>26</v>
      </c>
      <c r="I120" s="1" t="s">
        <v>26</v>
      </c>
      <c r="J120" s="1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2">
        <v>241069726.84</v>
      </c>
      <c r="P120" s="1">
        <v>1</v>
      </c>
      <c r="Q120" s="1" t="s">
        <v>26</v>
      </c>
      <c r="R120" s="1" t="s">
        <v>26</v>
      </c>
      <c r="S120" s="2" t="s">
        <v>26</v>
      </c>
      <c r="T120" s="1" t="s">
        <v>26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2" t="s">
        <v>26</v>
      </c>
      <c r="AB120" s="1" t="s">
        <v>26</v>
      </c>
      <c r="AC120" s="1" t="s">
        <v>26</v>
      </c>
      <c r="AD120" s="1" t="s">
        <v>26</v>
      </c>
      <c r="AE120" s="2">
        <v>241069726.84</v>
      </c>
      <c r="AF120" s="1">
        <v>1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2">
        <v>241069726.84</v>
      </c>
      <c r="AZ120" s="1">
        <v>1</v>
      </c>
      <c r="BA120" s="1" t="s">
        <v>26</v>
      </c>
      <c r="BB120" s="1" t="s">
        <v>26</v>
      </c>
    </row>
    <row r="121" spans="1:54" s="7" customFormat="1">
      <c r="A121" s="34" t="s">
        <v>97</v>
      </c>
      <c r="B121" s="24" t="s">
        <v>25</v>
      </c>
      <c r="C121" s="10" t="s">
        <v>26</v>
      </c>
      <c r="D121" s="11" t="s">
        <v>26</v>
      </c>
      <c r="E121" s="11" t="s">
        <v>26</v>
      </c>
      <c r="F121" s="11" t="s">
        <v>26</v>
      </c>
      <c r="G121" s="10" t="s">
        <v>26</v>
      </c>
      <c r="H121" s="11" t="s">
        <v>26</v>
      </c>
      <c r="I121" s="11" t="s">
        <v>26</v>
      </c>
      <c r="J121" s="11" t="s">
        <v>26</v>
      </c>
      <c r="K121" s="10" t="s">
        <v>26</v>
      </c>
      <c r="L121" s="11" t="s">
        <v>26</v>
      </c>
      <c r="M121" s="11" t="s">
        <v>26</v>
      </c>
      <c r="N121" s="11" t="s">
        <v>26</v>
      </c>
      <c r="O121" s="10">
        <v>1736924127.3800001</v>
      </c>
      <c r="P121" s="11">
        <v>8.5992752598900001E-3</v>
      </c>
      <c r="Q121" s="1" t="s">
        <v>26</v>
      </c>
      <c r="R121" s="1" t="s">
        <v>26</v>
      </c>
      <c r="S121" s="10" t="s">
        <v>26</v>
      </c>
      <c r="T121" s="11" t="s">
        <v>26</v>
      </c>
      <c r="U121" s="11" t="s">
        <v>26</v>
      </c>
      <c r="V121" s="11" t="s">
        <v>26</v>
      </c>
      <c r="W121" s="10" t="s">
        <v>26</v>
      </c>
      <c r="X121" s="11" t="s">
        <v>26</v>
      </c>
      <c r="Y121" s="11" t="s">
        <v>26</v>
      </c>
      <c r="Z121" s="11" t="s">
        <v>26</v>
      </c>
      <c r="AA121" s="10" t="s">
        <v>26</v>
      </c>
      <c r="AB121" s="11" t="s">
        <v>26</v>
      </c>
      <c r="AC121" s="1" t="s">
        <v>26</v>
      </c>
      <c r="AD121" s="1" t="s">
        <v>26</v>
      </c>
      <c r="AE121" s="10">
        <v>1736924127.3800001</v>
      </c>
      <c r="AF121" s="11">
        <v>3.01095590874E-3</v>
      </c>
      <c r="AG121" s="1" t="s">
        <v>26</v>
      </c>
      <c r="AH121" s="1" t="s">
        <v>26</v>
      </c>
      <c r="AI121" s="10" t="s">
        <v>26</v>
      </c>
      <c r="AJ121" s="11" t="s">
        <v>26</v>
      </c>
      <c r="AK121" s="11" t="s">
        <v>26</v>
      </c>
      <c r="AL121" s="11" t="s">
        <v>26</v>
      </c>
      <c r="AM121" s="10" t="s">
        <v>26</v>
      </c>
      <c r="AN121" s="11" t="s">
        <v>26</v>
      </c>
      <c r="AO121" s="11" t="s">
        <v>26</v>
      </c>
      <c r="AP121" s="11" t="s">
        <v>26</v>
      </c>
      <c r="AQ121" s="10" t="s">
        <v>26</v>
      </c>
      <c r="AR121" s="11" t="s">
        <v>26</v>
      </c>
      <c r="AS121" s="11" t="s">
        <v>26</v>
      </c>
      <c r="AT121" s="11" t="s">
        <v>26</v>
      </c>
      <c r="AU121" s="10" t="s">
        <v>26</v>
      </c>
      <c r="AV121" s="11" t="s">
        <v>26</v>
      </c>
      <c r="AW121" s="11" t="s">
        <v>26</v>
      </c>
      <c r="AX121" s="11" t="s">
        <v>26</v>
      </c>
      <c r="AY121" s="10">
        <v>1736924127.3800001</v>
      </c>
      <c r="AZ121" s="11">
        <v>2.6461432015699999E-3</v>
      </c>
      <c r="BA121" s="1" t="s">
        <v>26</v>
      </c>
      <c r="BB121" s="1" t="s">
        <v>26</v>
      </c>
    </row>
    <row r="122" spans="1:54">
      <c r="A122" s="32" t="s">
        <v>86</v>
      </c>
      <c r="B122" s="31" t="s">
        <v>46</v>
      </c>
      <c r="C122" s="2" t="s">
        <v>26</v>
      </c>
      <c r="D122" s="1" t="s">
        <v>26</v>
      </c>
      <c r="E122" s="1" t="s">
        <v>26</v>
      </c>
      <c r="F122" s="1" t="s">
        <v>26</v>
      </c>
      <c r="G122" s="2" t="s">
        <v>26</v>
      </c>
      <c r="H122" s="1" t="s">
        <v>26</v>
      </c>
      <c r="I122" s="1" t="s">
        <v>26</v>
      </c>
      <c r="J122" s="1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2">
        <v>1736924127.3800001</v>
      </c>
      <c r="P122" s="1">
        <v>1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2">
        <v>1736924127.3800001</v>
      </c>
      <c r="AF122" s="1">
        <v>1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2">
        <v>1736924127.3800001</v>
      </c>
      <c r="AZ122" s="1">
        <v>1</v>
      </c>
      <c r="BA122" s="1" t="s">
        <v>26</v>
      </c>
      <c r="BB122" s="1" t="s">
        <v>26</v>
      </c>
    </row>
    <row r="123" spans="1:54" s="7" customFormat="1">
      <c r="A123" s="34" t="s">
        <v>98</v>
      </c>
      <c r="B123" s="24" t="s">
        <v>25</v>
      </c>
      <c r="C123" s="10" t="s">
        <v>26</v>
      </c>
      <c r="D123" s="11" t="s">
        <v>26</v>
      </c>
      <c r="E123" s="11" t="s">
        <v>26</v>
      </c>
      <c r="F123" s="11" t="s">
        <v>26</v>
      </c>
      <c r="G123" s="10" t="s">
        <v>26</v>
      </c>
      <c r="H123" s="11" t="s">
        <v>26</v>
      </c>
      <c r="I123" s="11" t="s">
        <v>26</v>
      </c>
      <c r="J123" s="11" t="s">
        <v>26</v>
      </c>
      <c r="K123" s="10" t="s">
        <v>26</v>
      </c>
      <c r="L123" s="11" t="s">
        <v>26</v>
      </c>
      <c r="M123" s="11" t="s">
        <v>26</v>
      </c>
      <c r="N123" s="11" t="s">
        <v>26</v>
      </c>
      <c r="O123" s="10">
        <v>576101670</v>
      </c>
      <c r="P123" s="11">
        <v>2.8522010604400002E-3</v>
      </c>
      <c r="Q123" s="1" t="s">
        <v>26</v>
      </c>
      <c r="R123" s="1" t="s">
        <v>26</v>
      </c>
      <c r="S123" s="10" t="s">
        <v>26</v>
      </c>
      <c r="T123" s="11" t="s">
        <v>26</v>
      </c>
      <c r="U123" s="11" t="s">
        <v>26</v>
      </c>
      <c r="V123" s="11" t="s">
        <v>26</v>
      </c>
      <c r="W123" s="10" t="s">
        <v>26</v>
      </c>
      <c r="X123" s="11" t="s">
        <v>26</v>
      </c>
      <c r="Y123" s="11" t="s">
        <v>26</v>
      </c>
      <c r="Z123" s="11" t="s">
        <v>26</v>
      </c>
      <c r="AA123" s="10" t="s">
        <v>26</v>
      </c>
      <c r="AB123" s="11" t="s">
        <v>26</v>
      </c>
      <c r="AC123" s="1" t="s">
        <v>26</v>
      </c>
      <c r="AD123" s="1" t="s">
        <v>26</v>
      </c>
      <c r="AE123" s="10">
        <v>576101670</v>
      </c>
      <c r="AF123" s="11">
        <v>9.9867155967000003E-4</v>
      </c>
      <c r="AG123" s="1" t="s">
        <v>26</v>
      </c>
      <c r="AH123" s="1" t="s">
        <v>26</v>
      </c>
      <c r="AI123" s="10" t="s">
        <v>26</v>
      </c>
      <c r="AJ123" s="11" t="s">
        <v>26</v>
      </c>
      <c r="AK123" s="11" t="s">
        <v>26</v>
      </c>
      <c r="AL123" s="11" t="s">
        <v>26</v>
      </c>
      <c r="AM123" s="10" t="s">
        <v>26</v>
      </c>
      <c r="AN123" s="11" t="s">
        <v>26</v>
      </c>
      <c r="AO123" s="11" t="s">
        <v>26</v>
      </c>
      <c r="AP123" s="11" t="s">
        <v>26</v>
      </c>
      <c r="AQ123" s="10" t="s">
        <v>26</v>
      </c>
      <c r="AR123" s="11" t="s">
        <v>26</v>
      </c>
      <c r="AS123" s="11" t="s">
        <v>26</v>
      </c>
      <c r="AT123" s="11" t="s">
        <v>26</v>
      </c>
      <c r="AU123" s="10" t="s">
        <v>26</v>
      </c>
      <c r="AV123" s="11" t="s">
        <v>26</v>
      </c>
      <c r="AW123" s="11" t="s">
        <v>26</v>
      </c>
      <c r="AX123" s="11" t="s">
        <v>26</v>
      </c>
      <c r="AY123" s="10">
        <v>576101670</v>
      </c>
      <c r="AZ123" s="11">
        <v>8.7767075916000005E-4</v>
      </c>
      <c r="BA123" s="1" t="s">
        <v>26</v>
      </c>
      <c r="BB123" s="1" t="s">
        <v>26</v>
      </c>
    </row>
    <row r="124" spans="1:54">
      <c r="A124" s="32" t="s">
        <v>86</v>
      </c>
      <c r="B124" s="36" t="s">
        <v>99</v>
      </c>
      <c r="C124" s="2" t="s">
        <v>26</v>
      </c>
      <c r="D124" s="1" t="s">
        <v>26</v>
      </c>
      <c r="E124" s="1" t="s">
        <v>26</v>
      </c>
      <c r="F124" s="1" t="s">
        <v>26</v>
      </c>
      <c r="G124" s="2" t="s">
        <v>26</v>
      </c>
      <c r="H124" s="1" t="s">
        <v>26</v>
      </c>
      <c r="I124" s="1" t="s">
        <v>26</v>
      </c>
      <c r="J124" s="1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2">
        <v>576101670</v>
      </c>
      <c r="P124" s="1">
        <v>1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2">
        <v>576101670</v>
      </c>
      <c r="AF124" s="1">
        <v>1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2">
        <v>576101670</v>
      </c>
      <c r="AZ124" s="1">
        <v>1</v>
      </c>
      <c r="BA124" s="1" t="s">
        <v>26</v>
      </c>
      <c r="BB124" s="1" t="s">
        <v>26</v>
      </c>
    </row>
    <row r="125" spans="1:54">
      <c r="A125" s="33" t="s">
        <v>100</v>
      </c>
      <c r="B125" s="25" t="s">
        <v>25</v>
      </c>
      <c r="C125" s="55">
        <v>5313994311.2600002</v>
      </c>
      <c r="D125" s="56">
        <v>0.99850000000000005</v>
      </c>
      <c r="E125" s="56" t="s">
        <v>26</v>
      </c>
      <c r="F125" s="56" t="s">
        <v>26</v>
      </c>
      <c r="G125" s="55">
        <v>135573228221.14</v>
      </c>
      <c r="H125" s="56">
        <v>0.99990000000000001</v>
      </c>
      <c r="I125" s="56" t="s">
        <v>26</v>
      </c>
      <c r="J125" s="56" t="s">
        <v>26</v>
      </c>
      <c r="K125" s="55">
        <v>2533621051.73</v>
      </c>
      <c r="L125" s="56">
        <v>0.999</v>
      </c>
      <c r="M125" s="56" t="s">
        <v>26</v>
      </c>
      <c r="N125" s="56" t="s">
        <v>26</v>
      </c>
      <c r="O125" s="55">
        <v>201939703326.23001</v>
      </c>
      <c r="P125" s="56">
        <v>0.99980000000000002</v>
      </c>
      <c r="Q125" s="56" t="s">
        <v>26</v>
      </c>
      <c r="R125" s="56" t="s">
        <v>26</v>
      </c>
      <c r="S125" s="55">
        <v>101436160578.8</v>
      </c>
      <c r="T125" s="56">
        <v>0.99950000000000006</v>
      </c>
      <c r="U125" s="56" t="s">
        <v>26</v>
      </c>
      <c r="V125" s="56" t="s">
        <v>26</v>
      </c>
      <c r="W125" s="55">
        <v>5728464462.71</v>
      </c>
      <c r="X125" s="56">
        <v>0.99790000000000001</v>
      </c>
      <c r="Y125" s="56" t="s">
        <v>26</v>
      </c>
      <c r="Z125" s="56" t="s">
        <v>26</v>
      </c>
      <c r="AA125" s="55">
        <v>124163817431.12</v>
      </c>
      <c r="AB125" s="56">
        <v>0.99960000000000004</v>
      </c>
      <c r="AC125" s="56" t="s">
        <v>26</v>
      </c>
      <c r="AD125" s="56" t="s">
        <v>26</v>
      </c>
      <c r="AE125" s="55">
        <v>576688989382.98999</v>
      </c>
      <c r="AF125" s="56">
        <v>0.99970000000000003</v>
      </c>
      <c r="AG125" s="56" t="s">
        <v>26</v>
      </c>
      <c r="AH125" s="56" t="s">
        <v>26</v>
      </c>
      <c r="AI125" s="55">
        <v>15839979780.870001</v>
      </c>
      <c r="AJ125" s="56">
        <v>0.99929999999999997</v>
      </c>
      <c r="AK125" s="56" t="s">
        <v>26</v>
      </c>
      <c r="AL125" s="56" t="s">
        <v>26</v>
      </c>
      <c r="AM125" s="55">
        <v>23011796496.580002</v>
      </c>
      <c r="AN125" s="56">
        <v>0.99990000000000001</v>
      </c>
      <c r="AO125" s="56" t="s">
        <v>26</v>
      </c>
      <c r="AP125" s="56" t="s">
        <v>26</v>
      </c>
      <c r="AQ125" s="55">
        <v>38851776277.449997</v>
      </c>
      <c r="AR125" s="56">
        <v>0.99970000000000003</v>
      </c>
      <c r="AS125" s="56" t="s">
        <v>26</v>
      </c>
      <c r="AT125" s="56" t="s">
        <v>26</v>
      </c>
      <c r="AU125" s="55">
        <v>40660447679.779999</v>
      </c>
      <c r="AV125" s="56">
        <v>0.99980000000000002</v>
      </c>
      <c r="AW125" s="56" t="s">
        <v>26</v>
      </c>
      <c r="AX125" s="56" t="s">
        <v>26</v>
      </c>
      <c r="AY125" s="55">
        <v>656201213340.21997</v>
      </c>
      <c r="AZ125" s="56">
        <v>0.99970000000000003</v>
      </c>
      <c r="BA125" s="56" t="s">
        <v>26</v>
      </c>
      <c r="BB125" s="56" t="s">
        <v>26</v>
      </c>
    </row>
    <row r="126" spans="1:54" s="7" customFormat="1">
      <c r="A126" s="34" t="s">
        <v>101</v>
      </c>
      <c r="B126" s="24" t="s">
        <v>25</v>
      </c>
      <c r="C126" s="10">
        <v>7717883.4900000002</v>
      </c>
      <c r="D126" s="11">
        <v>1.5E-3</v>
      </c>
      <c r="E126" s="11" t="s">
        <v>26</v>
      </c>
      <c r="F126" s="11" t="s">
        <v>26</v>
      </c>
      <c r="G126" s="10">
        <v>10487434.65</v>
      </c>
      <c r="H126" s="11">
        <v>1E-4</v>
      </c>
      <c r="I126" s="11" t="s">
        <v>26</v>
      </c>
      <c r="J126" s="11" t="s">
        <v>26</v>
      </c>
      <c r="K126" s="10">
        <v>2633866.4700000002</v>
      </c>
      <c r="L126" s="11">
        <v>1E-3</v>
      </c>
      <c r="M126" s="11" t="s">
        <v>26</v>
      </c>
      <c r="N126" s="11" t="s">
        <v>26</v>
      </c>
      <c r="O126" s="10">
        <v>45240158.770000003</v>
      </c>
      <c r="P126" s="11">
        <v>2.0000000000000001E-4</v>
      </c>
      <c r="Q126" s="11" t="s">
        <v>26</v>
      </c>
      <c r="R126" s="11" t="s">
        <v>26</v>
      </c>
      <c r="S126" s="10">
        <v>54688159.789999999</v>
      </c>
      <c r="T126" s="11">
        <v>5.0000000000000001E-4</v>
      </c>
      <c r="U126" s="11" t="s">
        <v>26</v>
      </c>
      <c r="V126" s="11" t="s">
        <v>26</v>
      </c>
      <c r="W126" s="10">
        <v>11873902.34</v>
      </c>
      <c r="X126" s="11">
        <v>2.0999999999999999E-3</v>
      </c>
      <c r="Y126" s="11" t="s">
        <v>26</v>
      </c>
      <c r="Z126" s="11" t="s">
        <v>26</v>
      </c>
      <c r="AA126" s="10">
        <v>46373932.439999998</v>
      </c>
      <c r="AB126" s="11">
        <v>4.0000000000000002E-4</v>
      </c>
      <c r="AC126" s="11" t="s">
        <v>26</v>
      </c>
      <c r="AD126" s="11" t="s">
        <v>26</v>
      </c>
      <c r="AE126" s="10">
        <v>179015337.94999999</v>
      </c>
      <c r="AF126" s="11">
        <v>2.9999999999999997E-4</v>
      </c>
      <c r="AG126" s="11" t="s">
        <v>26</v>
      </c>
      <c r="AH126" s="11" t="s">
        <v>26</v>
      </c>
      <c r="AI126" s="10">
        <v>10501284.99</v>
      </c>
      <c r="AJ126" s="11">
        <v>6.9999999999999999E-4</v>
      </c>
      <c r="AK126" s="11" t="s">
        <v>26</v>
      </c>
      <c r="AL126" s="11" t="s">
        <v>26</v>
      </c>
      <c r="AM126" s="10">
        <v>1175035.92</v>
      </c>
      <c r="AN126" s="11">
        <v>1E-4</v>
      </c>
      <c r="AO126" s="11" t="s">
        <v>26</v>
      </c>
      <c r="AP126" s="11" t="s">
        <v>26</v>
      </c>
      <c r="AQ126" s="10">
        <v>11676320.91</v>
      </c>
      <c r="AR126" s="11">
        <v>2.9999999999999997E-4</v>
      </c>
      <c r="AS126" s="11" t="s">
        <v>26</v>
      </c>
      <c r="AT126" s="11" t="s">
        <v>26</v>
      </c>
      <c r="AU126" s="10">
        <v>6481281.25</v>
      </c>
      <c r="AV126" s="11">
        <v>2.0000000000000001E-4</v>
      </c>
      <c r="AW126" s="11" t="s">
        <v>26</v>
      </c>
      <c r="AX126" s="11" t="s">
        <v>26</v>
      </c>
      <c r="AY126" s="10">
        <v>197172940.11000001</v>
      </c>
      <c r="AZ126" s="11">
        <v>2.9999999999999997E-4</v>
      </c>
      <c r="BA126" s="11" t="s">
        <v>26</v>
      </c>
      <c r="BB126" s="11" t="s">
        <v>26</v>
      </c>
    </row>
    <row r="127" spans="1:54">
      <c r="A127" s="33" t="s">
        <v>102</v>
      </c>
      <c r="B127" s="25" t="s">
        <v>25</v>
      </c>
      <c r="C127" s="55">
        <v>5321712194.75</v>
      </c>
      <c r="D127" s="56">
        <v>1</v>
      </c>
      <c r="E127" s="56" t="s">
        <v>26</v>
      </c>
      <c r="F127" s="56" t="s">
        <v>26</v>
      </c>
      <c r="G127" s="55">
        <v>135583715655.78999</v>
      </c>
      <c r="H127" s="56">
        <v>1</v>
      </c>
      <c r="I127" s="56" t="s">
        <v>26</v>
      </c>
      <c r="J127" s="56" t="s">
        <v>26</v>
      </c>
      <c r="K127" s="55">
        <v>2536254918.1999998</v>
      </c>
      <c r="L127" s="56">
        <v>1</v>
      </c>
      <c r="M127" s="56" t="s">
        <v>26</v>
      </c>
      <c r="N127" s="56" t="s">
        <v>26</v>
      </c>
      <c r="O127" s="55">
        <v>201984943485</v>
      </c>
      <c r="P127" s="56">
        <v>1</v>
      </c>
      <c r="Q127" s="56" t="s">
        <v>26</v>
      </c>
      <c r="R127" s="56" t="s">
        <v>26</v>
      </c>
      <c r="S127" s="55">
        <v>101490848738.59</v>
      </c>
      <c r="T127" s="56">
        <v>1</v>
      </c>
      <c r="U127" s="56" t="s">
        <v>26</v>
      </c>
      <c r="V127" s="56" t="s">
        <v>26</v>
      </c>
      <c r="W127" s="55">
        <v>5740338365.0500002</v>
      </c>
      <c r="X127" s="56">
        <v>1</v>
      </c>
      <c r="Y127" s="56" t="s">
        <v>26</v>
      </c>
      <c r="Z127" s="56" t="s">
        <v>26</v>
      </c>
      <c r="AA127" s="55">
        <v>124210191363.56</v>
      </c>
      <c r="AB127" s="56">
        <v>1</v>
      </c>
      <c r="AC127" s="56" t="s">
        <v>26</v>
      </c>
      <c r="AD127" s="56" t="s">
        <v>26</v>
      </c>
      <c r="AE127" s="55">
        <v>576868004720.93994</v>
      </c>
      <c r="AF127" s="56">
        <v>1</v>
      </c>
      <c r="AG127" s="56" t="s">
        <v>26</v>
      </c>
      <c r="AH127" s="56" t="s">
        <v>26</v>
      </c>
      <c r="AI127" s="55">
        <v>15850481065.860001</v>
      </c>
      <c r="AJ127" s="56">
        <v>1</v>
      </c>
      <c r="AK127" s="56" t="s">
        <v>26</v>
      </c>
      <c r="AL127" s="56" t="s">
        <v>26</v>
      </c>
      <c r="AM127" s="55">
        <v>23012971532.5</v>
      </c>
      <c r="AN127" s="56">
        <v>1</v>
      </c>
      <c r="AO127" s="56" t="s">
        <v>26</v>
      </c>
      <c r="AP127" s="56" t="s">
        <v>26</v>
      </c>
      <c r="AQ127" s="55">
        <v>38863452598.360001</v>
      </c>
      <c r="AR127" s="56">
        <v>1</v>
      </c>
      <c r="AS127" s="56" t="s">
        <v>26</v>
      </c>
      <c r="AT127" s="56" t="s">
        <v>26</v>
      </c>
      <c r="AU127" s="55">
        <v>40666928961.029999</v>
      </c>
      <c r="AV127" s="56">
        <v>1</v>
      </c>
      <c r="AW127" s="56" t="s">
        <v>26</v>
      </c>
      <c r="AX127" s="56" t="s">
        <v>26</v>
      </c>
      <c r="AY127" s="55">
        <v>656398386280.32996</v>
      </c>
      <c r="AZ127" s="56">
        <v>1</v>
      </c>
      <c r="BA127" s="56" t="s">
        <v>26</v>
      </c>
      <c r="BB127" s="56" t="s">
        <v>26</v>
      </c>
    </row>
    <row r="129" spans="1:1">
      <c r="A129" s="18" t="s">
        <v>103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30"/>
  <sheetViews>
    <sheetView zoomScaleNormal="100" workbookViewId="0">
      <pane xSplit="2" ySplit="7" topLeftCell="C107" activePane="bottomRight" state="frozen"/>
      <selection pane="bottomRight" activeCell="A130" sqref="A130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.28515625" style="9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0.28515625" style="9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42578125" style="9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109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2089133350.4300001</v>
      </c>
      <c r="D8" s="56">
        <v>0.38629508708107002</v>
      </c>
      <c r="E8" s="56" t="s">
        <v>26</v>
      </c>
      <c r="F8" s="56" t="s">
        <v>26</v>
      </c>
      <c r="G8" s="55">
        <v>62406544888.639999</v>
      </c>
      <c r="H8" s="56">
        <v>0.45418823225298999</v>
      </c>
      <c r="I8" s="56" t="s">
        <v>26</v>
      </c>
      <c r="J8" s="56" t="s">
        <v>26</v>
      </c>
      <c r="K8" s="55">
        <v>847614003.92999995</v>
      </c>
      <c r="L8" s="56">
        <v>0.32561821517715001</v>
      </c>
      <c r="M8" s="56" t="s">
        <v>26</v>
      </c>
      <c r="N8" s="56" t="s">
        <v>26</v>
      </c>
      <c r="O8" s="55">
        <v>63993559387.550003</v>
      </c>
      <c r="P8" s="56">
        <v>0.31267869540269</v>
      </c>
      <c r="Q8" s="56" t="s">
        <v>26</v>
      </c>
      <c r="R8" s="56" t="s">
        <v>26</v>
      </c>
      <c r="S8" s="55">
        <v>37846237855.790001</v>
      </c>
      <c r="T8" s="56">
        <v>0.36809255778696998</v>
      </c>
      <c r="U8" s="56" t="s">
        <v>26</v>
      </c>
      <c r="V8" s="56" t="s">
        <v>26</v>
      </c>
      <c r="W8" s="55">
        <v>1611601819.3099999</v>
      </c>
      <c r="X8" s="56">
        <v>0.27747193979022999</v>
      </c>
      <c r="Y8" s="56" t="s">
        <v>26</v>
      </c>
      <c r="Z8" s="56" t="s">
        <v>26</v>
      </c>
      <c r="AA8" s="55">
        <v>50458907766.330002</v>
      </c>
      <c r="AB8" s="56">
        <v>0.40042575380371997</v>
      </c>
      <c r="AC8" s="56" t="s">
        <v>26</v>
      </c>
      <c r="AD8" s="56" t="s">
        <v>26</v>
      </c>
      <c r="AE8" s="55">
        <v>219253599071.98001</v>
      </c>
      <c r="AF8" s="56">
        <v>0.37497551489378</v>
      </c>
      <c r="AG8" s="56" t="s">
        <v>26</v>
      </c>
      <c r="AH8" s="56" t="s">
        <v>26</v>
      </c>
      <c r="AI8" s="55">
        <v>6159430453.7299995</v>
      </c>
      <c r="AJ8" s="56">
        <v>0.38559029538824002</v>
      </c>
      <c r="AK8" s="56" t="s">
        <v>26</v>
      </c>
      <c r="AL8" s="56" t="s">
        <v>26</v>
      </c>
      <c r="AM8" s="55">
        <v>5122582489.1700001</v>
      </c>
      <c r="AN8" s="56">
        <v>0.2217660711858</v>
      </c>
      <c r="AO8" s="56" t="s">
        <v>26</v>
      </c>
      <c r="AP8" s="56" t="s">
        <v>26</v>
      </c>
      <c r="AQ8" s="55">
        <v>11282012942.9</v>
      </c>
      <c r="AR8" s="56">
        <v>0.28874143831457</v>
      </c>
      <c r="AS8" s="56" t="s">
        <v>26</v>
      </c>
      <c r="AT8" s="56" t="s">
        <v>26</v>
      </c>
      <c r="AU8" s="55">
        <v>16070708001.91</v>
      </c>
      <c r="AV8" s="56">
        <v>0.39006125806295</v>
      </c>
      <c r="AW8" s="56" t="s">
        <v>26</v>
      </c>
      <c r="AX8" s="56" t="s">
        <v>26</v>
      </c>
      <c r="AY8" s="55">
        <v>246606320016.79001</v>
      </c>
      <c r="AZ8" s="56">
        <v>0.37084327489821001</v>
      </c>
      <c r="BA8" s="56" t="s">
        <v>26</v>
      </c>
      <c r="BB8" s="56" t="s">
        <v>26</v>
      </c>
    </row>
    <row r="9" spans="1:54" s="7" customFormat="1">
      <c r="A9" s="5" t="s">
        <v>27</v>
      </c>
      <c r="B9" s="24" t="s">
        <v>25</v>
      </c>
      <c r="C9" s="10">
        <v>2089133350.4300001</v>
      </c>
      <c r="D9" s="11">
        <v>0.38629508708107002</v>
      </c>
      <c r="E9" s="11">
        <v>0.5</v>
      </c>
      <c r="F9" s="11">
        <v>0.1137</v>
      </c>
      <c r="G9" s="10">
        <v>62406544888.639999</v>
      </c>
      <c r="H9" s="11">
        <v>0.45418823225298999</v>
      </c>
      <c r="I9" s="11">
        <v>0.5</v>
      </c>
      <c r="J9" s="11">
        <v>4.58E-2</v>
      </c>
      <c r="K9" s="10">
        <v>847614003.92999995</v>
      </c>
      <c r="L9" s="11">
        <v>0.32561821517715001</v>
      </c>
      <c r="M9" s="11">
        <v>0.5</v>
      </c>
      <c r="N9" s="11">
        <v>0.1744</v>
      </c>
      <c r="O9" s="10">
        <v>63993559387.550003</v>
      </c>
      <c r="P9" s="11">
        <v>0.31267869540269</v>
      </c>
      <c r="Q9" s="11">
        <v>0.5</v>
      </c>
      <c r="R9" s="11">
        <v>0.18729999999999999</v>
      </c>
      <c r="S9" s="10">
        <v>37846237855.790001</v>
      </c>
      <c r="T9" s="11">
        <v>0.36809255778696998</v>
      </c>
      <c r="U9" s="11">
        <v>0.5</v>
      </c>
      <c r="V9" s="11">
        <v>0.13189999999999999</v>
      </c>
      <c r="W9" s="10">
        <v>1611601819.3099999</v>
      </c>
      <c r="X9" s="11">
        <v>0.27747193979022999</v>
      </c>
      <c r="Y9" s="11">
        <v>0.5</v>
      </c>
      <c r="Z9" s="11">
        <v>0.2225</v>
      </c>
      <c r="AA9" s="10">
        <v>50458907766.330002</v>
      </c>
      <c r="AB9" s="11">
        <v>0.40042575380371997</v>
      </c>
      <c r="AC9" s="11">
        <v>0.5</v>
      </c>
      <c r="AD9" s="11">
        <v>9.9599999999999994E-2</v>
      </c>
      <c r="AE9" s="10">
        <v>219253599071.98001</v>
      </c>
      <c r="AF9" s="11">
        <v>0.37497551489378</v>
      </c>
      <c r="AG9" s="11">
        <v>0.5</v>
      </c>
      <c r="AH9" s="11">
        <v>0.125</v>
      </c>
      <c r="AI9" s="10">
        <v>6159430453.7299995</v>
      </c>
      <c r="AJ9" s="11">
        <v>0.38559029538824002</v>
      </c>
      <c r="AK9" s="11">
        <v>0.5</v>
      </c>
      <c r="AL9" s="11">
        <v>0.1144</v>
      </c>
      <c r="AM9" s="10">
        <v>5122582489.1700001</v>
      </c>
      <c r="AN9" s="11">
        <v>0.2217660711858</v>
      </c>
      <c r="AO9" s="11">
        <v>0.5</v>
      </c>
      <c r="AP9" s="11">
        <v>0.2782</v>
      </c>
      <c r="AQ9" s="10">
        <v>11282012942.9</v>
      </c>
      <c r="AR9" s="11">
        <v>0.28874143831457</v>
      </c>
      <c r="AS9" s="11">
        <v>0.5</v>
      </c>
      <c r="AT9" s="11">
        <v>0.21129999999999999</v>
      </c>
      <c r="AU9" s="10">
        <v>16070708001.91</v>
      </c>
      <c r="AV9" s="11">
        <v>0.39006125806295</v>
      </c>
      <c r="AW9" s="11">
        <v>0.5</v>
      </c>
      <c r="AX9" s="11">
        <v>0.1099</v>
      </c>
      <c r="AY9" s="10">
        <v>246606320016.79001</v>
      </c>
      <c r="AZ9" s="11">
        <v>0.37084327489821001</v>
      </c>
      <c r="BA9" s="11">
        <v>0.5</v>
      </c>
      <c r="BB9" s="11">
        <v>0.12920000000000001</v>
      </c>
    </row>
    <row r="10" spans="1:54">
      <c r="A10" s="3" t="s">
        <v>28</v>
      </c>
      <c r="B10" s="31" t="s">
        <v>29</v>
      </c>
      <c r="C10" s="2">
        <v>2089133350.4300001</v>
      </c>
      <c r="D10" s="1">
        <v>1</v>
      </c>
      <c r="E10" s="1" t="s">
        <v>26</v>
      </c>
      <c r="F10" s="1" t="s">
        <v>26</v>
      </c>
      <c r="G10" s="2">
        <v>62406544888.639999</v>
      </c>
      <c r="H10" s="1">
        <v>1</v>
      </c>
      <c r="I10" s="1" t="s">
        <v>26</v>
      </c>
      <c r="J10" s="1" t="s">
        <v>26</v>
      </c>
      <c r="K10" s="2">
        <v>847614003.92999995</v>
      </c>
      <c r="L10" s="1">
        <v>1</v>
      </c>
      <c r="M10" s="1" t="s">
        <v>26</v>
      </c>
      <c r="N10" s="1" t="s">
        <v>26</v>
      </c>
      <c r="O10" s="2">
        <v>63993559387.550003</v>
      </c>
      <c r="P10" s="1">
        <v>1</v>
      </c>
      <c r="Q10" s="1" t="s">
        <v>26</v>
      </c>
      <c r="R10" s="1" t="s">
        <v>26</v>
      </c>
      <c r="S10" s="2">
        <v>37846237855.790001</v>
      </c>
      <c r="T10" s="1">
        <v>1</v>
      </c>
      <c r="U10" s="1" t="s">
        <v>26</v>
      </c>
      <c r="V10" s="1" t="s">
        <v>26</v>
      </c>
      <c r="W10" s="2">
        <v>1611601819.3099999</v>
      </c>
      <c r="X10" s="1">
        <v>1</v>
      </c>
      <c r="Y10" s="1" t="s">
        <v>26</v>
      </c>
      <c r="Z10" s="1" t="s">
        <v>26</v>
      </c>
      <c r="AA10" s="2">
        <v>50458907766.330002</v>
      </c>
      <c r="AB10" s="1">
        <v>1</v>
      </c>
      <c r="AC10" s="1" t="s">
        <v>26</v>
      </c>
      <c r="AD10" s="1" t="s">
        <v>26</v>
      </c>
      <c r="AE10" s="2">
        <v>219253599071.98001</v>
      </c>
      <c r="AF10" s="1">
        <v>1</v>
      </c>
      <c r="AG10" s="1" t="s">
        <v>26</v>
      </c>
      <c r="AH10" s="1" t="s">
        <v>26</v>
      </c>
      <c r="AI10" s="2">
        <v>6159430453.7299995</v>
      </c>
      <c r="AJ10" s="1">
        <v>1</v>
      </c>
      <c r="AK10" s="1" t="s">
        <v>26</v>
      </c>
      <c r="AL10" s="1" t="s">
        <v>26</v>
      </c>
      <c r="AM10" s="2">
        <v>5122582489.1700001</v>
      </c>
      <c r="AN10" s="1">
        <v>1</v>
      </c>
      <c r="AO10" s="1" t="s">
        <v>26</v>
      </c>
      <c r="AP10" s="1" t="s">
        <v>26</v>
      </c>
      <c r="AQ10" s="2">
        <v>11282012942.9</v>
      </c>
      <c r="AR10" s="1">
        <v>1</v>
      </c>
      <c r="AS10" s="1" t="s">
        <v>26</v>
      </c>
      <c r="AT10" s="1" t="s">
        <v>26</v>
      </c>
      <c r="AU10" s="2">
        <v>16070708001.91</v>
      </c>
      <c r="AV10" s="1">
        <v>1</v>
      </c>
      <c r="AW10" s="1" t="s">
        <v>26</v>
      </c>
      <c r="AX10" s="1" t="s">
        <v>26</v>
      </c>
      <c r="AY10" s="2">
        <v>246606320016.79001</v>
      </c>
      <c r="AZ10" s="1">
        <v>1</v>
      </c>
      <c r="BA10" s="1" t="s">
        <v>26</v>
      </c>
      <c r="BB10" s="1" t="s">
        <v>26</v>
      </c>
    </row>
    <row r="11" spans="1:54">
      <c r="A11" s="13" t="s">
        <v>30</v>
      </c>
      <c r="B11" s="25" t="s">
        <v>25</v>
      </c>
      <c r="C11" s="55">
        <v>2319701133.3400002</v>
      </c>
      <c r="D11" s="56">
        <v>0.42892865174029998</v>
      </c>
      <c r="E11" s="56" t="s">
        <v>26</v>
      </c>
      <c r="F11" s="56" t="s">
        <v>26</v>
      </c>
      <c r="G11" s="55">
        <v>54395224532.190002</v>
      </c>
      <c r="H11" s="56">
        <v>0.39588269014677002</v>
      </c>
      <c r="I11" s="56" t="s">
        <v>26</v>
      </c>
      <c r="J11" s="56" t="s">
        <v>26</v>
      </c>
      <c r="K11" s="55">
        <v>883690451.59000003</v>
      </c>
      <c r="L11" s="56">
        <v>0.33947729306225999</v>
      </c>
      <c r="M11" s="56" t="s">
        <v>26</v>
      </c>
      <c r="N11" s="56" t="s">
        <v>26</v>
      </c>
      <c r="O11" s="55">
        <v>89120052820.600006</v>
      </c>
      <c r="P11" s="56">
        <v>0.43544916264785</v>
      </c>
      <c r="Q11" s="56" t="s">
        <v>26</v>
      </c>
      <c r="R11" s="56" t="s">
        <v>26</v>
      </c>
      <c r="S11" s="55">
        <v>37268444346.959999</v>
      </c>
      <c r="T11" s="56">
        <v>0.36247293738115</v>
      </c>
      <c r="U11" s="56" t="s">
        <v>26</v>
      </c>
      <c r="V11" s="56" t="s">
        <v>26</v>
      </c>
      <c r="W11" s="55">
        <v>2702932258.6399999</v>
      </c>
      <c r="X11" s="56">
        <v>0.46536796368692002</v>
      </c>
      <c r="Y11" s="56" t="s">
        <v>26</v>
      </c>
      <c r="Z11" s="56" t="s">
        <v>26</v>
      </c>
      <c r="AA11" s="55">
        <v>48635758397.300003</v>
      </c>
      <c r="AB11" s="56">
        <v>0.38595782350741997</v>
      </c>
      <c r="AC11" s="56" t="s">
        <v>26</v>
      </c>
      <c r="AD11" s="56" t="s">
        <v>26</v>
      </c>
      <c r="AE11" s="55">
        <v>235325803940.62</v>
      </c>
      <c r="AF11" s="56">
        <v>0.40246278680906</v>
      </c>
      <c r="AG11" s="56" t="s">
        <v>26</v>
      </c>
      <c r="AH11" s="56" t="s">
        <v>26</v>
      </c>
      <c r="AI11" s="55">
        <v>6523453705.9799995</v>
      </c>
      <c r="AJ11" s="56">
        <v>0.40837873896555998</v>
      </c>
      <c r="AK11" s="56" t="s">
        <v>26</v>
      </c>
      <c r="AL11" s="56" t="s">
        <v>26</v>
      </c>
      <c r="AM11" s="55">
        <v>11317692803.559999</v>
      </c>
      <c r="AN11" s="56">
        <v>0.48996385577774998</v>
      </c>
      <c r="AO11" s="56" t="s">
        <v>26</v>
      </c>
      <c r="AP11" s="56" t="s">
        <v>26</v>
      </c>
      <c r="AQ11" s="55">
        <v>17841146509.540001</v>
      </c>
      <c r="AR11" s="56">
        <v>0.45660985592003001</v>
      </c>
      <c r="AS11" s="56" t="s">
        <v>26</v>
      </c>
      <c r="AT11" s="56" t="s">
        <v>26</v>
      </c>
      <c r="AU11" s="55">
        <v>15628245642.379999</v>
      </c>
      <c r="AV11" s="56">
        <v>0.37932200347731998</v>
      </c>
      <c r="AW11" s="56" t="s">
        <v>26</v>
      </c>
      <c r="AX11" s="56" t="s">
        <v>26</v>
      </c>
      <c r="AY11" s="55">
        <v>268795196092.54001</v>
      </c>
      <c r="AZ11" s="56">
        <v>0.40421060899444</v>
      </c>
      <c r="BA11" s="56" t="s">
        <v>26</v>
      </c>
      <c r="BB11" s="56" t="s">
        <v>26</v>
      </c>
    </row>
    <row r="12" spans="1:54" s="7" customFormat="1">
      <c r="A12" s="5" t="s">
        <v>31</v>
      </c>
      <c r="B12" s="24" t="s">
        <v>25</v>
      </c>
      <c r="C12" s="10">
        <v>2319701133.3400002</v>
      </c>
      <c r="D12" s="11">
        <v>0.42892865174029998</v>
      </c>
      <c r="E12" s="11">
        <v>0.5</v>
      </c>
      <c r="F12" s="11">
        <v>7.1099999999999997E-2</v>
      </c>
      <c r="G12" s="10">
        <v>54395224532.190002</v>
      </c>
      <c r="H12" s="11">
        <v>0.39588269014677002</v>
      </c>
      <c r="I12" s="11">
        <v>0.5</v>
      </c>
      <c r="J12" s="11">
        <v>0.1041</v>
      </c>
      <c r="K12" s="10">
        <v>883690451.59000003</v>
      </c>
      <c r="L12" s="11">
        <v>0.33947729306225999</v>
      </c>
      <c r="M12" s="11">
        <v>0.5</v>
      </c>
      <c r="N12" s="11">
        <v>0.1605</v>
      </c>
      <c r="O12" s="10">
        <v>89120052820.600006</v>
      </c>
      <c r="P12" s="11">
        <v>0.43544916264785</v>
      </c>
      <c r="Q12" s="11">
        <v>0.5</v>
      </c>
      <c r="R12" s="11">
        <v>6.4600000000000005E-2</v>
      </c>
      <c r="S12" s="10">
        <v>37268444346.959999</v>
      </c>
      <c r="T12" s="11">
        <v>0.36247293738115</v>
      </c>
      <c r="U12" s="11">
        <v>0.5</v>
      </c>
      <c r="V12" s="11">
        <v>0.13750000000000001</v>
      </c>
      <c r="W12" s="10">
        <v>2702932258.6399999</v>
      </c>
      <c r="X12" s="11">
        <v>0.46536796368692002</v>
      </c>
      <c r="Y12" s="11">
        <v>0.5</v>
      </c>
      <c r="Z12" s="11">
        <v>3.4599999999999999E-2</v>
      </c>
      <c r="AA12" s="10">
        <v>48635758397.300003</v>
      </c>
      <c r="AB12" s="11">
        <v>0.38595782350741997</v>
      </c>
      <c r="AC12" s="11">
        <v>0.5</v>
      </c>
      <c r="AD12" s="11">
        <v>0.114</v>
      </c>
      <c r="AE12" s="10">
        <v>235325803940.62</v>
      </c>
      <c r="AF12" s="11">
        <v>0.40246278680906</v>
      </c>
      <c r="AG12" s="11">
        <v>0.5</v>
      </c>
      <c r="AH12" s="11">
        <v>9.7500000000000003E-2</v>
      </c>
      <c r="AI12" s="10">
        <v>6523453705.9799995</v>
      </c>
      <c r="AJ12" s="11">
        <v>0.40837873896555998</v>
      </c>
      <c r="AK12" s="11">
        <v>0.5</v>
      </c>
      <c r="AL12" s="11">
        <v>9.1600000000000001E-2</v>
      </c>
      <c r="AM12" s="10">
        <v>11317692803.559999</v>
      </c>
      <c r="AN12" s="11">
        <v>0.48996385577774998</v>
      </c>
      <c r="AO12" s="11">
        <v>0.5</v>
      </c>
      <c r="AP12" s="11">
        <v>0.01</v>
      </c>
      <c r="AQ12" s="10">
        <v>17841146509.540001</v>
      </c>
      <c r="AR12" s="11">
        <v>0.45660985592003001</v>
      </c>
      <c r="AS12" s="11">
        <v>0.5</v>
      </c>
      <c r="AT12" s="11">
        <v>4.3400000000000001E-2</v>
      </c>
      <c r="AU12" s="10">
        <v>15628245642.379999</v>
      </c>
      <c r="AV12" s="11">
        <v>0.37932200347731998</v>
      </c>
      <c r="AW12" s="11">
        <v>0.5</v>
      </c>
      <c r="AX12" s="11">
        <v>0.1207</v>
      </c>
      <c r="AY12" s="10">
        <v>268795196092.54001</v>
      </c>
      <c r="AZ12" s="11">
        <v>0.40421060899444</v>
      </c>
      <c r="BA12" s="11">
        <v>0.5</v>
      </c>
      <c r="BB12" s="11">
        <v>9.5799999999999996E-2</v>
      </c>
    </row>
    <row r="13" spans="1:54">
      <c r="A13" s="3" t="s">
        <v>32</v>
      </c>
      <c r="B13" s="31" t="s">
        <v>29</v>
      </c>
      <c r="C13" s="2">
        <v>1055140280.72</v>
      </c>
      <c r="D13" s="1">
        <v>0.45486044109516999</v>
      </c>
      <c r="E13" s="1" t="s">
        <v>26</v>
      </c>
      <c r="F13" s="1" t="s">
        <v>26</v>
      </c>
      <c r="G13" s="2">
        <v>19081185927.09</v>
      </c>
      <c r="H13" s="1">
        <v>0.35078788792936</v>
      </c>
      <c r="I13" s="1" t="s">
        <v>26</v>
      </c>
      <c r="J13" s="1" t="s">
        <v>26</v>
      </c>
      <c r="K13" s="2">
        <v>285718060.56</v>
      </c>
      <c r="L13" s="1">
        <v>0.32332369332034</v>
      </c>
      <c r="M13" s="1" t="s">
        <v>26</v>
      </c>
      <c r="N13" s="1" t="s">
        <v>26</v>
      </c>
      <c r="O13" s="2">
        <v>25700628458.189999</v>
      </c>
      <c r="P13" s="1">
        <v>0.28838210531502001</v>
      </c>
      <c r="Q13" s="1" t="s">
        <v>26</v>
      </c>
      <c r="R13" s="1" t="s">
        <v>26</v>
      </c>
      <c r="S13" s="2">
        <v>15990053644.09</v>
      </c>
      <c r="T13" s="1">
        <v>0.42905074049311998</v>
      </c>
      <c r="U13" s="1" t="s">
        <v>26</v>
      </c>
      <c r="V13" s="1" t="s">
        <v>26</v>
      </c>
      <c r="W13" s="2">
        <v>1341846573.73</v>
      </c>
      <c r="X13" s="1">
        <v>0.49644106671218002</v>
      </c>
      <c r="Y13" s="1" t="s">
        <v>26</v>
      </c>
      <c r="Z13" s="1" t="s">
        <v>26</v>
      </c>
      <c r="AA13" s="2">
        <v>23275469173.689999</v>
      </c>
      <c r="AB13" s="1">
        <v>0.47856700379903999</v>
      </c>
      <c r="AC13" s="1" t="s">
        <v>26</v>
      </c>
      <c r="AD13" s="1" t="s">
        <v>26</v>
      </c>
      <c r="AE13" s="2">
        <v>86730042118.070007</v>
      </c>
      <c r="AF13" s="1">
        <v>0.36855304716161003</v>
      </c>
      <c r="AG13" s="1" t="s">
        <v>26</v>
      </c>
      <c r="AH13" s="1" t="s">
        <v>26</v>
      </c>
      <c r="AI13" s="2">
        <v>1722511649.78</v>
      </c>
      <c r="AJ13" s="1">
        <v>0.26404903405706998</v>
      </c>
      <c r="AK13" s="1" t="s">
        <v>26</v>
      </c>
      <c r="AL13" s="1" t="s">
        <v>26</v>
      </c>
      <c r="AM13" s="2">
        <v>6805587050.6099997</v>
      </c>
      <c r="AN13" s="1">
        <v>0.60132282866604003</v>
      </c>
      <c r="AO13" s="1" t="s">
        <v>26</v>
      </c>
      <c r="AP13" s="1" t="s">
        <v>26</v>
      </c>
      <c r="AQ13" s="2">
        <v>8528098700.3900003</v>
      </c>
      <c r="AR13" s="1">
        <v>0.47800171899434002</v>
      </c>
      <c r="AS13" s="1" t="s">
        <v>26</v>
      </c>
      <c r="AT13" s="1" t="s">
        <v>26</v>
      </c>
      <c r="AU13" s="2">
        <v>8044739936.21</v>
      </c>
      <c r="AV13" s="1">
        <v>0.51475643013920003</v>
      </c>
      <c r="AW13" s="1" t="s">
        <v>26</v>
      </c>
      <c r="AX13" s="1" t="s">
        <v>26</v>
      </c>
      <c r="AY13" s="2">
        <v>103302880754.67</v>
      </c>
      <c r="AZ13" s="1">
        <v>0.38431818074273</v>
      </c>
      <c r="BA13" s="1" t="s">
        <v>26</v>
      </c>
      <c r="BB13" s="1" t="s">
        <v>26</v>
      </c>
    </row>
    <row r="14" spans="1:54">
      <c r="A14" s="3" t="s">
        <v>33</v>
      </c>
      <c r="B14" s="31" t="s">
        <v>29</v>
      </c>
      <c r="C14" s="2">
        <v>1264560852.6199999</v>
      </c>
      <c r="D14" s="1">
        <v>0.54513955890483001</v>
      </c>
      <c r="E14" s="1" t="s">
        <v>26</v>
      </c>
      <c r="F14" s="1" t="s">
        <v>26</v>
      </c>
      <c r="G14" s="2">
        <v>35314038605.099998</v>
      </c>
      <c r="H14" s="1">
        <v>0.64921211207064</v>
      </c>
      <c r="I14" s="1" t="s">
        <v>26</v>
      </c>
      <c r="J14" s="1" t="s">
        <v>26</v>
      </c>
      <c r="K14" s="2">
        <v>597972391.02999997</v>
      </c>
      <c r="L14" s="1">
        <v>0.67667630667965994</v>
      </c>
      <c r="M14" s="1" t="s">
        <v>26</v>
      </c>
      <c r="N14" s="1" t="s">
        <v>26</v>
      </c>
      <c r="O14" s="2">
        <v>63419424362.410004</v>
      </c>
      <c r="P14" s="1">
        <v>0.71161789468498005</v>
      </c>
      <c r="Q14" s="1" t="s">
        <v>26</v>
      </c>
      <c r="R14" s="1" t="s">
        <v>26</v>
      </c>
      <c r="S14" s="2">
        <v>21278390702.869999</v>
      </c>
      <c r="T14" s="1">
        <v>0.57094925950688002</v>
      </c>
      <c r="U14" s="1" t="s">
        <v>26</v>
      </c>
      <c r="V14" s="1" t="s">
        <v>26</v>
      </c>
      <c r="W14" s="2">
        <v>1361085684.9100001</v>
      </c>
      <c r="X14" s="1">
        <v>0.50355893328781998</v>
      </c>
      <c r="Y14" s="1" t="s">
        <v>26</v>
      </c>
      <c r="Z14" s="1" t="s">
        <v>26</v>
      </c>
      <c r="AA14" s="2">
        <v>25360289223.610001</v>
      </c>
      <c r="AB14" s="1">
        <v>0.52143299620095995</v>
      </c>
      <c r="AC14" s="1" t="s">
        <v>26</v>
      </c>
      <c r="AD14" s="1" t="s">
        <v>26</v>
      </c>
      <c r="AE14" s="2">
        <v>148595761822.54999</v>
      </c>
      <c r="AF14" s="1">
        <v>0.63144695283839003</v>
      </c>
      <c r="AG14" s="1" t="s">
        <v>26</v>
      </c>
      <c r="AH14" s="1" t="s">
        <v>26</v>
      </c>
      <c r="AI14" s="2">
        <v>4800942056.1999998</v>
      </c>
      <c r="AJ14" s="1">
        <v>0.73595096594292997</v>
      </c>
      <c r="AK14" s="1" t="s">
        <v>26</v>
      </c>
      <c r="AL14" s="1" t="s">
        <v>26</v>
      </c>
      <c r="AM14" s="2">
        <v>4512105752.9499998</v>
      </c>
      <c r="AN14" s="1">
        <v>0.39867717133396002</v>
      </c>
      <c r="AO14" s="1" t="s">
        <v>26</v>
      </c>
      <c r="AP14" s="1" t="s">
        <v>26</v>
      </c>
      <c r="AQ14" s="2">
        <v>9313047809.1499996</v>
      </c>
      <c r="AR14" s="1">
        <v>0.52199828100566004</v>
      </c>
      <c r="AS14" s="1" t="s">
        <v>26</v>
      </c>
      <c r="AT14" s="1" t="s">
        <v>26</v>
      </c>
      <c r="AU14" s="2">
        <v>7583505706.1700001</v>
      </c>
      <c r="AV14" s="1">
        <v>0.48524356986079997</v>
      </c>
      <c r="AW14" s="1" t="s">
        <v>26</v>
      </c>
      <c r="AX14" s="1" t="s">
        <v>26</v>
      </c>
      <c r="AY14" s="2">
        <v>165492315337.87</v>
      </c>
      <c r="AZ14" s="1">
        <v>0.61568181925726995</v>
      </c>
      <c r="BA14" s="1" t="s">
        <v>26</v>
      </c>
      <c r="BB14" s="1" t="s">
        <v>26</v>
      </c>
    </row>
    <row r="15" spans="1:54">
      <c r="A15" s="13" t="s">
        <v>34</v>
      </c>
      <c r="B15" s="25" t="s">
        <v>25</v>
      </c>
      <c r="C15" s="55">
        <v>236308992.56999999</v>
      </c>
      <c r="D15" s="56">
        <v>4.3695153707669999E-2</v>
      </c>
      <c r="E15" s="56" t="s">
        <v>26</v>
      </c>
      <c r="F15" s="56" t="s">
        <v>26</v>
      </c>
      <c r="G15" s="55">
        <v>8983235326.6700001</v>
      </c>
      <c r="H15" s="56">
        <v>6.5379036449040001E-2</v>
      </c>
      <c r="I15" s="56" t="s">
        <v>26</v>
      </c>
      <c r="J15" s="56" t="s">
        <v>26</v>
      </c>
      <c r="K15" s="55">
        <v>153683208.63999999</v>
      </c>
      <c r="L15" s="56">
        <v>5.9038727378300002E-2</v>
      </c>
      <c r="M15" s="56" t="s">
        <v>26</v>
      </c>
      <c r="N15" s="56" t="s">
        <v>26</v>
      </c>
      <c r="O15" s="55">
        <v>18124730717.490002</v>
      </c>
      <c r="P15" s="56">
        <v>8.855918016606E-2</v>
      </c>
      <c r="Q15" s="56" t="s">
        <v>26</v>
      </c>
      <c r="R15" s="56" t="s">
        <v>26</v>
      </c>
      <c r="S15" s="55">
        <v>14029283369.99</v>
      </c>
      <c r="T15" s="56">
        <v>0.13644882799857999</v>
      </c>
      <c r="U15" s="56" t="s">
        <v>26</v>
      </c>
      <c r="V15" s="56" t="s">
        <v>26</v>
      </c>
      <c r="W15" s="55">
        <v>1336667212.73</v>
      </c>
      <c r="X15" s="56">
        <v>0.23013602983458001</v>
      </c>
      <c r="Y15" s="56" t="s">
        <v>26</v>
      </c>
      <c r="Z15" s="56" t="s">
        <v>26</v>
      </c>
      <c r="AA15" s="55">
        <v>12965735919.65</v>
      </c>
      <c r="AB15" s="56">
        <v>0.10289193343797</v>
      </c>
      <c r="AC15" s="56" t="s">
        <v>26</v>
      </c>
      <c r="AD15" s="56" t="s">
        <v>26</v>
      </c>
      <c r="AE15" s="55">
        <v>55829644747.739998</v>
      </c>
      <c r="AF15" s="56">
        <v>9.5481898013209998E-2</v>
      </c>
      <c r="AG15" s="56" t="s">
        <v>26</v>
      </c>
      <c r="AH15" s="56" t="s">
        <v>26</v>
      </c>
      <c r="AI15" s="55">
        <v>1900578925.48</v>
      </c>
      <c r="AJ15" s="56">
        <v>0.11897931063427</v>
      </c>
      <c r="AK15" s="56" t="s">
        <v>26</v>
      </c>
      <c r="AL15" s="56" t="s">
        <v>26</v>
      </c>
      <c r="AM15" s="55">
        <v>4226858105.8099999</v>
      </c>
      <c r="AN15" s="56">
        <v>0.18298850581070999</v>
      </c>
      <c r="AO15" s="56" t="s">
        <v>26</v>
      </c>
      <c r="AP15" s="56" t="s">
        <v>26</v>
      </c>
      <c r="AQ15" s="55">
        <v>6127437031.29</v>
      </c>
      <c r="AR15" s="56">
        <v>0.15681997446297999</v>
      </c>
      <c r="AS15" s="56" t="s">
        <v>26</v>
      </c>
      <c r="AT15" s="56" t="s">
        <v>26</v>
      </c>
      <c r="AU15" s="55">
        <v>4951812478.3699999</v>
      </c>
      <c r="AV15" s="56">
        <v>0.12018824589278999</v>
      </c>
      <c r="AW15" s="56" t="s">
        <v>26</v>
      </c>
      <c r="AX15" s="56" t="s">
        <v>26</v>
      </c>
      <c r="AY15" s="55">
        <v>66908894257.400002</v>
      </c>
      <c r="AZ15" s="56">
        <v>0.10061669735205001</v>
      </c>
      <c r="BA15" s="56" t="s">
        <v>26</v>
      </c>
      <c r="BB15" s="56" t="s">
        <v>26</v>
      </c>
    </row>
    <row r="16" spans="1:54" s="7" customFormat="1">
      <c r="A16" s="5" t="s">
        <v>35</v>
      </c>
      <c r="B16" s="24" t="s">
        <v>25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4014752302.6199999</v>
      </c>
      <c r="H16" s="11">
        <v>2.9218942572679998E-2</v>
      </c>
      <c r="I16" s="11">
        <v>0.15</v>
      </c>
      <c r="J16" s="11">
        <v>0.1208</v>
      </c>
      <c r="K16" s="10" t="s">
        <v>26</v>
      </c>
      <c r="L16" s="11" t="s">
        <v>26</v>
      </c>
      <c r="M16" s="11" t="s">
        <v>26</v>
      </c>
      <c r="N16" s="11" t="s">
        <v>26</v>
      </c>
      <c r="O16" s="10">
        <v>5258137564.9700003</v>
      </c>
      <c r="P16" s="11">
        <v>2.5691766637110001E-2</v>
      </c>
      <c r="Q16" s="11">
        <v>0.13819999999999999</v>
      </c>
      <c r="R16" s="11">
        <v>0.1125</v>
      </c>
      <c r="S16" s="10">
        <v>3210295189.4400001</v>
      </c>
      <c r="T16" s="11">
        <v>3.1223335118139999E-2</v>
      </c>
      <c r="U16" s="11">
        <v>0.05</v>
      </c>
      <c r="V16" s="11">
        <v>1.8800000000000001E-2</v>
      </c>
      <c r="W16" s="10">
        <v>308870139.25999999</v>
      </c>
      <c r="X16" s="11">
        <v>5.3178642302879997E-2</v>
      </c>
      <c r="Y16" s="11">
        <v>0.15</v>
      </c>
      <c r="Z16" s="11">
        <v>9.6799999999999997E-2</v>
      </c>
      <c r="AA16" s="10">
        <v>4684026193.8400002</v>
      </c>
      <c r="AB16" s="11">
        <v>3.717093378617E-2</v>
      </c>
      <c r="AC16" s="11">
        <v>0.1368</v>
      </c>
      <c r="AD16" s="11">
        <v>9.9599999999999994E-2</v>
      </c>
      <c r="AE16" s="10">
        <v>17476081390.130001</v>
      </c>
      <c r="AF16" s="11">
        <v>2.988823282868E-2</v>
      </c>
      <c r="AG16" s="11">
        <v>0.1421</v>
      </c>
      <c r="AH16" s="11">
        <v>0.11219999999999999</v>
      </c>
      <c r="AI16" s="10">
        <v>763736371.53999996</v>
      </c>
      <c r="AJ16" s="11">
        <v>4.7811130479199999E-2</v>
      </c>
      <c r="AK16" s="11">
        <v>0.05</v>
      </c>
      <c r="AL16" s="11">
        <v>2.2000000000000001E-3</v>
      </c>
      <c r="AM16" s="10">
        <v>1212133268.3199999</v>
      </c>
      <c r="AN16" s="11">
        <v>5.2475491265830003E-2</v>
      </c>
      <c r="AO16" s="11">
        <v>0.15</v>
      </c>
      <c r="AP16" s="11">
        <v>9.7500000000000003E-2</v>
      </c>
      <c r="AQ16" s="10">
        <v>1975869639.8599999</v>
      </c>
      <c r="AR16" s="11">
        <v>5.0568585998149999E-2</v>
      </c>
      <c r="AS16" s="11">
        <v>0.1472</v>
      </c>
      <c r="AT16" s="11">
        <v>9.6600000000000005E-2</v>
      </c>
      <c r="AU16" s="10">
        <v>1053257557.4400001</v>
      </c>
      <c r="AV16" s="11">
        <v>2.5564210853100001E-2</v>
      </c>
      <c r="AW16" s="11">
        <v>0.05</v>
      </c>
      <c r="AX16" s="11">
        <v>2.4400000000000002E-2</v>
      </c>
      <c r="AY16" s="10">
        <v>20505208587.43</v>
      </c>
      <c r="AZ16" s="11">
        <v>3.0835457519970001E-2</v>
      </c>
      <c r="BA16" s="11">
        <v>0.14249999999999999</v>
      </c>
      <c r="BB16" s="11">
        <v>0.11169999999999999</v>
      </c>
    </row>
    <row r="17" spans="1:56" s="7" customFormat="1">
      <c r="A17" s="3" t="s">
        <v>36</v>
      </c>
      <c r="B17" s="31" t="s">
        <v>37</v>
      </c>
      <c r="C17" s="2" t="s">
        <v>26</v>
      </c>
      <c r="D17" s="1" t="s">
        <v>26</v>
      </c>
      <c r="E17" s="1" t="s">
        <v>26</v>
      </c>
      <c r="F17" s="1" t="s">
        <v>26</v>
      </c>
      <c r="G17" s="2" t="s">
        <v>26</v>
      </c>
      <c r="H17" s="1" t="s">
        <v>26</v>
      </c>
      <c r="I17" s="1" t="s">
        <v>26</v>
      </c>
      <c r="J17" s="1" t="s">
        <v>26</v>
      </c>
      <c r="K17" s="2" t="s">
        <v>26</v>
      </c>
      <c r="L17" s="1" t="s">
        <v>26</v>
      </c>
      <c r="M17" s="1" t="s">
        <v>26</v>
      </c>
      <c r="N17" s="1" t="s">
        <v>26</v>
      </c>
      <c r="O17" s="2">
        <v>4121236720</v>
      </c>
      <c r="P17" s="1">
        <v>0.78378259775018</v>
      </c>
      <c r="Q17" s="1" t="s">
        <v>26</v>
      </c>
      <c r="R17" s="1" t="s">
        <v>26</v>
      </c>
      <c r="S17" s="2">
        <v>1015884851.48</v>
      </c>
      <c r="T17" s="1">
        <v>0.31644593145879002</v>
      </c>
      <c r="U17" s="1" t="s">
        <v>26</v>
      </c>
      <c r="V17" s="1" t="s">
        <v>26</v>
      </c>
      <c r="W17" s="2" t="s">
        <v>26</v>
      </c>
      <c r="X17" s="1" t="s">
        <v>26</v>
      </c>
      <c r="Y17" s="1" t="s">
        <v>26</v>
      </c>
      <c r="Z17" s="1" t="s">
        <v>26</v>
      </c>
      <c r="AA17" s="2">
        <v>4121236720</v>
      </c>
      <c r="AB17" s="1">
        <v>0.8798492043917</v>
      </c>
      <c r="AC17" s="1" t="s">
        <v>26</v>
      </c>
      <c r="AD17" s="1" t="s">
        <v>26</v>
      </c>
      <c r="AE17" s="2">
        <v>9258358291.4799995</v>
      </c>
      <c r="AF17" s="1">
        <v>0.52977312732755</v>
      </c>
      <c r="AG17" s="1" t="s">
        <v>26</v>
      </c>
      <c r="AH17" s="1" t="s">
        <v>26</v>
      </c>
      <c r="AI17" s="2">
        <v>368850686.44</v>
      </c>
      <c r="AJ17" s="1">
        <v>0.48295550688027</v>
      </c>
      <c r="AK17" s="1" t="s">
        <v>26</v>
      </c>
      <c r="AL17" s="1" t="s">
        <v>26</v>
      </c>
      <c r="AM17" s="2" t="s">
        <v>26</v>
      </c>
      <c r="AN17" s="1" t="s">
        <v>26</v>
      </c>
      <c r="AO17" s="1" t="s">
        <v>26</v>
      </c>
      <c r="AP17" s="1" t="s">
        <v>26</v>
      </c>
      <c r="AQ17" s="2">
        <v>368850686.44</v>
      </c>
      <c r="AR17" s="1">
        <v>0.18667764259292999</v>
      </c>
      <c r="AS17" s="1" t="s">
        <v>26</v>
      </c>
      <c r="AT17" s="1" t="s">
        <v>26</v>
      </c>
      <c r="AU17" s="2">
        <v>658367566.01999998</v>
      </c>
      <c r="AV17" s="1">
        <v>0.62507746692099997</v>
      </c>
      <c r="AW17" s="1" t="s">
        <v>26</v>
      </c>
      <c r="AX17" s="1" t="s">
        <v>26</v>
      </c>
      <c r="AY17" s="2">
        <v>10285576543.940001</v>
      </c>
      <c r="AZ17" s="1">
        <v>0.50160799389502997</v>
      </c>
      <c r="BA17" s="1" t="s">
        <v>26</v>
      </c>
      <c r="BB17" s="1" t="s">
        <v>26</v>
      </c>
      <c r="BD17" s="19"/>
    </row>
    <row r="18" spans="1:56">
      <c r="A18" s="3" t="s">
        <v>38</v>
      </c>
      <c r="B18" s="31" t="s">
        <v>39</v>
      </c>
      <c r="C18" s="2" t="s">
        <v>26</v>
      </c>
      <c r="D18" s="1" t="s">
        <v>26</v>
      </c>
      <c r="E18" s="1" t="s">
        <v>26</v>
      </c>
      <c r="F18" s="1" t="s">
        <v>26</v>
      </c>
      <c r="G18" s="2">
        <v>4014752302.6199999</v>
      </c>
      <c r="H18" s="1">
        <v>1</v>
      </c>
      <c r="I18" s="1" t="s">
        <v>26</v>
      </c>
      <c r="J18" s="1" t="s">
        <v>26</v>
      </c>
      <c r="K18" s="2" t="s">
        <v>26</v>
      </c>
      <c r="L18" s="1" t="s">
        <v>26</v>
      </c>
      <c r="M18" s="1" t="s">
        <v>26</v>
      </c>
      <c r="N18" s="1" t="s">
        <v>26</v>
      </c>
      <c r="O18" s="2">
        <v>1136900844.97</v>
      </c>
      <c r="P18" s="1">
        <v>0.21621740224982</v>
      </c>
      <c r="Q18" s="1" t="s">
        <v>26</v>
      </c>
      <c r="R18" s="1" t="s">
        <v>26</v>
      </c>
      <c r="S18" s="2">
        <v>2194410337.96</v>
      </c>
      <c r="T18" s="1">
        <v>0.68355406854121004</v>
      </c>
      <c r="U18" s="1" t="s">
        <v>26</v>
      </c>
      <c r="V18" s="1" t="s">
        <v>26</v>
      </c>
      <c r="W18" s="2">
        <v>308870139.25999999</v>
      </c>
      <c r="X18" s="1">
        <v>1</v>
      </c>
      <c r="Y18" s="1" t="s">
        <v>26</v>
      </c>
      <c r="Z18" s="1" t="s">
        <v>26</v>
      </c>
      <c r="AA18" s="2">
        <v>562789473.84000003</v>
      </c>
      <c r="AB18" s="1">
        <v>0.1201507956083</v>
      </c>
      <c r="AC18" s="1" t="s">
        <v>26</v>
      </c>
      <c r="AD18" s="1" t="s">
        <v>26</v>
      </c>
      <c r="AE18" s="2">
        <v>8217723098.6499996</v>
      </c>
      <c r="AF18" s="1">
        <v>0.47022687267245</v>
      </c>
      <c r="AG18" s="1" t="s">
        <v>26</v>
      </c>
      <c r="AH18" s="1" t="s">
        <v>26</v>
      </c>
      <c r="AI18" s="2">
        <v>394885685.10000002</v>
      </c>
      <c r="AJ18" s="1">
        <v>0.51704449311973</v>
      </c>
      <c r="AK18" s="1" t="s">
        <v>26</v>
      </c>
      <c r="AL18" s="1" t="s">
        <v>26</v>
      </c>
      <c r="AM18" s="2">
        <v>1212133268.3199999</v>
      </c>
      <c r="AN18" s="1">
        <v>1</v>
      </c>
      <c r="AO18" s="1" t="s">
        <v>26</v>
      </c>
      <c r="AP18" s="1" t="s">
        <v>26</v>
      </c>
      <c r="AQ18" s="2">
        <v>1607018953.4200001</v>
      </c>
      <c r="AR18" s="1">
        <v>0.81332235740707004</v>
      </c>
      <c r="AS18" s="1" t="s">
        <v>26</v>
      </c>
      <c r="AT18" s="1" t="s">
        <v>26</v>
      </c>
      <c r="AU18" s="2">
        <v>394889991.42000002</v>
      </c>
      <c r="AV18" s="1">
        <v>0.37492253307899998</v>
      </c>
      <c r="AW18" s="1" t="s">
        <v>26</v>
      </c>
      <c r="AX18" s="1" t="s">
        <v>26</v>
      </c>
      <c r="AY18" s="2">
        <v>10219632043.49</v>
      </c>
      <c r="AZ18" s="1">
        <v>0.49839200610496998</v>
      </c>
      <c r="BA18" s="1" t="s">
        <v>26</v>
      </c>
      <c r="BB18" s="1" t="s">
        <v>26</v>
      </c>
    </row>
    <row r="19" spans="1:56" s="7" customFormat="1">
      <c r="A19" s="5" t="s">
        <v>40</v>
      </c>
      <c r="B19" s="24" t="s">
        <v>25</v>
      </c>
      <c r="C19" s="10" t="s">
        <v>26</v>
      </c>
      <c r="D19" s="11" t="s">
        <v>26</v>
      </c>
      <c r="E19" s="11" t="s">
        <v>26</v>
      </c>
      <c r="F19" s="11" t="s">
        <v>26</v>
      </c>
      <c r="G19" s="10" t="s">
        <v>26</v>
      </c>
      <c r="H19" s="11" t="s">
        <v>26</v>
      </c>
      <c r="I19" s="11" t="s">
        <v>26</v>
      </c>
      <c r="J19" s="11" t="s">
        <v>26</v>
      </c>
      <c r="K19" s="10" t="s">
        <v>26</v>
      </c>
      <c r="L19" s="11" t="s">
        <v>26</v>
      </c>
      <c r="M19" s="11" t="s">
        <v>26</v>
      </c>
      <c r="N19" s="11" t="s">
        <v>26</v>
      </c>
      <c r="O19" s="10" t="s">
        <v>26</v>
      </c>
      <c r="P19" s="11" t="s">
        <v>26</v>
      </c>
      <c r="Q19" s="11" t="s">
        <v>26</v>
      </c>
      <c r="R19" s="11" t="s">
        <v>26</v>
      </c>
      <c r="S19" s="10" t="s">
        <v>26</v>
      </c>
      <c r="T19" s="11" t="s">
        <v>26</v>
      </c>
      <c r="U19" s="11" t="s">
        <v>26</v>
      </c>
      <c r="V19" s="11" t="s">
        <v>26</v>
      </c>
      <c r="W19" s="10">
        <v>101041798.45</v>
      </c>
      <c r="X19" s="11">
        <v>1.7396520331439999E-2</v>
      </c>
      <c r="Y19" s="11">
        <v>0.15</v>
      </c>
      <c r="Z19" s="11">
        <v>0.1326</v>
      </c>
      <c r="AA19" s="10" t="s">
        <v>26</v>
      </c>
      <c r="AB19" s="11" t="s">
        <v>26</v>
      </c>
      <c r="AC19" s="11" t="s">
        <v>26</v>
      </c>
      <c r="AD19" s="11" t="s">
        <v>26</v>
      </c>
      <c r="AE19" s="10">
        <v>101041798.45</v>
      </c>
      <c r="AF19" s="11">
        <v>1.7280537496E-4</v>
      </c>
      <c r="AG19" s="11">
        <v>0.15</v>
      </c>
      <c r="AH19" s="11">
        <v>0.14979999999999999</v>
      </c>
      <c r="AI19" s="10" t="s">
        <v>26</v>
      </c>
      <c r="AJ19" s="11" t="s">
        <v>26</v>
      </c>
      <c r="AK19" s="11" t="s">
        <v>26</v>
      </c>
      <c r="AL19" s="11" t="s">
        <v>26</v>
      </c>
      <c r="AM19" s="10" t="s">
        <v>26</v>
      </c>
      <c r="AN19" s="11" t="s">
        <v>26</v>
      </c>
      <c r="AO19" s="11" t="s">
        <v>26</v>
      </c>
      <c r="AP19" s="11" t="s">
        <v>26</v>
      </c>
      <c r="AQ19" s="10" t="s">
        <v>26</v>
      </c>
      <c r="AR19" s="11" t="s">
        <v>26</v>
      </c>
      <c r="AS19" s="11" t="s">
        <v>26</v>
      </c>
      <c r="AT19" s="11" t="s">
        <v>26</v>
      </c>
      <c r="AU19" s="10" t="s">
        <v>26</v>
      </c>
      <c r="AV19" s="11" t="s">
        <v>26</v>
      </c>
      <c r="AW19" s="11" t="s">
        <v>26</v>
      </c>
      <c r="AX19" s="11" t="s">
        <v>26</v>
      </c>
      <c r="AY19" s="10">
        <v>101041798.45</v>
      </c>
      <c r="AZ19" s="11">
        <v>1.5194530066E-4</v>
      </c>
      <c r="BA19" s="11">
        <v>0.15</v>
      </c>
      <c r="BB19" s="11">
        <v>0.14979999999999999</v>
      </c>
      <c r="BD19" s="20"/>
    </row>
    <row r="20" spans="1:56" s="7" customFormat="1">
      <c r="A20" s="3" t="s">
        <v>38</v>
      </c>
      <c r="B20" s="31" t="s">
        <v>39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 t="s">
        <v>26</v>
      </c>
      <c r="P20" s="1" t="s">
        <v>26</v>
      </c>
      <c r="Q20" s="1" t="s">
        <v>26</v>
      </c>
      <c r="R20" s="1" t="s">
        <v>26</v>
      </c>
      <c r="S20" s="2" t="s">
        <v>26</v>
      </c>
      <c r="T20" s="1" t="s">
        <v>26</v>
      </c>
      <c r="U20" s="1" t="s">
        <v>26</v>
      </c>
      <c r="V20" s="1" t="s">
        <v>26</v>
      </c>
      <c r="W20" s="2">
        <v>101041798.45</v>
      </c>
      <c r="X20" s="1">
        <v>1</v>
      </c>
      <c r="Y20" s="1" t="s">
        <v>26</v>
      </c>
      <c r="Z20" s="1" t="s">
        <v>26</v>
      </c>
      <c r="AA20" s="2" t="s">
        <v>26</v>
      </c>
      <c r="AB20" s="1" t="s">
        <v>26</v>
      </c>
      <c r="AC20" s="1" t="s">
        <v>26</v>
      </c>
      <c r="AD20" s="1" t="s">
        <v>26</v>
      </c>
      <c r="AE20" s="2">
        <v>101041798.45</v>
      </c>
      <c r="AF20" s="1">
        <v>1</v>
      </c>
      <c r="AG20" s="1" t="s">
        <v>26</v>
      </c>
      <c r="AH20" s="1" t="s">
        <v>26</v>
      </c>
      <c r="AI20" s="2" t="s">
        <v>26</v>
      </c>
      <c r="AJ20" s="1" t="s">
        <v>26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 t="s">
        <v>26</v>
      </c>
      <c r="AR20" s="1" t="s">
        <v>26</v>
      </c>
      <c r="AS20" s="1" t="s">
        <v>26</v>
      </c>
      <c r="AT20" s="1" t="s">
        <v>26</v>
      </c>
      <c r="AU20" s="2" t="s">
        <v>26</v>
      </c>
      <c r="AV20" s="1" t="s">
        <v>26</v>
      </c>
      <c r="AW20" s="1" t="s">
        <v>26</v>
      </c>
      <c r="AX20" s="1" t="s">
        <v>26</v>
      </c>
      <c r="AY20" s="2">
        <v>101041798.45</v>
      </c>
      <c r="AZ20" s="1">
        <v>1</v>
      </c>
      <c r="BA20" s="1" t="s">
        <v>26</v>
      </c>
      <c r="BB20" s="1" t="s">
        <v>26</v>
      </c>
    </row>
    <row r="21" spans="1:56" s="7" customFormat="1">
      <c r="A21" s="5" t="s">
        <v>41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>
        <v>30170477.370000001</v>
      </c>
      <c r="H21" s="11">
        <v>2.1957754282999999E-4</v>
      </c>
      <c r="I21" s="11">
        <v>0.15</v>
      </c>
      <c r="J21" s="11">
        <v>0.14979999999999999</v>
      </c>
      <c r="K21" s="10">
        <v>30123223.289999999</v>
      </c>
      <c r="L21" s="11">
        <v>1.15720955029E-2</v>
      </c>
      <c r="M21" s="11">
        <v>0.15</v>
      </c>
      <c r="N21" s="11">
        <v>0.1384</v>
      </c>
      <c r="O21" s="10">
        <v>553552436.03999996</v>
      </c>
      <c r="P21" s="11">
        <v>2.7047105239099999E-3</v>
      </c>
      <c r="Q21" s="11">
        <v>0.15</v>
      </c>
      <c r="R21" s="11">
        <v>0.14729999999999999</v>
      </c>
      <c r="S21" s="10">
        <v>324581443.91000003</v>
      </c>
      <c r="T21" s="11">
        <v>3.1568795385800001E-3</v>
      </c>
      <c r="U21" s="11">
        <v>0.15</v>
      </c>
      <c r="V21" s="11">
        <v>0.14680000000000001</v>
      </c>
      <c r="W21" s="10">
        <v>99189261.730000004</v>
      </c>
      <c r="X21" s="11">
        <v>1.7077566262839999E-2</v>
      </c>
      <c r="Y21" s="11">
        <v>0.15</v>
      </c>
      <c r="Z21" s="11">
        <v>0.13289999999999999</v>
      </c>
      <c r="AA21" s="10" t="s">
        <v>26</v>
      </c>
      <c r="AB21" s="11" t="s">
        <v>26</v>
      </c>
      <c r="AC21" s="11" t="s">
        <v>26</v>
      </c>
      <c r="AD21" s="11" t="s">
        <v>26</v>
      </c>
      <c r="AE21" s="10">
        <v>1037616842.34</v>
      </c>
      <c r="AF21" s="11">
        <v>1.77457022993E-3</v>
      </c>
      <c r="AG21" s="11">
        <v>0.15</v>
      </c>
      <c r="AH21" s="11">
        <v>0.1482</v>
      </c>
      <c r="AI21" s="10">
        <v>8345961.2599999998</v>
      </c>
      <c r="AJ21" s="11">
        <v>5.2247065564E-4</v>
      </c>
      <c r="AK21" s="11">
        <v>0.15</v>
      </c>
      <c r="AL21" s="11">
        <v>0.14949999999999999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>
        <v>8345961.2599999998</v>
      </c>
      <c r="AR21" s="11">
        <v>2.1359883830000001E-4</v>
      </c>
      <c r="AS21" s="11">
        <v>0.15</v>
      </c>
      <c r="AT21" s="11">
        <v>0.14979999999999999</v>
      </c>
      <c r="AU21" s="10">
        <v>180000117.31999999</v>
      </c>
      <c r="AV21" s="11">
        <v>4.3688848185799998E-3</v>
      </c>
      <c r="AW21" s="11">
        <v>0.15</v>
      </c>
      <c r="AX21" s="11">
        <v>0.14560000000000001</v>
      </c>
      <c r="AY21" s="10">
        <v>1225962920.9200001</v>
      </c>
      <c r="AZ21" s="11">
        <v>1.8435865896200001E-3</v>
      </c>
      <c r="BA21" s="11">
        <v>0.15</v>
      </c>
      <c r="BB21" s="11">
        <v>0.1482</v>
      </c>
    </row>
    <row r="22" spans="1:56" s="7" customFormat="1">
      <c r="A22" s="3" t="s">
        <v>38</v>
      </c>
      <c r="B22" s="31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>
        <v>30170477.370000001</v>
      </c>
      <c r="H22" s="1">
        <v>1</v>
      </c>
      <c r="I22" s="1" t="s">
        <v>26</v>
      </c>
      <c r="J22" s="1" t="s">
        <v>26</v>
      </c>
      <c r="K22" s="2">
        <v>30123223.289999999</v>
      </c>
      <c r="L22" s="1">
        <v>1</v>
      </c>
      <c r="M22" s="1" t="s">
        <v>26</v>
      </c>
      <c r="N22" s="1" t="s">
        <v>26</v>
      </c>
      <c r="O22" s="2">
        <v>553552436.03999996</v>
      </c>
      <c r="P22" s="1">
        <v>1</v>
      </c>
      <c r="Q22" s="1" t="s">
        <v>26</v>
      </c>
      <c r="R22" s="1" t="s">
        <v>26</v>
      </c>
      <c r="S22" s="2">
        <v>324581443.91000003</v>
      </c>
      <c r="T22" s="1">
        <v>1</v>
      </c>
      <c r="U22" s="1" t="s">
        <v>26</v>
      </c>
      <c r="V22" s="1" t="s">
        <v>26</v>
      </c>
      <c r="W22" s="2">
        <v>99189261.730000004</v>
      </c>
      <c r="X22" s="1">
        <v>1</v>
      </c>
      <c r="Y22" s="1" t="s">
        <v>26</v>
      </c>
      <c r="Z22" s="1" t="s">
        <v>26</v>
      </c>
      <c r="AA22" s="2" t="s">
        <v>26</v>
      </c>
      <c r="AB22" s="1" t="s">
        <v>26</v>
      </c>
      <c r="AC22" s="1" t="s">
        <v>26</v>
      </c>
      <c r="AD22" s="1" t="s">
        <v>26</v>
      </c>
      <c r="AE22" s="2">
        <v>1037616842.34</v>
      </c>
      <c r="AF22" s="1">
        <v>1</v>
      </c>
      <c r="AG22" s="1" t="s">
        <v>26</v>
      </c>
      <c r="AH22" s="1" t="s">
        <v>26</v>
      </c>
      <c r="AI22" s="2">
        <v>8345961.2599999998</v>
      </c>
      <c r="AJ22" s="1">
        <v>1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>
        <v>8345961.2599999998</v>
      </c>
      <c r="AR22" s="1">
        <v>1</v>
      </c>
      <c r="AS22" s="1" t="s">
        <v>26</v>
      </c>
      <c r="AT22" s="1" t="s">
        <v>26</v>
      </c>
      <c r="AU22" s="2">
        <v>180000117.31999999</v>
      </c>
      <c r="AV22" s="1">
        <v>1</v>
      </c>
      <c r="AW22" s="1" t="s">
        <v>26</v>
      </c>
      <c r="AX22" s="1" t="s">
        <v>26</v>
      </c>
      <c r="AY22" s="2">
        <v>1225962920.9200001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42</v>
      </c>
      <c r="B23" s="24" t="s">
        <v>25</v>
      </c>
      <c r="C23" s="10">
        <v>150015069.47999999</v>
      </c>
      <c r="D23" s="11">
        <v>2.7738815387879999E-2</v>
      </c>
      <c r="E23" s="11">
        <v>0.13500000000000001</v>
      </c>
      <c r="F23" s="11">
        <v>0.10730000000000001</v>
      </c>
      <c r="G23" s="10" t="s">
        <v>26</v>
      </c>
      <c r="H23" s="11" t="s">
        <v>26</v>
      </c>
      <c r="I23" s="11" t="s">
        <v>26</v>
      </c>
      <c r="J23" s="11" t="s">
        <v>26</v>
      </c>
      <c r="K23" s="10">
        <v>10055534.199999999</v>
      </c>
      <c r="L23" s="11">
        <v>3.8629200127400002E-3</v>
      </c>
      <c r="M23" s="11">
        <v>0.13500000000000001</v>
      </c>
      <c r="N23" s="11">
        <v>0.13109999999999999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10" t="s">
        <v>26</v>
      </c>
      <c r="X23" s="11" t="s">
        <v>26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160070603.68000001</v>
      </c>
      <c r="AF23" s="11">
        <v>2.7375859410000002E-4</v>
      </c>
      <c r="AG23" s="11">
        <v>0.13500000000000001</v>
      </c>
      <c r="AH23" s="11">
        <v>0.13469999999999999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10">
        <v>160070603.68000001</v>
      </c>
      <c r="AZ23" s="11">
        <v>2.4071202587000001E-4</v>
      </c>
      <c r="BA23" s="11">
        <v>0.13500000000000001</v>
      </c>
      <c r="BB23" s="11">
        <v>0.1348</v>
      </c>
    </row>
    <row r="24" spans="1:56" s="7" customFormat="1">
      <c r="A24" s="3" t="s">
        <v>38</v>
      </c>
      <c r="B24" s="31" t="s">
        <v>43</v>
      </c>
      <c r="C24" s="2">
        <v>150015069.47999999</v>
      </c>
      <c r="D24" s="1">
        <v>1</v>
      </c>
      <c r="E24" s="1" t="s">
        <v>26</v>
      </c>
      <c r="F24" s="1" t="s">
        <v>26</v>
      </c>
      <c r="G24" s="2" t="s">
        <v>26</v>
      </c>
      <c r="H24" s="1" t="s">
        <v>26</v>
      </c>
      <c r="I24" s="1" t="s">
        <v>26</v>
      </c>
      <c r="J24" s="1" t="s">
        <v>26</v>
      </c>
      <c r="K24" s="2">
        <v>10055534.199999999</v>
      </c>
      <c r="L24" s="1">
        <v>1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160070603.68000001</v>
      </c>
      <c r="AF24" s="1">
        <v>1</v>
      </c>
      <c r="AG24" s="1" t="s">
        <v>26</v>
      </c>
      <c r="AH24" s="1" t="s">
        <v>26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2">
        <v>160070603.68000001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44</v>
      </c>
      <c r="B25" s="24" t="s">
        <v>25</v>
      </c>
      <c r="C25" s="10">
        <v>20460964.600000001</v>
      </c>
      <c r="D25" s="11">
        <v>3.78337270825E-3</v>
      </c>
      <c r="E25" s="11">
        <v>0.13500000000000001</v>
      </c>
      <c r="F25" s="11">
        <v>0.13120000000000001</v>
      </c>
      <c r="G25" s="10">
        <v>1278810287.5</v>
      </c>
      <c r="H25" s="11">
        <v>9.3070459981899993E-3</v>
      </c>
      <c r="I25" s="11">
        <v>0.13500000000000001</v>
      </c>
      <c r="J25" s="11">
        <v>0.12570000000000001</v>
      </c>
      <c r="K25" s="10" t="s">
        <v>26</v>
      </c>
      <c r="L25" s="11" t="s">
        <v>26</v>
      </c>
      <c r="M25" s="11" t="s">
        <v>26</v>
      </c>
      <c r="N25" s="11" t="s">
        <v>26</v>
      </c>
      <c r="O25" s="10">
        <v>3775934442.1500001</v>
      </c>
      <c r="P25" s="11">
        <v>1.8449579404509999E-2</v>
      </c>
      <c r="Q25" s="11">
        <v>0.1449</v>
      </c>
      <c r="R25" s="11">
        <v>0.1265</v>
      </c>
      <c r="S25" s="10">
        <v>1396002724.4000001</v>
      </c>
      <c r="T25" s="11">
        <v>1.357752428286E-2</v>
      </c>
      <c r="U25" s="11">
        <v>0.14230000000000001</v>
      </c>
      <c r="V25" s="11">
        <v>0.12870000000000001</v>
      </c>
      <c r="W25" s="10">
        <v>211859387.18000001</v>
      </c>
      <c r="X25" s="11">
        <v>3.647615336447E-2</v>
      </c>
      <c r="Y25" s="11">
        <v>0.15</v>
      </c>
      <c r="Z25" s="11">
        <v>0.1135</v>
      </c>
      <c r="AA25" s="10">
        <v>3405747467.4000001</v>
      </c>
      <c r="AB25" s="11">
        <v>2.7026922643949999E-2</v>
      </c>
      <c r="AC25" s="11">
        <v>0.05</v>
      </c>
      <c r="AD25" s="11">
        <v>2.3E-2</v>
      </c>
      <c r="AE25" s="10">
        <v>10088815273.23</v>
      </c>
      <c r="AF25" s="11">
        <v>1.7254260444339999E-2</v>
      </c>
      <c r="AG25" s="11">
        <v>0.1434</v>
      </c>
      <c r="AH25" s="11">
        <v>0.12609999999999999</v>
      </c>
      <c r="AI25" s="10">
        <v>112223221.61</v>
      </c>
      <c r="AJ25" s="11">
        <v>7.0253549406999998E-3</v>
      </c>
      <c r="AK25" s="11">
        <v>0.15</v>
      </c>
      <c r="AL25" s="11">
        <v>0.14299999999999999</v>
      </c>
      <c r="AM25" s="10">
        <v>5560792.71</v>
      </c>
      <c r="AN25" s="11">
        <v>2.4073700220000001E-4</v>
      </c>
      <c r="AO25" s="11">
        <v>0.15</v>
      </c>
      <c r="AP25" s="11">
        <v>0.14979999999999999</v>
      </c>
      <c r="AQ25" s="10">
        <v>117784014.31999999</v>
      </c>
      <c r="AR25" s="11">
        <v>3.01445547681E-3</v>
      </c>
      <c r="AS25" s="11">
        <v>0.15</v>
      </c>
      <c r="AT25" s="11">
        <v>0.14699999999999999</v>
      </c>
      <c r="AU25" s="10">
        <v>1483011196.3699999</v>
      </c>
      <c r="AV25" s="11">
        <v>3.5995004881479997E-2</v>
      </c>
      <c r="AW25" s="11">
        <v>0.14430000000000001</v>
      </c>
      <c r="AX25" s="11">
        <v>0.10829999999999999</v>
      </c>
      <c r="AY25" s="10">
        <v>11689610483.92</v>
      </c>
      <c r="AZ25" s="11">
        <v>1.7578679386020001E-2</v>
      </c>
      <c r="BA25" s="11">
        <v>0.14360000000000001</v>
      </c>
      <c r="BB25" s="11">
        <v>0.126</v>
      </c>
    </row>
    <row r="26" spans="1:56" s="7" customFormat="1">
      <c r="A26" s="3" t="s">
        <v>36</v>
      </c>
      <c r="B26" s="31" t="s">
        <v>37</v>
      </c>
      <c r="C26" s="2">
        <v>20460964.600000001</v>
      </c>
      <c r="D26" s="1">
        <v>1</v>
      </c>
      <c r="E26" s="1" t="s">
        <v>26</v>
      </c>
      <c r="F26" s="1" t="s">
        <v>26</v>
      </c>
      <c r="G26" s="2">
        <v>1278810287.5</v>
      </c>
      <c r="H26" s="1">
        <v>1</v>
      </c>
      <c r="I26" s="1" t="s">
        <v>26</v>
      </c>
      <c r="J26" s="1" t="s">
        <v>26</v>
      </c>
      <c r="K26" s="2" t="s">
        <v>26</v>
      </c>
      <c r="L26" s="1" t="s">
        <v>26</v>
      </c>
      <c r="M26" s="1" t="s">
        <v>26</v>
      </c>
      <c r="N26" s="1" t="s">
        <v>26</v>
      </c>
      <c r="O26" s="2">
        <v>1278810287.5</v>
      </c>
      <c r="P26" s="1">
        <v>0.33867385864143001</v>
      </c>
      <c r="Q26" s="1" t="s">
        <v>26</v>
      </c>
      <c r="R26" s="1" t="s">
        <v>26</v>
      </c>
      <c r="S26" s="2">
        <v>716133761</v>
      </c>
      <c r="T26" s="1">
        <v>0.51298879900667005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>
        <v>1149906210.52</v>
      </c>
      <c r="AB26" s="1">
        <v>0.33763695679934003</v>
      </c>
      <c r="AC26" s="1" t="s">
        <v>26</v>
      </c>
      <c r="AD26" s="1" t="s">
        <v>26</v>
      </c>
      <c r="AE26" s="2">
        <v>4444121511.1199999</v>
      </c>
      <c r="AF26" s="1">
        <v>0.44049983974948997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>
        <v>562676526.5</v>
      </c>
      <c r="AV26" s="1">
        <v>0.37941488768074</v>
      </c>
      <c r="AW26" s="1" t="s">
        <v>26</v>
      </c>
      <c r="AX26" s="1" t="s">
        <v>26</v>
      </c>
      <c r="AY26" s="2">
        <v>5006798037.6199999</v>
      </c>
      <c r="AZ26" s="1">
        <v>0.42831179400779001</v>
      </c>
      <c r="BA26" s="1" t="s">
        <v>26</v>
      </c>
      <c r="BB26" s="1" t="s">
        <v>26</v>
      </c>
    </row>
    <row r="27" spans="1:56">
      <c r="A27" s="3" t="s">
        <v>38</v>
      </c>
      <c r="B27" s="31" t="s">
        <v>39</v>
      </c>
      <c r="C27" s="2" t="s">
        <v>26</v>
      </c>
      <c r="D27" s="1" t="s">
        <v>26</v>
      </c>
      <c r="E27" s="1" t="s">
        <v>26</v>
      </c>
      <c r="F27" s="1" t="s">
        <v>26</v>
      </c>
      <c r="G27" s="2" t="s">
        <v>26</v>
      </c>
      <c r="H27" s="1" t="s">
        <v>26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2497124154.6500001</v>
      </c>
      <c r="P27" s="1">
        <v>0.66132614135857004</v>
      </c>
      <c r="Q27" s="1" t="s">
        <v>26</v>
      </c>
      <c r="R27" s="1" t="s">
        <v>26</v>
      </c>
      <c r="S27" s="2">
        <v>679868963.39999998</v>
      </c>
      <c r="T27" s="1">
        <v>0.48701120099333001</v>
      </c>
      <c r="U27" s="1" t="s">
        <v>26</v>
      </c>
      <c r="V27" s="1" t="s">
        <v>26</v>
      </c>
      <c r="W27" s="2">
        <v>211859387.18000001</v>
      </c>
      <c r="X27" s="1">
        <v>1</v>
      </c>
      <c r="Y27" s="1" t="s">
        <v>26</v>
      </c>
      <c r="Z27" s="1" t="s">
        <v>26</v>
      </c>
      <c r="AA27" s="2">
        <v>2255841256.8800001</v>
      </c>
      <c r="AB27" s="1">
        <v>0.66236304320065997</v>
      </c>
      <c r="AC27" s="1" t="s">
        <v>26</v>
      </c>
      <c r="AD27" s="1" t="s">
        <v>26</v>
      </c>
      <c r="AE27" s="2">
        <v>5644693762.1099997</v>
      </c>
      <c r="AF27" s="1">
        <v>0.55950016025050997</v>
      </c>
      <c r="AG27" s="1" t="s">
        <v>26</v>
      </c>
      <c r="AH27" s="1" t="s">
        <v>26</v>
      </c>
      <c r="AI27" s="2">
        <v>112223221.61</v>
      </c>
      <c r="AJ27" s="1">
        <v>1</v>
      </c>
      <c r="AK27" s="1" t="s">
        <v>26</v>
      </c>
      <c r="AL27" s="1" t="s">
        <v>26</v>
      </c>
      <c r="AM27" s="2">
        <v>5560792.71</v>
      </c>
      <c r="AN27" s="1">
        <v>1</v>
      </c>
      <c r="AO27" s="1" t="s">
        <v>26</v>
      </c>
      <c r="AP27" s="1" t="s">
        <v>26</v>
      </c>
      <c r="AQ27" s="2">
        <v>117784014.31999999</v>
      </c>
      <c r="AR27" s="1">
        <v>1</v>
      </c>
      <c r="AS27" s="1" t="s">
        <v>26</v>
      </c>
      <c r="AT27" s="1" t="s">
        <v>26</v>
      </c>
      <c r="AU27" s="2">
        <v>920334669.87</v>
      </c>
      <c r="AV27" s="1">
        <v>0.62058511231925995</v>
      </c>
      <c r="AW27" s="1" t="s">
        <v>26</v>
      </c>
      <c r="AX27" s="1" t="s">
        <v>26</v>
      </c>
      <c r="AY27" s="2">
        <v>6682812446.3000002</v>
      </c>
      <c r="AZ27" s="1">
        <v>0.57168820599221004</v>
      </c>
      <c r="BA27" s="1" t="s">
        <v>26</v>
      </c>
      <c r="BB27" s="1" t="s">
        <v>26</v>
      </c>
    </row>
    <row r="28" spans="1:56" s="7" customFormat="1">
      <c r="A28" s="5" t="s">
        <v>45</v>
      </c>
      <c r="B28" s="24" t="s">
        <v>25</v>
      </c>
      <c r="C28" s="10">
        <v>32509012.899999999</v>
      </c>
      <c r="D28" s="11">
        <v>6.0111394835300003E-3</v>
      </c>
      <c r="E28" s="11">
        <v>0.09</v>
      </c>
      <c r="F28" s="11">
        <v>8.4000000000000005E-2</v>
      </c>
      <c r="G28" s="10">
        <v>39510954.140000001</v>
      </c>
      <c r="H28" s="11">
        <v>2.8755654470999999E-4</v>
      </c>
      <c r="I28" s="11">
        <v>0.09</v>
      </c>
      <c r="J28" s="11">
        <v>8.9700000000000002E-2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>
        <v>52054820.140000001</v>
      </c>
      <c r="T28" s="11">
        <v>5.0628524724999997E-4</v>
      </c>
      <c r="U28" s="11">
        <v>0.1134</v>
      </c>
      <c r="V28" s="11">
        <v>0.1129</v>
      </c>
      <c r="W28" s="10" t="s">
        <v>26</v>
      </c>
      <c r="X28" s="11" t="s">
        <v>26</v>
      </c>
      <c r="Y28" s="11" t="s">
        <v>26</v>
      </c>
      <c r="Z28" s="11" t="s">
        <v>26</v>
      </c>
      <c r="AA28" s="10">
        <v>35009706.200000003</v>
      </c>
      <c r="AB28" s="11">
        <v>2.7782583128000001E-4</v>
      </c>
      <c r="AC28" s="11">
        <v>0.09</v>
      </c>
      <c r="AD28" s="11">
        <v>8.9700000000000002E-2</v>
      </c>
      <c r="AE28" s="10">
        <v>159084493.38</v>
      </c>
      <c r="AF28" s="11">
        <v>2.7207211224E-4</v>
      </c>
      <c r="AG28" s="11">
        <v>9.7699999999999995E-2</v>
      </c>
      <c r="AH28" s="11">
        <v>9.74E-2</v>
      </c>
      <c r="AI28" s="10" t="s">
        <v>26</v>
      </c>
      <c r="AJ28" s="11" t="s">
        <v>26</v>
      </c>
      <c r="AK28" s="11" t="s">
        <v>26</v>
      </c>
      <c r="AL28" s="11" t="s">
        <v>26</v>
      </c>
      <c r="AM28" s="10">
        <v>91594182.349999994</v>
      </c>
      <c r="AN28" s="11">
        <v>3.9652815754899996E-3</v>
      </c>
      <c r="AO28" s="11">
        <v>0.13500000000000001</v>
      </c>
      <c r="AP28" s="11">
        <v>0.13100000000000001</v>
      </c>
      <c r="AQ28" s="10">
        <v>91594182.349999994</v>
      </c>
      <c r="AR28" s="11">
        <v>2.3441770619200002E-3</v>
      </c>
      <c r="AS28" s="11">
        <v>0.13500000000000001</v>
      </c>
      <c r="AT28" s="11">
        <v>0.13270000000000001</v>
      </c>
      <c r="AU28" s="10" t="s">
        <v>26</v>
      </c>
      <c r="AV28" s="11" t="s">
        <v>26</v>
      </c>
      <c r="AW28" s="11" t="s">
        <v>26</v>
      </c>
      <c r="AX28" s="11" t="s">
        <v>26</v>
      </c>
      <c r="AY28" s="10">
        <v>250678675.72999999</v>
      </c>
      <c r="AZ28" s="11">
        <v>3.7696722876999998E-4</v>
      </c>
      <c r="BA28" s="11">
        <v>0.1113</v>
      </c>
      <c r="BB28" s="11">
        <v>0.1109</v>
      </c>
    </row>
    <row r="29" spans="1:56" s="7" customFormat="1">
      <c r="A29" s="3" t="s">
        <v>36</v>
      </c>
      <c r="B29" s="31" t="s">
        <v>46</v>
      </c>
      <c r="C29" s="2">
        <v>32509012.899999999</v>
      </c>
      <c r="D29" s="1">
        <v>1</v>
      </c>
      <c r="E29" s="1" t="s">
        <v>26</v>
      </c>
      <c r="F29" s="1" t="s">
        <v>26</v>
      </c>
      <c r="G29" s="2">
        <v>39510954.140000001</v>
      </c>
      <c r="H29" s="1">
        <v>1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2">
        <v>25006933</v>
      </c>
      <c r="T29" s="1">
        <v>0.48039610804041999</v>
      </c>
      <c r="U29" s="1" t="s">
        <v>26</v>
      </c>
      <c r="V29" s="1" t="s">
        <v>26</v>
      </c>
      <c r="W29" s="2" t="s">
        <v>26</v>
      </c>
      <c r="X29" s="1" t="s">
        <v>26</v>
      </c>
      <c r="Y29" s="1" t="s">
        <v>26</v>
      </c>
      <c r="Z29" s="1" t="s">
        <v>26</v>
      </c>
      <c r="AA29" s="2">
        <v>35009706.200000003</v>
      </c>
      <c r="AB29" s="1">
        <v>1</v>
      </c>
      <c r="AC29" s="1" t="s">
        <v>26</v>
      </c>
      <c r="AD29" s="1" t="s">
        <v>26</v>
      </c>
      <c r="AE29" s="2">
        <v>132036606.23999999</v>
      </c>
      <c r="AF29" s="1">
        <v>0.82997785286721004</v>
      </c>
      <c r="AG29" s="1" t="s">
        <v>26</v>
      </c>
      <c r="AH29" s="1" t="s">
        <v>26</v>
      </c>
      <c r="AI29" s="2" t="s">
        <v>26</v>
      </c>
      <c r="AJ29" s="1" t="s">
        <v>26</v>
      </c>
      <c r="AK29" s="1" t="s">
        <v>26</v>
      </c>
      <c r="AL29" s="1" t="s">
        <v>26</v>
      </c>
      <c r="AM29" s="2" t="s">
        <v>26</v>
      </c>
      <c r="AN29" s="1" t="s">
        <v>26</v>
      </c>
      <c r="AO29" s="1" t="s">
        <v>26</v>
      </c>
      <c r="AP29" s="1" t="s">
        <v>26</v>
      </c>
      <c r="AQ29" s="2" t="s">
        <v>26</v>
      </c>
      <c r="AR29" s="1" t="s">
        <v>26</v>
      </c>
      <c r="AS29" s="1" t="s">
        <v>26</v>
      </c>
      <c r="AT29" s="1" t="s">
        <v>26</v>
      </c>
      <c r="AU29" s="2" t="s">
        <v>26</v>
      </c>
      <c r="AV29" s="1" t="s">
        <v>26</v>
      </c>
      <c r="AW29" s="1" t="s">
        <v>26</v>
      </c>
      <c r="AX29" s="1" t="s">
        <v>26</v>
      </c>
      <c r="AY29" s="2">
        <v>132036606.23999999</v>
      </c>
      <c r="AZ29" s="1">
        <v>0.52671654601452</v>
      </c>
      <c r="BA29" s="1" t="s">
        <v>26</v>
      </c>
      <c r="BB29" s="1" t="s">
        <v>26</v>
      </c>
    </row>
    <row r="30" spans="1:56">
      <c r="A30" s="3" t="s">
        <v>38</v>
      </c>
      <c r="B30" s="31" t="s">
        <v>43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27047887.140000001</v>
      </c>
      <c r="T30" s="1">
        <v>0.51960389195958001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27047887.140000001</v>
      </c>
      <c r="AF30" s="1">
        <v>0.17002214713279001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91594182.349999994</v>
      </c>
      <c r="AN30" s="1">
        <v>1</v>
      </c>
      <c r="AO30" s="1" t="s">
        <v>26</v>
      </c>
      <c r="AP30" s="1" t="s">
        <v>26</v>
      </c>
      <c r="AQ30" s="2">
        <v>91594182.349999994</v>
      </c>
      <c r="AR30" s="1">
        <v>1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118642069.48999999</v>
      </c>
      <c r="AZ30" s="1">
        <v>0.47328345398548</v>
      </c>
      <c r="BA30" s="1" t="s">
        <v>26</v>
      </c>
      <c r="BB30" s="1" t="s">
        <v>26</v>
      </c>
    </row>
    <row r="31" spans="1:56" s="7" customFormat="1">
      <c r="A31" s="5" t="s">
        <v>47</v>
      </c>
      <c r="B31" s="24" t="s">
        <v>25</v>
      </c>
      <c r="C31" s="10" t="s">
        <v>26</v>
      </c>
      <c r="D31" s="11" t="s">
        <v>26</v>
      </c>
      <c r="E31" s="11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 t="s">
        <v>26</v>
      </c>
      <c r="L31" s="11" t="s">
        <v>26</v>
      </c>
      <c r="M31" s="11" t="s">
        <v>26</v>
      </c>
      <c r="N31" s="11" t="s">
        <v>26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>
        <v>5369542.4000000004</v>
      </c>
      <c r="AB31" s="11">
        <v>4.2610971149999997E-5</v>
      </c>
      <c r="AC31" s="11">
        <v>0.13500000000000001</v>
      </c>
      <c r="AD31" s="11">
        <v>0.13500000000000001</v>
      </c>
      <c r="AE31" s="10">
        <v>5369542.4000000004</v>
      </c>
      <c r="AF31" s="11">
        <v>9.18318757E-6</v>
      </c>
      <c r="AG31" s="11">
        <v>0.13500000000000001</v>
      </c>
      <c r="AH31" s="11">
        <v>0.13500000000000001</v>
      </c>
      <c r="AI31" s="10">
        <v>3016572.49</v>
      </c>
      <c r="AJ31" s="11">
        <v>1.8884231037999999E-4</v>
      </c>
      <c r="AK31" s="11">
        <v>0.13500000000000001</v>
      </c>
      <c r="AL31" s="11">
        <v>0.1348</v>
      </c>
      <c r="AM31" s="10" t="s">
        <v>26</v>
      </c>
      <c r="AN31" s="11" t="s">
        <v>26</v>
      </c>
      <c r="AO31" s="11" t="s">
        <v>26</v>
      </c>
      <c r="AP31" s="11" t="s">
        <v>26</v>
      </c>
      <c r="AQ31" s="10">
        <v>3016572.49</v>
      </c>
      <c r="AR31" s="11">
        <v>7.720337532E-5</v>
      </c>
      <c r="AS31" s="11">
        <v>0.13500000000000001</v>
      </c>
      <c r="AT31" s="11">
        <v>0.13489999999999999</v>
      </c>
      <c r="AU31" s="10" t="s">
        <v>26</v>
      </c>
      <c r="AV31" s="11" t="s">
        <v>26</v>
      </c>
      <c r="AW31" s="11" t="s">
        <v>26</v>
      </c>
      <c r="AX31" s="11" t="s">
        <v>26</v>
      </c>
      <c r="AY31" s="10">
        <v>8386114.8899999997</v>
      </c>
      <c r="AZ31" s="11">
        <v>1.261092704E-5</v>
      </c>
      <c r="BA31" s="11">
        <v>0.13500000000000001</v>
      </c>
      <c r="BB31" s="11">
        <v>0.13500000000000001</v>
      </c>
    </row>
    <row r="32" spans="1:56" s="7" customFormat="1">
      <c r="A32" s="3" t="s">
        <v>38</v>
      </c>
      <c r="B32" s="31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 t="s">
        <v>26</v>
      </c>
      <c r="L32" s="1" t="s">
        <v>26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>
        <v>5369542.4000000004</v>
      </c>
      <c r="AB32" s="1">
        <v>1</v>
      </c>
      <c r="AC32" s="1" t="s">
        <v>26</v>
      </c>
      <c r="AD32" s="1" t="s">
        <v>26</v>
      </c>
      <c r="AE32" s="2">
        <v>5369542.4000000004</v>
      </c>
      <c r="AF32" s="1">
        <v>1</v>
      </c>
      <c r="AG32" s="1" t="s">
        <v>26</v>
      </c>
      <c r="AH32" s="1" t="s">
        <v>26</v>
      </c>
      <c r="AI32" s="2">
        <v>3016572.49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3016572.49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8386114.8899999997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48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36392414.060000002</v>
      </c>
      <c r="L33" s="11">
        <v>1.3980459097259999E-2</v>
      </c>
      <c r="M33" s="11">
        <v>0.13500000000000001</v>
      </c>
      <c r="N33" s="11">
        <v>0.121</v>
      </c>
      <c r="O33" s="10" t="s">
        <v>26</v>
      </c>
      <c r="P33" s="11" t="s">
        <v>26</v>
      </c>
      <c r="Q33" s="11" t="s">
        <v>26</v>
      </c>
      <c r="R33" s="11" t="s">
        <v>26</v>
      </c>
      <c r="S33" s="10">
        <v>103353266.13</v>
      </c>
      <c r="T33" s="11">
        <v>1.0052139985599999E-3</v>
      </c>
      <c r="U33" s="11">
        <v>0.13500000000000001</v>
      </c>
      <c r="V33" s="11">
        <v>0.13400000000000001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>
        <v>69756353.019999996</v>
      </c>
      <c r="AB33" s="11">
        <v>5.5356410744999995E-4</v>
      </c>
      <c r="AC33" s="11">
        <v>0.13500000000000001</v>
      </c>
      <c r="AD33" s="11">
        <v>0.13439999999999999</v>
      </c>
      <c r="AE33" s="10">
        <v>209502033.21000001</v>
      </c>
      <c r="AF33" s="11">
        <v>3.5829803070999998E-4</v>
      </c>
      <c r="AG33" s="11">
        <v>0.13500000000000001</v>
      </c>
      <c r="AH33" s="11">
        <v>0.1346</v>
      </c>
      <c r="AI33" s="10" t="s">
        <v>26</v>
      </c>
      <c r="AJ33" s="11" t="s">
        <v>26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 t="s">
        <v>26</v>
      </c>
      <c r="AR33" s="11" t="s">
        <v>26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209502033.21000001</v>
      </c>
      <c r="AZ33" s="11">
        <v>3.1504634629000002E-4</v>
      </c>
      <c r="BA33" s="11">
        <v>0.13500000000000001</v>
      </c>
      <c r="BB33" s="11">
        <v>0.13469999999999999</v>
      </c>
    </row>
    <row r="34" spans="1:54" s="7" customFormat="1">
      <c r="A34" s="3" t="s">
        <v>38</v>
      </c>
      <c r="B34" s="31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36392414.060000002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103353266.13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69756353.019999996</v>
      </c>
      <c r="AB34" s="1">
        <v>1</v>
      </c>
      <c r="AC34" s="1" t="s">
        <v>26</v>
      </c>
      <c r="AD34" s="1" t="s">
        <v>26</v>
      </c>
      <c r="AE34" s="2">
        <v>209502033.21000001</v>
      </c>
      <c r="AF34" s="1">
        <v>1</v>
      </c>
      <c r="AG34" s="1" t="s">
        <v>26</v>
      </c>
      <c r="AH34" s="1" t="s">
        <v>26</v>
      </c>
      <c r="AI34" s="2" t="s">
        <v>26</v>
      </c>
      <c r="AJ34" s="1" t="s">
        <v>26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 t="s">
        <v>26</v>
      </c>
      <c r="AR34" s="1" t="s">
        <v>26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209502033.21000001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49</v>
      </c>
      <c r="B35" s="24" t="s">
        <v>25</v>
      </c>
      <c r="C35" s="10">
        <v>8681093.6099999994</v>
      </c>
      <c r="D35" s="11">
        <v>1.6051937571800001E-3</v>
      </c>
      <c r="E35" s="11">
        <v>0.13500000000000001</v>
      </c>
      <c r="F35" s="11">
        <v>0.13339999999999999</v>
      </c>
      <c r="G35" s="10">
        <v>480949698.88</v>
      </c>
      <c r="H35" s="11">
        <v>3.5003010329600001E-3</v>
      </c>
      <c r="I35" s="11">
        <v>0.11070000000000001</v>
      </c>
      <c r="J35" s="11">
        <v>0.1072</v>
      </c>
      <c r="K35" s="10">
        <v>29704311.5</v>
      </c>
      <c r="L35" s="11">
        <v>1.141116693312E-2</v>
      </c>
      <c r="M35" s="11">
        <v>0.13500000000000001</v>
      </c>
      <c r="N35" s="11">
        <v>0.1236</v>
      </c>
      <c r="O35" s="10">
        <v>1716762298.8699999</v>
      </c>
      <c r="P35" s="11">
        <v>8.3882659609000008E-3</v>
      </c>
      <c r="Q35" s="11">
        <v>0.1206</v>
      </c>
      <c r="R35" s="11">
        <v>0.11219999999999999</v>
      </c>
      <c r="S35" s="10">
        <v>503071179.51999998</v>
      </c>
      <c r="T35" s="11">
        <v>4.8928709353900004E-3</v>
      </c>
      <c r="U35" s="11">
        <v>0.13500000000000001</v>
      </c>
      <c r="V35" s="11">
        <v>0.13009999999999999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549983005.78999996</v>
      </c>
      <c r="AB35" s="11">
        <v>4.36448923335E-3</v>
      </c>
      <c r="AC35" s="11">
        <v>0.09</v>
      </c>
      <c r="AD35" s="11">
        <v>8.5599999999999996E-2</v>
      </c>
      <c r="AE35" s="10">
        <v>3289151588.1700001</v>
      </c>
      <c r="AF35" s="11">
        <v>5.6252272052000002E-3</v>
      </c>
      <c r="AG35" s="11">
        <v>0.1164</v>
      </c>
      <c r="AH35" s="11">
        <v>0.1108</v>
      </c>
      <c r="AI35" s="10">
        <v>50796176.5</v>
      </c>
      <c r="AJ35" s="11">
        <v>3.17992269713E-3</v>
      </c>
      <c r="AK35" s="11">
        <v>0.09</v>
      </c>
      <c r="AL35" s="11">
        <v>8.6800000000000002E-2</v>
      </c>
      <c r="AM35" s="10">
        <v>2154995780.9000001</v>
      </c>
      <c r="AN35" s="11">
        <v>9.3293753446149999E-2</v>
      </c>
      <c r="AO35" s="11">
        <v>0.13500000000000001</v>
      </c>
      <c r="AP35" s="11">
        <v>4.1700000000000001E-2</v>
      </c>
      <c r="AQ35" s="10">
        <v>2205791957.4000001</v>
      </c>
      <c r="AR35" s="11">
        <v>5.6453005826690002E-2</v>
      </c>
      <c r="AS35" s="11">
        <v>0.13400000000000001</v>
      </c>
      <c r="AT35" s="11">
        <v>7.7499999999999999E-2</v>
      </c>
      <c r="AU35" s="10">
        <v>219261964.90000001</v>
      </c>
      <c r="AV35" s="11">
        <v>5.3218313632500003E-3</v>
      </c>
      <c r="AW35" s="11">
        <v>0.13500000000000001</v>
      </c>
      <c r="AX35" s="11">
        <v>0.12970000000000001</v>
      </c>
      <c r="AY35" s="10">
        <v>5714205510.4700003</v>
      </c>
      <c r="AZ35" s="11">
        <v>8.5929455692799993E-3</v>
      </c>
      <c r="BA35" s="11">
        <v>0.1239</v>
      </c>
      <c r="BB35" s="11">
        <v>0.1153</v>
      </c>
    </row>
    <row r="36" spans="1:54" s="7" customFormat="1">
      <c r="A36" s="3" t="s">
        <v>36</v>
      </c>
      <c r="B36" s="31" t="s">
        <v>46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260098725.34999999</v>
      </c>
      <c r="H36" s="1">
        <v>0.54080234576650998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549983005.78999996</v>
      </c>
      <c r="P36" s="1">
        <v>0.32036060330075999</v>
      </c>
      <c r="Q36" s="1" t="s">
        <v>26</v>
      </c>
      <c r="R36" s="1" t="s">
        <v>26</v>
      </c>
      <c r="S36" s="2" t="s">
        <v>26</v>
      </c>
      <c r="T36" s="1" t="s">
        <v>26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549983005.78999996</v>
      </c>
      <c r="AB36" s="1">
        <v>1</v>
      </c>
      <c r="AC36" s="1" t="s">
        <v>26</v>
      </c>
      <c r="AD36" s="1" t="s">
        <v>26</v>
      </c>
      <c r="AE36" s="2">
        <v>1360064736.9300001</v>
      </c>
      <c r="AF36" s="1">
        <v>0.41350016880392998</v>
      </c>
      <c r="AG36" s="1" t="s">
        <v>26</v>
      </c>
      <c r="AH36" s="1" t="s">
        <v>26</v>
      </c>
      <c r="AI36" s="2">
        <v>50796176.5</v>
      </c>
      <c r="AJ36" s="1">
        <v>1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50796176.5</v>
      </c>
      <c r="AR36" s="1">
        <v>2.3028543707210001E-2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1410860913.4300001</v>
      </c>
      <c r="AZ36" s="1">
        <v>0.24690412531452</v>
      </c>
      <c r="BA36" s="1" t="s">
        <v>26</v>
      </c>
      <c r="BB36" s="1" t="s">
        <v>26</v>
      </c>
    </row>
    <row r="37" spans="1:54">
      <c r="A37" s="3" t="s">
        <v>38</v>
      </c>
      <c r="B37" s="31" t="s">
        <v>43</v>
      </c>
      <c r="C37" s="2">
        <v>8681093.6099999994</v>
      </c>
      <c r="D37" s="1">
        <v>1</v>
      </c>
      <c r="E37" s="1" t="s">
        <v>26</v>
      </c>
      <c r="F37" s="1" t="s">
        <v>26</v>
      </c>
      <c r="G37" s="2">
        <v>220850973.53</v>
      </c>
      <c r="H37" s="1">
        <v>0.45919765423349002</v>
      </c>
      <c r="I37" s="1" t="s">
        <v>26</v>
      </c>
      <c r="J37" s="1" t="s">
        <v>26</v>
      </c>
      <c r="K37" s="2">
        <v>29704311.5</v>
      </c>
      <c r="L37" s="1">
        <v>1</v>
      </c>
      <c r="M37" s="1" t="s">
        <v>26</v>
      </c>
      <c r="N37" s="1" t="s">
        <v>26</v>
      </c>
      <c r="O37" s="2">
        <v>1166779293.0799999</v>
      </c>
      <c r="P37" s="1">
        <v>0.67963939669924001</v>
      </c>
      <c r="Q37" s="1" t="s">
        <v>26</v>
      </c>
      <c r="R37" s="1" t="s">
        <v>26</v>
      </c>
      <c r="S37" s="2">
        <v>503071179.51999998</v>
      </c>
      <c r="T37" s="1">
        <v>1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1929086851.24</v>
      </c>
      <c r="AF37" s="1">
        <v>0.58649983119606997</v>
      </c>
      <c r="AG37" s="1" t="s">
        <v>26</v>
      </c>
      <c r="AH37" s="1" t="s">
        <v>26</v>
      </c>
      <c r="AI37" s="2" t="s">
        <v>26</v>
      </c>
      <c r="AJ37" s="1" t="s">
        <v>26</v>
      </c>
      <c r="AK37" s="1" t="s">
        <v>26</v>
      </c>
      <c r="AL37" s="1" t="s">
        <v>26</v>
      </c>
      <c r="AM37" s="2">
        <v>2154995780.9000001</v>
      </c>
      <c r="AN37" s="1">
        <v>1</v>
      </c>
      <c r="AO37" s="1" t="s">
        <v>26</v>
      </c>
      <c r="AP37" s="1" t="s">
        <v>26</v>
      </c>
      <c r="AQ37" s="2">
        <v>2154995780.9000001</v>
      </c>
      <c r="AR37" s="1">
        <v>0.97697145629279003</v>
      </c>
      <c r="AS37" s="1" t="s">
        <v>26</v>
      </c>
      <c r="AT37" s="1" t="s">
        <v>26</v>
      </c>
      <c r="AU37" s="2">
        <v>219261964.90000001</v>
      </c>
      <c r="AV37" s="1">
        <v>1</v>
      </c>
      <c r="AW37" s="1" t="s">
        <v>26</v>
      </c>
      <c r="AX37" s="1" t="s">
        <v>26</v>
      </c>
      <c r="AY37" s="2">
        <v>4303344597.04</v>
      </c>
      <c r="AZ37" s="1">
        <v>0.75309587468548</v>
      </c>
      <c r="BA37" s="1" t="s">
        <v>26</v>
      </c>
      <c r="BB37" s="1" t="s">
        <v>26</v>
      </c>
    </row>
    <row r="38" spans="1:54" s="7" customFormat="1">
      <c r="A38" s="5" t="s">
        <v>50</v>
      </c>
      <c r="B38" s="24" t="s">
        <v>25</v>
      </c>
      <c r="C38" s="10" t="s">
        <v>26</v>
      </c>
      <c r="D38" s="11" t="s">
        <v>26</v>
      </c>
      <c r="E38" s="11" t="s">
        <v>26</v>
      </c>
      <c r="F38" s="11" t="s">
        <v>26</v>
      </c>
      <c r="G38" s="10" t="s">
        <v>26</v>
      </c>
      <c r="H38" s="11" t="s">
        <v>26</v>
      </c>
      <c r="I38" s="11" t="s">
        <v>26</v>
      </c>
      <c r="J38" s="11" t="s">
        <v>26</v>
      </c>
      <c r="K38" s="10" t="s">
        <v>26</v>
      </c>
      <c r="L38" s="11" t="s">
        <v>26</v>
      </c>
      <c r="M38" s="11" t="s">
        <v>26</v>
      </c>
      <c r="N38" s="11" t="s">
        <v>26</v>
      </c>
      <c r="O38" s="10">
        <v>101552892.78</v>
      </c>
      <c r="P38" s="11">
        <v>4.9619721629E-4</v>
      </c>
      <c r="Q38" s="11">
        <v>0.13500000000000001</v>
      </c>
      <c r="R38" s="11">
        <v>0.13450000000000001</v>
      </c>
      <c r="S38" s="10">
        <v>350138854.86000001</v>
      </c>
      <c r="T38" s="11">
        <v>3.4054509501600001E-3</v>
      </c>
      <c r="U38" s="11">
        <v>0.13500000000000001</v>
      </c>
      <c r="V38" s="11">
        <v>0.13159999999999999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10">
        <v>451691747.63999999</v>
      </c>
      <c r="AF38" s="11">
        <v>7.7249972799000005E-4</v>
      </c>
      <c r="AG38" s="11">
        <v>0.13500000000000001</v>
      </c>
      <c r="AH38" s="11">
        <v>0.13420000000000001</v>
      </c>
      <c r="AI38" s="10">
        <v>83247267.549999997</v>
      </c>
      <c r="AJ38" s="11">
        <v>5.2114134132999999E-3</v>
      </c>
      <c r="AK38" s="11">
        <v>0.13500000000000001</v>
      </c>
      <c r="AL38" s="11">
        <v>0.1298</v>
      </c>
      <c r="AM38" s="10" t="s">
        <v>26</v>
      </c>
      <c r="AN38" s="11" t="s">
        <v>26</v>
      </c>
      <c r="AO38" s="11" t="s">
        <v>26</v>
      </c>
      <c r="AP38" s="11" t="s">
        <v>26</v>
      </c>
      <c r="AQ38" s="10">
        <v>83247267.549999997</v>
      </c>
      <c r="AR38" s="11">
        <v>2.1305538195899999E-3</v>
      </c>
      <c r="AS38" s="11">
        <v>0.13500000000000001</v>
      </c>
      <c r="AT38" s="11">
        <v>0.13289999999999999</v>
      </c>
      <c r="AU38" s="10">
        <v>54480222.5</v>
      </c>
      <c r="AV38" s="11">
        <v>1.3223203436600001E-3</v>
      </c>
      <c r="AW38" s="11">
        <v>0.13500000000000001</v>
      </c>
      <c r="AX38" s="11">
        <v>0.13370000000000001</v>
      </c>
      <c r="AY38" s="10">
        <v>589419237.69000006</v>
      </c>
      <c r="AZ38" s="11">
        <v>8.8636074038000003E-4</v>
      </c>
      <c r="BA38" s="11">
        <v>0.13500000000000001</v>
      </c>
      <c r="BB38" s="11">
        <v>0.1341</v>
      </c>
    </row>
    <row r="39" spans="1:54" s="7" customFormat="1">
      <c r="A39" s="3" t="s">
        <v>38</v>
      </c>
      <c r="B39" s="31" t="s">
        <v>43</v>
      </c>
      <c r="C39" s="2" t="s">
        <v>26</v>
      </c>
      <c r="D39" s="1" t="s">
        <v>26</v>
      </c>
      <c r="E39" s="1" t="s">
        <v>26</v>
      </c>
      <c r="F39" s="1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101552892.78</v>
      </c>
      <c r="P39" s="1">
        <v>1</v>
      </c>
      <c r="Q39" s="1" t="s">
        <v>26</v>
      </c>
      <c r="R39" s="1" t="s">
        <v>26</v>
      </c>
      <c r="S39" s="2">
        <v>350138854.86000001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451691747.63999999</v>
      </c>
      <c r="AF39" s="1">
        <v>1</v>
      </c>
      <c r="AG39" s="1" t="s">
        <v>26</v>
      </c>
      <c r="AH39" s="1" t="s">
        <v>26</v>
      </c>
      <c r="AI39" s="2">
        <v>83247267.549999997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83247267.549999997</v>
      </c>
      <c r="AR39" s="1">
        <v>1</v>
      </c>
      <c r="AS39" s="1" t="s">
        <v>26</v>
      </c>
      <c r="AT39" s="1" t="s">
        <v>26</v>
      </c>
      <c r="AU39" s="2">
        <v>54480222.5</v>
      </c>
      <c r="AV39" s="1">
        <v>1</v>
      </c>
      <c r="AW39" s="1" t="s">
        <v>26</v>
      </c>
      <c r="AX39" s="1" t="s">
        <v>26</v>
      </c>
      <c r="AY39" s="2">
        <v>589419237.69000006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51</v>
      </c>
      <c r="B40" s="24" t="s">
        <v>25</v>
      </c>
      <c r="C40" s="10">
        <v>24642851.98</v>
      </c>
      <c r="D40" s="11">
        <v>4.5566323708300001E-3</v>
      </c>
      <c r="E40" s="11">
        <v>0.13500000000000001</v>
      </c>
      <c r="F40" s="11">
        <v>0.13039999999999999</v>
      </c>
      <c r="G40" s="10">
        <v>2704398257</v>
      </c>
      <c r="H40" s="11">
        <v>1.9682324439639999E-2</v>
      </c>
      <c r="I40" s="11">
        <v>0.13500000000000001</v>
      </c>
      <c r="J40" s="11">
        <v>0.1153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5624245630.8500004</v>
      </c>
      <c r="P40" s="11">
        <v>2.748060591267E-2</v>
      </c>
      <c r="Q40" s="11">
        <v>0.05</v>
      </c>
      <c r="R40" s="11">
        <v>2.2499999999999999E-2</v>
      </c>
      <c r="S40" s="10">
        <v>8089785891.5900002</v>
      </c>
      <c r="T40" s="11">
        <v>7.868126792763E-2</v>
      </c>
      <c r="U40" s="11">
        <v>0.14599999999999999</v>
      </c>
      <c r="V40" s="11">
        <v>6.7299999999999999E-2</v>
      </c>
      <c r="W40" s="10">
        <v>615706626.11000001</v>
      </c>
      <c r="X40" s="11">
        <v>0.10600714757295999</v>
      </c>
      <c r="Y40" s="11">
        <v>0.15</v>
      </c>
      <c r="Z40" s="11">
        <v>4.3999999999999997E-2</v>
      </c>
      <c r="AA40" s="10">
        <v>3991488972.6199999</v>
      </c>
      <c r="AB40" s="11">
        <v>3.1675179892160003E-2</v>
      </c>
      <c r="AC40" s="11">
        <v>0.1351</v>
      </c>
      <c r="AD40" s="11">
        <v>0.10340000000000001</v>
      </c>
      <c r="AE40" s="10">
        <v>21050268230.150002</v>
      </c>
      <c r="AF40" s="11">
        <v>3.600093773449E-2</v>
      </c>
      <c r="AG40" s="11">
        <v>0.14030000000000001</v>
      </c>
      <c r="AH40" s="11">
        <v>0.1043</v>
      </c>
      <c r="AI40" s="10">
        <v>879213354.52999997</v>
      </c>
      <c r="AJ40" s="11">
        <v>5.5040176137909999E-2</v>
      </c>
      <c r="AK40" s="11">
        <v>0.1459</v>
      </c>
      <c r="AL40" s="11">
        <v>9.0899999999999995E-2</v>
      </c>
      <c r="AM40" s="10">
        <v>642966490.99000001</v>
      </c>
      <c r="AN40" s="11">
        <v>2.783520868867E-2</v>
      </c>
      <c r="AO40" s="11">
        <v>0.15</v>
      </c>
      <c r="AP40" s="11">
        <v>0.1222</v>
      </c>
      <c r="AQ40" s="10">
        <v>1522179845.52</v>
      </c>
      <c r="AR40" s="11">
        <v>3.8957267660779997E-2</v>
      </c>
      <c r="AS40" s="11">
        <v>0.14760000000000001</v>
      </c>
      <c r="AT40" s="11">
        <v>0.1086</v>
      </c>
      <c r="AU40" s="10">
        <v>1961801419.8399999</v>
      </c>
      <c r="AV40" s="11">
        <v>4.7615993632730003E-2</v>
      </c>
      <c r="AW40" s="11">
        <v>0.14149999999999999</v>
      </c>
      <c r="AX40" s="11">
        <v>9.3899999999999997E-2</v>
      </c>
      <c r="AY40" s="10">
        <v>24534249495.509998</v>
      </c>
      <c r="AZ40" s="11">
        <v>3.689427517294E-2</v>
      </c>
      <c r="BA40" s="11">
        <v>0.1409</v>
      </c>
      <c r="BB40" s="11">
        <v>0.104</v>
      </c>
    </row>
    <row r="41" spans="1:54" s="7" customFormat="1">
      <c r="A41" s="3" t="s">
        <v>36</v>
      </c>
      <c r="B41" s="31" t="s">
        <v>37</v>
      </c>
      <c r="C41" s="2">
        <v>24642851.98</v>
      </c>
      <c r="D41" s="1">
        <v>1</v>
      </c>
      <c r="E41" s="1" t="s">
        <v>26</v>
      </c>
      <c r="F41" s="1" t="s">
        <v>26</v>
      </c>
      <c r="G41" s="2">
        <v>2704398257</v>
      </c>
      <c r="H41" s="1">
        <v>1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4698509190.1800003</v>
      </c>
      <c r="P41" s="1">
        <v>0.83540255859520995</v>
      </c>
      <c r="Q41" s="1" t="s">
        <v>26</v>
      </c>
      <c r="R41" s="1" t="s">
        <v>26</v>
      </c>
      <c r="S41" s="2">
        <v>2164056287.0700002</v>
      </c>
      <c r="T41" s="1">
        <v>0.26750476663661998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3954960827.5</v>
      </c>
      <c r="AB41" s="1">
        <v>0.99084849153522003</v>
      </c>
      <c r="AC41" s="1" t="s">
        <v>26</v>
      </c>
      <c r="AD41" s="1" t="s">
        <v>26</v>
      </c>
      <c r="AE41" s="2">
        <v>13546567413.73</v>
      </c>
      <c r="AF41" s="1">
        <v>0.64353419470102002</v>
      </c>
      <c r="AG41" s="1" t="s">
        <v>26</v>
      </c>
      <c r="AH41" s="1" t="s">
        <v>26</v>
      </c>
      <c r="AI41" s="2">
        <v>240075002.19999999</v>
      </c>
      <c r="AJ41" s="1">
        <v>0.27305659196719001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240075002.19999999</v>
      </c>
      <c r="AR41" s="1">
        <v>0.15771789575757</v>
      </c>
      <c r="AS41" s="1" t="s">
        <v>26</v>
      </c>
      <c r="AT41" s="1" t="s">
        <v>26</v>
      </c>
      <c r="AU41" s="2">
        <v>1110013147.03</v>
      </c>
      <c r="AV41" s="1">
        <v>0.56581320402986002</v>
      </c>
      <c r="AW41" s="1" t="s">
        <v>26</v>
      </c>
      <c r="AX41" s="1" t="s">
        <v>26</v>
      </c>
      <c r="AY41" s="2">
        <v>14896655562.959999</v>
      </c>
      <c r="AZ41" s="1">
        <v>0.60717796016895997</v>
      </c>
      <c r="BA41" s="1" t="s">
        <v>26</v>
      </c>
      <c r="BB41" s="1" t="s">
        <v>26</v>
      </c>
    </row>
    <row r="42" spans="1:54">
      <c r="A42" s="3" t="s">
        <v>38</v>
      </c>
      <c r="B42" s="31" t="s">
        <v>39</v>
      </c>
      <c r="C42" s="2" t="s">
        <v>26</v>
      </c>
      <c r="D42" s="1" t="s">
        <v>26</v>
      </c>
      <c r="E42" s="1" t="s">
        <v>26</v>
      </c>
      <c r="F42" s="1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925736440.66999996</v>
      </c>
      <c r="P42" s="1">
        <v>0.16459744140478999</v>
      </c>
      <c r="Q42" s="1" t="s">
        <v>26</v>
      </c>
      <c r="R42" s="1" t="s">
        <v>26</v>
      </c>
      <c r="S42" s="2">
        <v>5925729604.5200005</v>
      </c>
      <c r="T42" s="1">
        <v>0.73249523336337996</v>
      </c>
      <c r="U42" s="1" t="s">
        <v>26</v>
      </c>
      <c r="V42" s="1" t="s">
        <v>26</v>
      </c>
      <c r="W42" s="2">
        <v>615706626.11000001</v>
      </c>
      <c r="X42" s="1">
        <v>1</v>
      </c>
      <c r="Y42" s="1" t="s">
        <v>26</v>
      </c>
      <c r="Z42" s="1" t="s">
        <v>26</v>
      </c>
      <c r="AA42" s="2">
        <v>36528145.119999997</v>
      </c>
      <c r="AB42" s="1">
        <v>9.1515084647800001E-3</v>
      </c>
      <c r="AC42" s="1" t="s">
        <v>26</v>
      </c>
      <c r="AD42" s="1" t="s">
        <v>26</v>
      </c>
      <c r="AE42" s="2">
        <v>7503700816.4200001</v>
      </c>
      <c r="AF42" s="1">
        <v>0.35646580529897998</v>
      </c>
      <c r="AG42" s="1" t="s">
        <v>26</v>
      </c>
      <c r="AH42" s="1" t="s">
        <v>26</v>
      </c>
      <c r="AI42" s="2">
        <v>639138352.33000004</v>
      </c>
      <c r="AJ42" s="1">
        <v>0.72694340803280999</v>
      </c>
      <c r="AK42" s="1" t="s">
        <v>26</v>
      </c>
      <c r="AL42" s="1" t="s">
        <v>26</v>
      </c>
      <c r="AM42" s="2">
        <v>642966490.99000001</v>
      </c>
      <c r="AN42" s="1">
        <v>1</v>
      </c>
      <c r="AO42" s="1" t="s">
        <v>26</v>
      </c>
      <c r="AP42" s="1" t="s">
        <v>26</v>
      </c>
      <c r="AQ42" s="2">
        <v>1282104843.3199999</v>
      </c>
      <c r="AR42" s="1">
        <v>0.84228210424243</v>
      </c>
      <c r="AS42" s="1" t="s">
        <v>26</v>
      </c>
      <c r="AT42" s="1" t="s">
        <v>26</v>
      </c>
      <c r="AU42" s="2">
        <v>851788272.80999994</v>
      </c>
      <c r="AV42" s="1">
        <v>0.43418679597013998</v>
      </c>
      <c r="AW42" s="1" t="s">
        <v>26</v>
      </c>
      <c r="AX42" s="1" t="s">
        <v>26</v>
      </c>
      <c r="AY42" s="2">
        <v>9637593932.5499992</v>
      </c>
      <c r="AZ42" s="1">
        <v>0.39282203983104003</v>
      </c>
      <c r="BA42" s="1" t="s">
        <v>26</v>
      </c>
      <c r="BB42" s="1" t="s">
        <v>26</v>
      </c>
    </row>
    <row r="43" spans="1:54" s="7" customFormat="1">
      <c r="A43" s="5" t="s">
        <v>52</v>
      </c>
      <c r="B43" s="24" t="s">
        <v>25</v>
      </c>
      <c r="C43" s="10" t="s">
        <v>26</v>
      </c>
      <c r="D43" s="11" t="s">
        <v>26</v>
      </c>
      <c r="E43" s="11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>
        <v>47407725.590000004</v>
      </c>
      <c r="L43" s="11">
        <v>1.821208583229E-2</v>
      </c>
      <c r="M43" s="11">
        <v>0.15</v>
      </c>
      <c r="N43" s="11">
        <v>0.1318</v>
      </c>
      <c r="O43" s="10" t="s">
        <v>26</v>
      </c>
      <c r="P43" s="11" t="s">
        <v>26</v>
      </c>
      <c r="Q43" s="11" t="s">
        <v>26</v>
      </c>
      <c r="R43" s="11" t="s">
        <v>26</v>
      </c>
      <c r="S43" s="10" t="s">
        <v>26</v>
      </c>
      <c r="T43" s="11" t="s">
        <v>26</v>
      </c>
      <c r="U43" s="11" t="s">
        <v>26</v>
      </c>
      <c r="V43" s="11" t="s">
        <v>26</v>
      </c>
      <c r="W43" s="10" t="s">
        <v>26</v>
      </c>
      <c r="X43" s="11" t="s">
        <v>26</v>
      </c>
      <c r="Y43" s="11" t="s">
        <v>26</v>
      </c>
      <c r="Z43" s="11" t="s">
        <v>26</v>
      </c>
      <c r="AA43" s="10">
        <v>224354678.38</v>
      </c>
      <c r="AB43" s="11">
        <v>1.7804069724599999E-3</v>
      </c>
      <c r="AC43" s="11">
        <v>0.15</v>
      </c>
      <c r="AD43" s="11">
        <v>0.1482</v>
      </c>
      <c r="AE43" s="10">
        <v>271762403.97000003</v>
      </c>
      <c r="AF43" s="11">
        <v>4.6477799128000002E-4</v>
      </c>
      <c r="AG43" s="11">
        <v>0.15</v>
      </c>
      <c r="AH43" s="11">
        <v>0.14949999999999999</v>
      </c>
      <c r="AI43" s="10" t="s">
        <v>26</v>
      </c>
      <c r="AJ43" s="11" t="s">
        <v>26</v>
      </c>
      <c r="AK43" s="11" t="s">
        <v>26</v>
      </c>
      <c r="AL43" s="11" t="s">
        <v>26</v>
      </c>
      <c r="AM43" s="10">
        <v>119607590.54000001</v>
      </c>
      <c r="AN43" s="11">
        <v>5.1780338323800003E-3</v>
      </c>
      <c r="AO43" s="11">
        <v>0.15</v>
      </c>
      <c r="AP43" s="11">
        <v>0.14480000000000001</v>
      </c>
      <c r="AQ43" s="10">
        <v>119607590.54000001</v>
      </c>
      <c r="AR43" s="11">
        <v>3.0611264054299999E-3</v>
      </c>
      <c r="AS43" s="11">
        <v>0.15</v>
      </c>
      <c r="AT43" s="11">
        <v>0.1469</v>
      </c>
      <c r="AU43" s="10" t="s">
        <v>26</v>
      </c>
      <c r="AV43" s="11" t="s">
        <v>26</v>
      </c>
      <c r="AW43" s="11" t="s">
        <v>26</v>
      </c>
      <c r="AX43" s="11" t="s">
        <v>26</v>
      </c>
      <c r="AY43" s="10">
        <v>391369994.50999999</v>
      </c>
      <c r="AZ43" s="11">
        <v>5.8853694606000005E-4</v>
      </c>
      <c r="BA43" s="11">
        <v>0.15</v>
      </c>
      <c r="BB43" s="11">
        <v>0.14940000000000001</v>
      </c>
    </row>
    <row r="44" spans="1:54" s="7" customFormat="1">
      <c r="A44" s="3" t="s">
        <v>38</v>
      </c>
      <c r="B44" s="31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47407725.590000004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224354678.38</v>
      </c>
      <c r="AB44" s="1">
        <v>1</v>
      </c>
      <c r="AC44" s="1" t="s">
        <v>26</v>
      </c>
      <c r="AD44" s="1" t="s">
        <v>26</v>
      </c>
      <c r="AE44" s="2">
        <v>271762403.97000003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119607590.54000001</v>
      </c>
      <c r="AN44" s="1">
        <v>1</v>
      </c>
      <c r="AO44" s="1" t="s">
        <v>26</v>
      </c>
      <c r="AP44" s="1" t="s">
        <v>26</v>
      </c>
      <c r="AQ44" s="2">
        <v>119607590.54000001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391369994.50999999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53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>
        <v>1094545451.8299999</v>
      </c>
      <c r="P45" s="11">
        <v>5.3480545106799997E-3</v>
      </c>
      <c r="Q45" s="11">
        <v>0.15</v>
      </c>
      <c r="R45" s="11">
        <v>0.1447</v>
      </c>
      <c r="S45" s="10" t="s">
        <v>26</v>
      </c>
      <c r="T45" s="11" t="s">
        <v>26</v>
      </c>
      <c r="U45" s="11" t="s">
        <v>26</v>
      </c>
      <c r="V45" s="11" t="s">
        <v>26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 t="s">
        <v>26</v>
      </c>
      <c r="AB45" s="11" t="s">
        <v>26</v>
      </c>
      <c r="AC45" s="11" t="s">
        <v>26</v>
      </c>
      <c r="AD45" s="11" t="s">
        <v>26</v>
      </c>
      <c r="AE45" s="10">
        <v>1094545451.8299999</v>
      </c>
      <c r="AF45" s="11">
        <v>1.8719316176000001E-3</v>
      </c>
      <c r="AG45" s="11">
        <v>0.15</v>
      </c>
      <c r="AH45" s="11">
        <v>0.14810000000000001</v>
      </c>
      <c r="AI45" s="10" t="s">
        <v>26</v>
      </c>
      <c r="AJ45" s="11" t="s">
        <v>26</v>
      </c>
      <c r="AK45" s="11" t="s">
        <v>26</v>
      </c>
      <c r="AL45" s="11" t="s">
        <v>26</v>
      </c>
      <c r="AM45" s="10" t="s">
        <v>26</v>
      </c>
      <c r="AN45" s="11" t="s">
        <v>26</v>
      </c>
      <c r="AO45" s="11" t="s">
        <v>26</v>
      </c>
      <c r="AP45" s="11" t="s">
        <v>26</v>
      </c>
      <c r="AQ45" s="10" t="s">
        <v>26</v>
      </c>
      <c r="AR45" s="11" t="s">
        <v>26</v>
      </c>
      <c r="AS45" s="11" t="s">
        <v>26</v>
      </c>
      <c r="AT45" s="11" t="s">
        <v>26</v>
      </c>
      <c r="AU45" s="10" t="s">
        <v>26</v>
      </c>
      <c r="AV45" s="11" t="s">
        <v>26</v>
      </c>
      <c r="AW45" s="11" t="s">
        <v>26</v>
      </c>
      <c r="AX45" s="11" t="s">
        <v>26</v>
      </c>
      <c r="AY45" s="10">
        <v>1094545451.8299999</v>
      </c>
      <c r="AZ45" s="11">
        <v>1.6459627630500001E-3</v>
      </c>
      <c r="BA45" s="11">
        <v>0.15</v>
      </c>
      <c r="BB45" s="11">
        <v>0.1484</v>
      </c>
    </row>
    <row r="46" spans="1:54" s="7" customFormat="1">
      <c r="A46" s="3" t="s">
        <v>38</v>
      </c>
      <c r="B46" s="31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1094545451.8299999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1094545451.8299999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1094545451.8299999</v>
      </c>
      <c r="AZ46" s="1">
        <v>1</v>
      </c>
      <c r="BA46" s="1" t="s">
        <v>26</v>
      </c>
      <c r="BB46" s="1" t="s">
        <v>26</v>
      </c>
    </row>
    <row r="47" spans="1:54" s="7" customFormat="1">
      <c r="A47" s="5" t="s">
        <v>110</v>
      </c>
      <c r="B47" s="24" t="s">
        <v>25</v>
      </c>
      <c r="C47" s="10" t="s">
        <v>26</v>
      </c>
      <c r="D47" s="11" t="s">
        <v>26</v>
      </c>
      <c r="E47" s="11" t="s">
        <v>26</v>
      </c>
      <c r="F47" s="11" t="s">
        <v>26</v>
      </c>
      <c r="G47" s="10">
        <v>434643349.16000003</v>
      </c>
      <c r="H47" s="11">
        <v>3.1632883180399999E-3</v>
      </c>
      <c r="I47" s="11">
        <v>0.05</v>
      </c>
      <c r="J47" s="11">
        <v>4.6800000000000001E-2</v>
      </c>
      <c r="K47" s="10" t="s">
        <v>26</v>
      </c>
      <c r="L47" s="11" t="s">
        <v>26</v>
      </c>
      <c r="M47" s="11" t="s">
        <v>26</v>
      </c>
      <c r="N47" s="11" t="s">
        <v>26</v>
      </c>
      <c r="O47" s="10" t="s">
        <v>26</v>
      </c>
      <c r="P47" s="11" t="s">
        <v>26</v>
      </c>
      <c r="Q47" s="11" t="s">
        <v>26</v>
      </c>
      <c r="R47" s="11" t="s">
        <v>26</v>
      </c>
      <c r="S47" s="10" t="s">
        <v>26</v>
      </c>
      <c r="T47" s="11" t="s">
        <v>26</v>
      </c>
      <c r="U47" s="11" t="s">
        <v>26</v>
      </c>
      <c r="V47" s="11" t="s">
        <v>26</v>
      </c>
      <c r="W47" s="10" t="s">
        <v>26</v>
      </c>
      <c r="X47" s="11" t="s">
        <v>26</v>
      </c>
      <c r="Y47" s="11" t="s">
        <v>26</v>
      </c>
      <c r="Z47" s="11" t="s">
        <v>26</v>
      </c>
      <c r="AA47" s="10" t="s">
        <v>26</v>
      </c>
      <c r="AB47" s="11" t="s">
        <v>26</v>
      </c>
      <c r="AC47" s="11" t="s">
        <v>26</v>
      </c>
      <c r="AD47" s="11" t="s">
        <v>26</v>
      </c>
      <c r="AE47" s="10">
        <v>434643349.16000003</v>
      </c>
      <c r="AF47" s="11">
        <v>7.4334293409999996E-4</v>
      </c>
      <c r="AG47" s="11">
        <v>0.15</v>
      </c>
      <c r="AH47" s="11">
        <v>0.14929999999999999</v>
      </c>
      <c r="AI47" s="10" t="s">
        <v>26</v>
      </c>
      <c r="AJ47" s="11" t="s">
        <v>26</v>
      </c>
      <c r="AK47" s="11" t="s">
        <v>26</v>
      </c>
      <c r="AL47" s="11" t="s">
        <v>26</v>
      </c>
      <c r="AM47" s="10" t="s">
        <v>26</v>
      </c>
      <c r="AN47" s="11" t="s">
        <v>26</v>
      </c>
      <c r="AO47" s="11" t="s">
        <v>26</v>
      </c>
      <c r="AP47" s="11" t="s">
        <v>26</v>
      </c>
      <c r="AQ47" s="10" t="s">
        <v>26</v>
      </c>
      <c r="AR47" s="11" t="s">
        <v>26</v>
      </c>
      <c r="AS47" s="11" t="s">
        <v>26</v>
      </c>
      <c r="AT47" s="11" t="s">
        <v>26</v>
      </c>
      <c r="AU47" s="10" t="s">
        <v>26</v>
      </c>
      <c r="AV47" s="11" t="s">
        <v>26</v>
      </c>
      <c r="AW47" s="11" t="s">
        <v>26</v>
      </c>
      <c r="AX47" s="11" t="s">
        <v>26</v>
      </c>
      <c r="AY47" s="10">
        <v>434643349.16000003</v>
      </c>
      <c r="AZ47" s="11">
        <v>6.5361083611000003E-4</v>
      </c>
      <c r="BA47" s="11">
        <v>0.15</v>
      </c>
      <c r="BB47" s="11">
        <v>0.14929999999999999</v>
      </c>
    </row>
    <row r="48" spans="1:54" s="7" customFormat="1">
      <c r="A48" s="3" t="s">
        <v>38</v>
      </c>
      <c r="B48" s="31" t="s">
        <v>39</v>
      </c>
      <c r="C48" s="2" t="s">
        <v>26</v>
      </c>
      <c r="D48" s="1" t="s">
        <v>26</v>
      </c>
      <c r="E48" s="1" t="s">
        <v>26</v>
      </c>
      <c r="F48" s="1" t="s">
        <v>26</v>
      </c>
      <c r="G48" s="2">
        <v>434643349.16000003</v>
      </c>
      <c r="H48" s="1">
        <v>1</v>
      </c>
      <c r="I48" s="1" t="s">
        <v>26</v>
      </c>
      <c r="J48" s="1" t="s">
        <v>26</v>
      </c>
      <c r="K48" s="2" t="s">
        <v>26</v>
      </c>
      <c r="L48" s="1" t="s">
        <v>26</v>
      </c>
      <c r="M48" s="1" t="s">
        <v>26</v>
      </c>
      <c r="N48" s="1" t="s">
        <v>26</v>
      </c>
      <c r="O48" s="2" t="s">
        <v>26</v>
      </c>
      <c r="P48" s="1" t="s">
        <v>26</v>
      </c>
      <c r="Q48" s="1" t="s">
        <v>26</v>
      </c>
      <c r="R48" s="1" t="s">
        <v>26</v>
      </c>
      <c r="S48" s="2" t="s">
        <v>26</v>
      </c>
      <c r="T48" s="1" t="s">
        <v>26</v>
      </c>
      <c r="U48" s="1" t="s">
        <v>26</v>
      </c>
      <c r="V48" s="1" t="s">
        <v>26</v>
      </c>
      <c r="W48" s="2" t="s">
        <v>26</v>
      </c>
      <c r="X48" s="1" t="s">
        <v>26</v>
      </c>
      <c r="Y48" s="1" t="s">
        <v>26</v>
      </c>
      <c r="Z48" s="1" t="s">
        <v>26</v>
      </c>
      <c r="AA48" s="2" t="s">
        <v>26</v>
      </c>
      <c r="AB48" s="1" t="s">
        <v>26</v>
      </c>
      <c r="AC48" s="1" t="s">
        <v>26</v>
      </c>
      <c r="AD48" s="1" t="s">
        <v>26</v>
      </c>
      <c r="AE48" s="2">
        <v>434643349.16000003</v>
      </c>
      <c r="AF48" s="1">
        <v>1</v>
      </c>
      <c r="AG48" s="1" t="s">
        <v>26</v>
      </c>
      <c r="AH48" s="1" t="s">
        <v>26</v>
      </c>
      <c r="AI48" s="2" t="s">
        <v>26</v>
      </c>
      <c r="AJ48" s="1" t="s">
        <v>26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 t="s">
        <v>26</v>
      </c>
      <c r="AR48" s="1" t="s">
        <v>26</v>
      </c>
      <c r="AS48" s="1" t="s">
        <v>26</v>
      </c>
      <c r="AT48" s="1" t="s">
        <v>26</v>
      </c>
      <c r="AU48" s="2" t="s">
        <v>26</v>
      </c>
      <c r="AV48" s="1" t="s">
        <v>26</v>
      </c>
      <c r="AW48" s="1" t="s">
        <v>26</v>
      </c>
      <c r="AX48" s="1" t="s">
        <v>26</v>
      </c>
      <c r="AY48" s="2">
        <v>434643349.16000003</v>
      </c>
      <c r="AZ48" s="1">
        <v>1</v>
      </c>
      <c r="BA48" s="1" t="s">
        <v>26</v>
      </c>
      <c r="BB48" s="1" t="s">
        <v>26</v>
      </c>
    </row>
    <row r="49" spans="1:54">
      <c r="A49" s="13" t="s">
        <v>54</v>
      </c>
      <c r="B49" s="25" t="s">
        <v>25</v>
      </c>
      <c r="C49" s="55">
        <v>74214520.609999999</v>
      </c>
      <c r="D49" s="56">
        <v>1.3722773941560001E-2</v>
      </c>
      <c r="E49" s="56" t="s">
        <v>26</v>
      </c>
      <c r="F49" s="56" t="s">
        <v>26</v>
      </c>
      <c r="G49" s="55">
        <v>500966481.38</v>
      </c>
      <c r="H49" s="56">
        <v>3.64598105859E-3</v>
      </c>
      <c r="I49" s="56" t="s">
        <v>26</v>
      </c>
      <c r="J49" s="56" t="s">
        <v>26</v>
      </c>
      <c r="K49" s="55">
        <v>99985461.480000004</v>
      </c>
      <c r="L49" s="56">
        <v>3.8410275620540002E-2</v>
      </c>
      <c r="M49" s="56" t="s">
        <v>26</v>
      </c>
      <c r="N49" s="56" t="s">
        <v>26</v>
      </c>
      <c r="O49" s="55">
        <v>3739468475.7600002</v>
      </c>
      <c r="P49" s="56">
        <v>1.8271403180109998E-2</v>
      </c>
      <c r="Q49" s="56" t="s">
        <v>26</v>
      </c>
      <c r="R49" s="56" t="s">
        <v>26</v>
      </c>
      <c r="S49" s="55">
        <v>2010745264.8900001</v>
      </c>
      <c r="T49" s="56">
        <v>1.955651101786E-2</v>
      </c>
      <c r="U49" s="56" t="s">
        <v>26</v>
      </c>
      <c r="V49" s="56" t="s">
        <v>26</v>
      </c>
      <c r="W49" s="55">
        <v>156802471.30000001</v>
      </c>
      <c r="X49" s="56">
        <v>2.6996920302649999E-2</v>
      </c>
      <c r="Y49" s="56" t="s">
        <v>26</v>
      </c>
      <c r="Z49" s="56" t="s">
        <v>26</v>
      </c>
      <c r="AA49" s="55">
        <v>2601475184.1500001</v>
      </c>
      <c r="AB49" s="56">
        <v>2.06444750338E-2</v>
      </c>
      <c r="AC49" s="56" t="s">
        <v>26</v>
      </c>
      <c r="AD49" s="56" t="s">
        <v>26</v>
      </c>
      <c r="AE49" s="55">
        <v>9183657859.5699997</v>
      </c>
      <c r="AF49" s="56">
        <v>1.5706227168340001E-2</v>
      </c>
      <c r="AG49" s="56" t="s">
        <v>26</v>
      </c>
      <c r="AH49" s="56" t="s">
        <v>26</v>
      </c>
      <c r="AI49" s="55">
        <v>211820580.18000001</v>
      </c>
      <c r="AJ49" s="56">
        <v>1.3260310461250001E-2</v>
      </c>
      <c r="AK49" s="56" t="s">
        <v>26</v>
      </c>
      <c r="AL49" s="56" t="s">
        <v>26</v>
      </c>
      <c r="AM49" s="55">
        <v>239264650.86000001</v>
      </c>
      <c r="AN49" s="56">
        <v>1.0358209303030001E-2</v>
      </c>
      <c r="AO49" s="56" t="s">
        <v>26</v>
      </c>
      <c r="AP49" s="56" t="s">
        <v>26</v>
      </c>
      <c r="AQ49" s="55">
        <v>451085231.04000002</v>
      </c>
      <c r="AR49" s="56">
        <v>1.154465954543E-2</v>
      </c>
      <c r="AS49" s="56" t="s">
        <v>26</v>
      </c>
      <c r="AT49" s="56" t="s">
        <v>26</v>
      </c>
      <c r="AU49" s="55">
        <v>732888818.50999999</v>
      </c>
      <c r="AV49" s="56">
        <v>1.778835969979E-2</v>
      </c>
      <c r="AW49" s="56" t="s">
        <v>26</v>
      </c>
      <c r="AX49" s="56" t="s">
        <v>26</v>
      </c>
      <c r="AY49" s="55">
        <v>10367631909.120001</v>
      </c>
      <c r="AZ49" s="56">
        <v>1.559070574451E-2</v>
      </c>
      <c r="BA49" s="56" t="s">
        <v>26</v>
      </c>
      <c r="BB49" s="56" t="s">
        <v>26</v>
      </c>
    </row>
    <row r="50" spans="1:54" s="8" customFormat="1">
      <c r="A50" s="5" t="s">
        <v>55</v>
      </c>
      <c r="B50" s="24" t="s">
        <v>25</v>
      </c>
      <c r="C50" s="10">
        <v>36647989.700000003</v>
      </c>
      <c r="D50" s="11">
        <v>6.7764646855099997E-3</v>
      </c>
      <c r="E50" s="11">
        <v>0.12</v>
      </c>
      <c r="F50" s="11">
        <v>0.1132</v>
      </c>
      <c r="G50" s="10" t="s">
        <v>26</v>
      </c>
      <c r="H50" s="11" t="s">
        <v>26</v>
      </c>
      <c r="I50" s="11" t="s">
        <v>26</v>
      </c>
      <c r="J50" s="11" t="s">
        <v>26</v>
      </c>
      <c r="K50" s="10">
        <v>31412562.600000001</v>
      </c>
      <c r="L50" s="11">
        <v>1.206740629641E-2</v>
      </c>
      <c r="M50" s="11">
        <v>0.12</v>
      </c>
      <c r="N50" s="11">
        <v>0.1079</v>
      </c>
      <c r="O50" s="10">
        <v>840809592.25999999</v>
      </c>
      <c r="P50" s="11">
        <v>4.1082766594999999E-3</v>
      </c>
      <c r="Q50" s="11">
        <v>0.12</v>
      </c>
      <c r="R50" s="11">
        <v>0.1159</v>
      </c>
      <c r="S50" s="10">
        <v>314125626</v>
      </c>
      <c r="T50" s="11">
        <v>3.05518624021E-3</v>
      </c>
      <c r="U50" s="11">
        <v>0.12</v>
      </c>
      <c r="V50" s="11">
        <v>0.1169</v>
      </c>
      <c r="W50" s="10" t="s">
        <v>26</v>
      </c>
      <c r="X50" s="11" t="s">
        <v>26</v>
      </c>
      <c r="Y50" s="11" t="s">
        <v>26</v>
      </c>
      <c r="Z50" s="11" t="s">
        <v>26</v>
      </c>
      <c r="AA50" s="10">
        <v>921435169.60000002</v>
      </c>
      <c r="AB50" s="11">
        <v>7.31221480411E-3</v>
      </c>
      <c r="AC50" s="11">
        <v>0.12</v>
      </c>
      <c r="AD50" s="11">
        <v>0.11269999999999999</v>
      </c>
      <c r="AE50" s="10">
        <v>2144430940.1600001</v>
      </c>
      <c r="AF50" s="11">
        <v>3.6674841341000001E-3</v>
      </c>
      <c r="AG50" s="11">
        <v>0.12</v>
      </c>
      <c r="AH50" s="11">
        <v>0.1163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10">
        <v>209417084</v>
      </c>
      <c r="AV50" s="11">
        <v>5.0828806817499999E-3</v>
      </c>
      <c r="AW50" s="11">
        <v>0.12</v>
      </c>
      <c r="AX50" s="11">
        <v>0.1149</v>
      </c>
      <c r="AY50" s="10">
        <v>2353848024.1599998</v>
      </c>
      <c r="AZ50" s="11">
        <v>3.5396850730900001E-3</v>
      </c>
      <c r="BA50" s="11">
        <v>0.12</v>
      </c>
      <c r="BB50" s="11">
        <v>0.11650000000000001</v>
      </c>
    </row>
    <row r="51" spans="1:54" s="8" customFormat="1">
      <c r="A51" s="3" t="s">
        <v>36</v>
      </c>
      <c r="B51" s="31" t="s">
        <v>56</v>
      </c>
      <c r="C51" s="2">
        <v>36647989.700000003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31412562.600000001</v>
      </c>
      <c r="L51" s="1">
        <v>1</v>
      </c>
      <c r="M51" s="1" t="s">
        <v>26</v>
      </c>
      <c r="N51" s="1" t="s">
        <v>26</v>
      </c>
      <c r="O51" s="2">
        <v>840809592.25999999</v>
      </c>
      <c r="P51" s="1">
        <v>1</v>
      </c>
      <c r="Q51" s="1" t="s">
        <v>26</v>
      </c>
      <c r="R51" s="1" t="s">
        <v>26</v>
      </c>
      <c r="S51" s="2">
        <v>314125626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921435169.60000002</v>
      </c>
      <c r="AB51" s="1">
        <v>1</v>
      </c>
      <c r="AC51" s="1" t="s">
        <v>26</v>
      </c>
      <c r="AD51" s="1" t="s">
        <v>26</v>
      </c>
      <c r="AE51" s="2">
        <v>2144430940.1600001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>
        <v>209417084</v>
      </c>
      <c r="AV51" s="1">
        <v>1</v>
      </c>
      <c r="AW51" s="1" t="s">
        <v>26</v>
      </c>
      <c r="AX51" s="1" t="s">
        <v>26</v>
      </c>
      <c r="AY51" s="2">
        <v>2353848024.1599998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57</v>
      </c>
      <c r="B52" s="24" t="s">
        <v>25</v>
      </c>
      <c r="C52" s="10">
        <v>32556261.359999999</v>
      </c>
      <c r="D52" s="11">
        <v>6.0198760478899997E-3</v>
      </c>
      <c r="E52" s="11">
        <v>0.09</v>
      </c>
      <c r="F52" s="11">
        <v>8.4000000000000005E-2</v>
      </c>
      <c r="G52" s="10" t="s">
        <v>26</v>
      </c>
      <c r="H52" s="11" t="s">
        <v>26</v>
      </c>
      <c r="I52" s="11" t="s">
        <v>26</v>
      </c>
      <c r="J52" s="11" t="s">
        <v>26</v>
      </c>
      <c r="K52" s="10">
        <v>16150081.880000001</v>
      </c>
      <c r="L52" s="11">
        <v>6.2041929608900002E-3</v>
      </c>
      <c r="M52" s="11">
        <v>0.09</v>
      </c>
      <c r="N52" s="11">
        <v>8.3799999999999999E-2</v>
      </c>
      <c r="O52" s="10">
        <v>376734518.10000002</v>
      </c>
      <c r="P52" s="11">
        <v>1.8407611447200001E-3</v>
      </c>
      <c r="Q52" s="11">
        <v>0.09</v>
      </c>
      <c r="R52" s="11">
        <v>8.8200000000000001E-2</v>
      </c>
      <c r="S52" s="10">
        <v>285173528.30000001</v>
      </c>
      <c r="T52" s="11">
        <v>2.77359810095E-3</v>
      </c>
      <c r="U52" s="11">
        <v>0.09</v>
      </c>
      <c r="V52" s="11">
        <v>8.72E-2</v>
      </c>
      <c r="W52" s="10" t="s">
        <v>26</v>
      </c>
      <c r="X52" s="11" t="s">
        <v>26</v>
      </c>
      <c r="Y52" s="11" t="s">
        <v>26</v>
      </c>
      <c r="Z52" s="11" t="s">
        <v>26</v>
      </c>
      <c r="AA52" s="10">
        <v>103035830.19</v>
      </c>
      <c r="AB52" s="11">
        <v>8.1765939453000002E-4</v>
      </c>
      <c r="AC52" s="11">
        <v>0.09</v>
      </c>
      <c r="AD52" s="11">
        <v>8.9200000000000002E-2</v>
      </c>
      <c r="AE52" s="10">
        <v>813650219.83000004</v>
      </c>
      <c r="AF52" s="11">
        <v>1.3915343301799999E-3</v>
      </c>
      <c r="AG52" s="11">
        <v>0.09</v>
      </c>
      <c r="AH52" s="11">
        <v>8.8599999999999998E-2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10">
        <v>813650219.83000004</v>
      </c>
      <c r="AZ52" s="11">
        <v>1.22355628243E-3</v>
      </c>
      <c r="BA52" s="11">
        <v>0.09</v>
      </c>
      <c r="BB52" s="11">
        <v>8.8800000000000004E-2</v>
      </c>
    </row>
    <row r="53" spans="1:54" s="7" customFormat="1">
      <c r="A53" s="3" t="s">
        <v>36</v>
      </c>
      <c r="B53" s="31" t="s">
        <v>46</v>
      </c>
      <c r="C53" s="2">
        <v>32556261.359999999</v>
      </c>
      <c r="D53" s="1">
        <v>1</v>
      </c>
      <c r="E53" s="1" t="s">
        <v>26</v>
      </c>
      <c r="F53" s="1" t="s">
        <v>26</v>
      </c>
      <c r="G53" s="2" t="s">
        <v>26</v>
      </c>
      <c r="H53" s="1" t="s">
        <v>26</v>
      </c>
      <c r="I53" s="1" t="s">
        <v>26</v>
      </c>
      <c r="J53" s="1" t="s">
        <v>26</v>
      </c>
      <c r="K53" s="2">
        <v>16150081.880000001</v>
      </c>
      <c r="L53" s="1">
        <v>1</v>
      </c>
      <c r="M53" s="1" t="s">
        <v>26</v>
      </c>
      <c r="N53" s="1" t="s">
        <v>26</v>
      </c>
      <c r="O53" s="2">
        <v>376734518.10000002</v>
      </c>
      <c r="P53" s="1">
        <v>1</v>
      </c>
      <c r="Q53" s="1" t="s">
        <v>26</v>
      </c>
      <c r="R53" s="1" t="s">
        <v>26</v>
      </c>
      <c r="S53" s="2">
        <v>285173528.30000001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103035830.19</v>
      </c>
      <c r="AB53" s="1">
        <v>1</v>
      </c>
      <c r="AC53" s="1" t="s">
        <v>26</v>
      </c>
      <c r="AD53" s="1" t="s">
        <v>26</v>
      </c>
      <c r="AE53" s="2">
        <v>813650219.83000004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813650219.83000004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58</v>
      </c>
      <c r="B54" s="24" t="s">
        <v>25</v>
      </c>
      <c r="C54" s="10">
        <v>5010269.55</v>
      </c>
      <c r="D54" s="11">
        <v>9.2643320816000003E-4</v>
      </c>
      <c r="E54" s="11">
        <v>0.12</v>
      </c>
      <c r="F54" s="11">
        <v>0.1191</v>
      </c>
      <c r="G54" s="10">
        <v>80164311.200000003</v>
      </c>
      <c r="H54" s="11">
        <v>5.8342737702999996E-4</v>
      </c>
      <c r="I54" s="11">
        <v>0.12</v>
      </c>
      <c r="J54" s="11">
        <v>0.11940000000000001</v>
      </c>
      <c r="K54" s="10" t="s">
        <v>26</v>
      </c>
      <c r="L54" s="11" t="s">
        <v>26</v>
      </c>
      <c r="M54" s="11" t="s">
        <v>26</v>
      </c>
      <c r="N54" s="11" t="s">
        <v>26</v>
      </c>
      <c r="O54" s="10">
        <v>260534011.40000001</v>
      </c>
      <c r="P54" s="11">
        <v>1.27299427587E-3</v>
      </c>
      <c r="Q54" s="11">
        <v>0.12</v>
      </c>
      <c r="R54" s="11">
        <v>0.1187</v>
      </c>
      <c r="S54" s="10">
        <v>139285491.81</v>
      </c>
      <c r="T54" s="11">
        <v>1.3546908714799999E-3</v>
      </c>
      <c r="U54" s="11">
        <v>0.12</v>
      </c>
      <c r="V54" s="11">
        <v>0.1186</v>
      </c>
      <c r="W54" s="10" t="s">
        <v>26</v>
      </c>
      <c r="X54" s="11" t="s">
        <v>26</v>
      </c>
      <c r="Y54" s="11" t="s">
        <v>26</v>
      </c>
      <c r="Z54" s="11" t="s">
        <v>26</v>
      </c>
      <c r="AA54" s="10">
        <v>133573784.54000001</v>
      </c>
      <c r="AB54" s="11">
        <v>1.05999883332E-3</v>
      </c>
      <c r="AC54" s="11">
        <v>0.12</v>
      </c>
      <c r="AD54" s="11">
        <v>0.11890000000000001</v>
      </c>
      <c r="AE54" s="10">
        <v>618567868.5</v>
      </c>
      <c r="AF54" s="11">
        <v>1.0578973661999999E-3</v>
      </c>
      <c r="AG54" s="11">
        <v>0.12</v>
      </c>
      <c r="AH54" s="11">
        <v>0.11890000000000001</v>
      </c>
      <c r="AI54" s="10" t="s">
        <v>26</v>
      </c>
      <c r="AJ54" s="11" t="s">
        <v>26</v>
      </c>
      <c r="AK54" s="11" t="s">
        <v>26</v>
      </c>
      <c r="AL54" s="11" t="s">
        <v>26</v>
      </c>
      <c r="AM54" s="10" t="s">
        <v>26</v>
      </c>
      <c r="AN54" s="11" t="s">
        <v>26</v>
      </c>
      <c r="AO54" s="11" t="s">
        <v>26</v>
      </c>
      <c r="AP54" s="11" t="s">
        <v>26</v>
      </c>
      <c r="AQ54" s="10" t="s">
        <v>26</v>
      </c>
      <c r="AR54" s="11" t="s">
        <v>26</v>
      </c>
      <c r="AS54" s="11" t="s">
        <v>26</v>
      </c>
      <c r="AT54" s="11" t="s">
        <v>26</v>
      </c>
      <c r="AU54" s="10" t="s">
        <v>26</v>
      </c>
      <c r="AV54" s="11" t="s">
        <v>26</v>
      </c>
      <c r="AW54" s="11" t="s">
        <v>26</v>
      </c>
      <c r="AX54" s="11" t="s">
        <v>26</v>
      </c>
      <c r="AY54" s="10">
        <v>618567868.5</v>
      </c>
      <c r="AZ54" s="11">
        <v>9.3019406025999997E-4</v>
      </c>
      <c r="BA54" s="11">
        <v>0.12</v>
      </c>
      <c r="BB54" s="11">
        <v>0.1191</v>
      </c>
    </row>
    <row r="55" spans="1:54" s="7" customFormat="1">
      <c r="A55" s="3" t="s">
        <v>36</v>
      </c>
      <c r="B55" s="31" t="s">
        <v>56</v>
      </c>
      <c r="C55" s="2">
        <v>5010269.55</v>
      </c>
      <c r="D55" s="1">
        <v>1</v>
      </c>
      <c r="E55" s="1" t="s">
        <v>26</v>
      </c>
      <c r="F55" s="1" t="s">
        <v>26</v>
      </c>
      <c r="G55" s="2">
        <v>80164311.200000003</v>
      </c>
      <c r="H55" s="1">
        <v>1</v>
      </c>
      <c r="I55" s="1" t="s">
        <v>26</v>
      </c>
      <c r="J55" s="1" t="s">
        <v>26</v>
      </c>
      <c r="K55" s="2" t="s">
        <v>26</v>
      </c>
      <c r="L55" s="1" t="s">
        <v>26</v>
      </c>
      <c r="M55" s="1" t="s">
        <v>26</v>
      </c>
      <c r="N55" s="1" t="s">
        <v>26</v>
      </c>
      <c r="O55" s="2">
        <v>260534011.40000001</v>
      </c>
      <c r="P55" s="1">
        <v>1</v>
      </c>
      <c r="Q55" s="1" t="s">
        <v>26</v>
      </c>
      <c r="R55" s="1" t="s">
        <v>26</v>
      </c>
      <c r="S55" s="2">
        <v>139285491.81</v>
      </c>
      <c r="T55" s="1">
        <v>1</v>
      </c>
      <c r="U55" s="1" t="s">
        <v>26</v>
      </c>
      <c r="V55" s="1" t="s">
        <v>26</v>
      </c>
      <c r="W55" s="2" t="s">
        <v>26</v>
      </c>
      <c r="X55" s="1" t="s">
        <v>26</v>
      </c>
      <c r="Y55" s="1" t="s">
        <v>26</v>
      </c>
      <c r="Z55" s="1" t="s">
        <v>26</v>
      </c>
      <c r="AA55" s="2">
        <v>133573784.54000001</v>
      </c>
      <c r="AB55" s="1">
        <v>1</v>
      </c>
      <c r="AC55" s="1" t="s">
        <v>26</v>
      </c>
      <c r="AD55" s="1" t="s">
        <v>26</v>
      </c>
      <c r="AE55" s="2">
        <v>618567868.5</v>
      </c>
      <c r="AF55" s="1">
        <v>1</v>
      </c>
      <c r="AG55" s="1" t="s">
        <v>26</v>
      </c>
      <c r="AH55" s="1" t="s">
        <v>26</v>
      </c>
      <c r="AI55" s="2" t="s">
        <v>26</v>
      </c>
      <c r="AJ55" s="1" t="s">
        <v>26</v>
      </c>
      <c r="AK55" s="1" t="s">
        <v>26</v>
      </c>
      <c r="AL55" s="1" t="s">
        <v>26</v>
      </c>
      <c r="AM55" s="2" t="s">
        <v>26</v>
      </c>
      <c r="AN55" s="1" t="s">
        <v>26</v>
      </c>
      <c r="AO55" s="1" t="s">
        <v>26</v>
      </c>
      <c r="AP55" s="1" t="s">
        <v>26</v>
      </c>
      <c r="AQ55" s="2" t="s">
        <v>26</v>
      </c>
      <c r="AR55" s="1" t="s">
        <v>26</v>
      </c>
      <c r="AS55" s="1" t="s">
        <v>26</v>
      </c>
      <c r="AT55" s="1" t="s">
        <v>26</v>
      </c>
      <c r="AU55" s="2" t="s">
        <v>26</v>
      </c>
      <c r="AV55" s="1" t="s">
        <v>26</v>
      </c>
      <c r="AW55" s="1" t="s">
        <v>26</v>
      </c>
      <c r="AX55" s="1" t="s">
        <v>26</v>
      </c>
      <c r="AY55" s="2">
        <v>618567868.5</v>
      </c>
      <c r="AZ55" s="1">
        <v>1</v>
      </c>
      <c r="BA55" s="1" t="s">
        <v>26</v>
      </c>
      <c r="BB55" s="1" t="s">
        <v>26</v>
      </c>
    </row>
    <row r="56" spans="1:54" s="7" customFormat="1">
      <c r="A56" s="5" t="s">
        <v>59</v>
      </c>
      <c r="B56" s="24" t="s">
        <v>25</v>
      </c>
      <c r="C56" s="10" t="s">
        <v>26</v>
      </c>
      <c r="D56" s="11" t="s">
        <v>26</v>
      </c>
      <c r="E56" s="11" t="s">
        <v>26</v>
      </c>
      <c r="F56" s="11" t="s">
        <v>26</v>
      </c>
      <c r="G56" s="10">
        <v>420802170.18000001</v>
      </c>
      <c r="H56" s="11">
        <v>3.0625536815599998E-3</v>
      </c>
      <c r="I56" s="11">
        <v>0.12839999999999999</v>
      </c>
      <c r="J56" s="11">
        <v>0.12529999999999999</v>
      </c>
      <c r="K56" s="10">
        <v>52422817</v>
      </c>
      <c r="L56" s="11">
        <v>2.0138676363239998E-2</v>
      </c>
      <c r="M56" s="11">
        <v>0.12</v>
      </c>
      <c r="N56" s="11">
        <v>9.9900000000000003E-2</v>
      </c>
      <c r="O56" s="10">
        <v>2261390354</v>
      </c>
      <c r="P56" s="11">
        <v>1.104937110003E-2</v>
      </c>
      <c r="Q56" s="11">
        <v>0.12</v>
      </c>
      <c r="R56" s="11">
        <v>0.109</v>
      </c>
      <c r="S56" s="10">
        <v>1272160618.78</v>
      </c>
      <c r="T56" s="11">
        <v>1.2373035805219999E-2</v>
      </c>
      <c r="U56" s="11">
        <v>0.13669999999999999</v>
      </c>
      <c r="V56" s="11">
        <v>0.12429999999999999</v>
      </c>
      <c r="W56" s="10">
        <v>156802471.30000001</v>
      </c>
      <c r="X56" s="11">
        <v>2.6996920302649999E-2</v>
      </c>
      <c r="Y56" s="11">
        <v>0.14069999999999999</v>
      </c>
      <c r="Z56" s="11">
        <v>0.1137</v>
      </c>
      <c r="AA56" s="10">
        <v>1443430399.8199999</v>
      </c>
      <c r="AB56" s="11">
        <v>1.1454602001850001E-2</v>
      </c>
      <c r="AC56" s="11">
        <v>0.12</v>
      </c>
      <c r="AD56" s="11">
        <v>0.1085</v>
      </c>
      <c r="AE56" s="10">
        <v>5607008831.0799999</v>
      </c>
      <c r="AF56" s="11">
        <v>9.5893113378600001E-3</v>
      </c>
      <c r="AG56" s="11">
        <v>0.125</v>
      </c>
      <c r="AH56" s="11">
        <v>0.1154</v>
      </c>
      <c r="AI56" s="10">
        <v>211820580.18000001</v>
      </c>
      <c r="AJ56" s="11">
        <v>1.3260310461250001E-2</v>
      </c>
      <c r="AK56" s="11">
        <v>0.1203</v>
      </c>
      <c r="AL56" s="11">
        <v>0.107</v>
      </c>
      <c r="AM56" s="10">
        <v>239264650.86000001</v>
      </c>
      <c r="AN56" s="11">
        <v>1.0358209303030001E-2</v>
      </c>
      <c r="AO56" s="11">
        <v>0.1215</v>
      </c>
      <c r="AP56" s="11">
        <v>0.1111</v>
      </c>
      <c r="AQ56" s="10">
        <v>451085231.04000002</v>
      </c>
      <c r="AR56" s="11">
        <v>1.154465954543E-2</v>
      </c>
      <c r="AS56" s="11">
        <v>0.12089999999999999</v>
      </c>
      <c r="AT56" s="11">
        <v>0.1094</v>
      </c>
      <c r="AU56" s="10">
        <v>523471734.50999999</v>
      </c>
      <c r="AV56" s="11">
        <v>1.270547901804E-2</v>
      </c>
      <c r="AW56" s="11">
        <v>0.13200000000000001</v>
      </c>
      <c r="AX56" s="11">
        <v>0.1193</v>
      </c>
      <c r="AY56" s="10">
        <v>6581565796.6300001</v>
      </c>
      <c r="AZ56" s="11">
        <v>9.8972703287299995E-3</v>
      </c>
      <c r="BA56" s="11">
        <v>0.12529999999999999</v>
      </c>
      <c r="BB56" s="11">
        <v>0.1154</v>
      </c>
    </row>
    <row r="57" spans="1:54" s="7" customFormat="1">
      <c r="A57" s="3" t="s">
        <v>36</v>
      </c>
      <c r="B57" s="31" t="s">
        <v>56</v>
      </c>
      <c r="C57" s="2" t="s">
        <v>26</v>
      </c>
      <c r="D57" s="1" t="s">
        <v>26</v>
      </c>
      <c r="E57" s="1" t="s">
        <v>26</v>
      </c>
      <c r="F57" s="1" t="s">
        <v>26</v>
      </c>
      <c r="G57" s="2">
        <v>303384936</v>
      </c>
      <c r="H57" s="1">
        <v>0.72096808785522004</v>
      </c>
      <c r="I57" s="1" t="s">
        <v>26</v>
      </c>
      <c r="J57" s="1" t="s">
        <v>26</v>
      </c>
      <c r="K57" s="2">
        <v>52422817</v>
      </c>
      <c r="L57" s="1">
        <v>1</v>
      </c>
      <c r="M57" s="1" t="s">
        <v>26</v>
      </c>
      <c r="N57" s="1" t="s">
        <v>26</v>
      </c>
      <c r="O57" s="2">
        <v>2261390354</v>
      </c>
      <c r="P57" s="1">
        <v>1</v>
      </c>
      <c r="Q57" s="1" t="s">
        <v>26</v>
      </c>
      <c r="R57" s="1" t="s">
        <v>26</v>
      </c>
      <c r="S57" s="2">
        <v>566166423.60000002</v>
      </c>
      <c r="T57" s="1">
        <v>0.44504319285008997</v>
      </c>
      <c r="U57" s="1" t="s">
        <v>26</v>
      </c>
      <c r="V57" s="1" t="s">
        <v>26</v>
      </c>
      <c r="W57" s="2">
        <v>48865565.049999997</v>
      </c>
      <c r="X57" s="1">
        <v>0.31163772257458999</v>
      </c>
      <c r="Y57" s="1" t="s">
        <v>26</v>
      </c>
      <c r="Z57" s="1" t="s">
        <v>26</v>
      </c>
      <c r="AA57" s="2">
        <v>1443430399.8199999</v>
      </c>
      <c r="AB57" s="1">
        <v>1</v>
      </c>
      <c r="AC57" s="1" t="s">
        <v>26</v>
      </c>
      <c r="AD57" s="1" t="s">
        <v>26</v>
      </c>
      <c r="AE57" s="2">
        <v>4675660495.4700003</v>
      </c>
      <c r="AF57" s="1">
        <v>0.83389568954351001</v>
      </c>
      <c r="AG57" s="1" t="s">
        <v>26</v>
      </c>
      <c r="AH57" s="1" t="s">
        <v>26</v>
      </c>
      <c r="AI57" s="2">
        <v>209691268</v>
      </c>
      <c r="AJ57" s="1">
        <v>0.98994756704853004</v>
      </c>
      <c r="AK57" s="1" t="s">
        <v>26</v>
      </c>
      <c r="AL57" s="1" t="s">
        <v>26</v>
      </c>
      <c r="AM57" s="2">
        <v>227200488.88</v>
      </c>
      <c r="AN57" s="1">
        <v>0.94957816820564001</v>
      </c>
      <c r="AO57" s="1" t="s">
        <v>26</v>
      </c>
      <c r="AP57" s="1" t="s">
        <v>26</v>
      </c>
      <c r="AQ57" s="2">
        <v>436891756.88</v>
      </c>
      <c r="AR57" s="1">
        <v>0.96853482849066996</v>
      </c>
      <c r="AS57" s="1" t="s">
        <v>26</v>
      </c>
      <c r="AT57" s="1" t="s">
        <v>26</v>
      </c>
      <c r="AU57" s="2">
        <v>314536902</v>
      </c>
      <c r="AV57" s="1">
        <v>0.60086702158699001</v>
      </c>
      <c r="AW57" s="1" t="s">
        <v>26</v>
      </c>
      <c r="AX57" s="1" t="s">
        <v>26</v>
      </c>
      <c r="AY57" s="2">
        <v>5427089154.3500004</v>
      </c>
      <c r="AZ57" s="1">
        <v>0.82458936399737004</v>
      </c>
      <c r="BA57" s="1" t="s">
        <v>26</v>
      </c>
      <c r="BB57" s="1" t="s">
        <v>26</v>
      </c>
    </row>
    <row r="58" spans="1:54" s="7" customFormat="1">
      <c r="A58" s="3" t="s">
        <v>38</v>
      </c>
      <c r="B58" s="31" t="s">
        <v>39</v>
      </c>
      <c r="C58" s="2" t="s">
        <v>26</v>
      </c>
      <c r="D58" s="1" t="s">
        <v>26</v>
      </c>
      <c r="E58" s="1" t="s">
        <v>26</v>
      </c>
      <c r="F58" s="1" t="s">
        <v>26</v>
      </c>
      <c r="G58" s="2">
        <v>117417234.18000001</v>
      </c>
      <c r="H58" s="1">
        <v>0.27903191214478001</v>
      </c>
      <c r="I58" s="1" t="s">
        <v>26</v>
      </c>
      <c r="J58" s="1" t="s">
        <v>26</v>
      </c>
      <c r="K58" s="2" t="s">
        <v>26</v>
      </c>
      <c r="L58" s="1" t="s">
        <v>26</v>
      </c>
      <c r="M58" s="1" t="s">
        <v>26</v>
      </c>
      <c r="N58" s="1" t="s">
        <v>26</v>
      </c>
      <c r="O58" s="2" t="s">
        <v>26</v>
      </c>
      <c r="P58" s="1" t="s">
        <v>26</v>
      </c>
      <c r="Q58" s="1" t="s">
        <v>26</v>
      </c>
      <c r="R58" s="1" t="s">
        <v>26</v>
      </c>
      <c r="S58" s="2">
        <v>705994195.17999995</v>
      </c>
      <c r="T58" s="1">
        <v>0.55495680714991003</v>
      </c>
      <c r="U58" s="1" t="s">
        <v>26</v>
      </c>
      <c r="V58" s="1" t="s">
        <v>26</v>
      </c>
      <c r="W58" s="2">
        <v>107936906.25</v>
      </c>
      <c r="X58" s="1">
        <v>0.68836227742541001</v>
      </c>
      <c r="Y58" s="1" t="s">
        <v>26</v>
      </c>
      <c r="Z58" s="1" t="s">
        <v>26</v>
      </c>
      <c r="AA58" s="2" t="s">
        <v>26</v>
      </c>
      <c r="AB58" s="1" t="s">
        <v>26</v>
      </c>
      <c r="AC58" s="1" t="s">
        <v>26</v>
      </c>
      <c r="AD58" s="1" t="s">
        <v>26</v>
      </c>
      <c r="AE58" s="2">
        <v>931348335.61000001</v>
      </c>
      <c r="AF58" s="1">
        <v>0.16610431045648999</v>
      </c>
      <c r="AG58" s="1" t="s">
        <v>26</v>
      </c>
      <c r="AH58" s="1" t="s">
        <v>26</v>
      </c>
      <c r="AI58" s="2">
        <v>2129312.1800000002</v>
      </c>
      <c r="AJ58" s="1">
        <v>1.005243295147E-2</v>
      </c>
      <c r="AK58" s="1" t="s">
        <v>26</v>
      </c>
      <c r="AL58" s="1" t="s">
        <v>26</v>
      </c>
      <c r="AM58" s="2">
        <v>12064161.98</v>
      </c>
      <c r="AN58" s="1">
        <v>5.0421831794360002E-2</v>
      </c>
      <c r="AO58" s="1" t="s">
        <v>26</v>
      </c>
      <c r="AP58" s="1" t="s">
        <v>26</v>
      </c>
      <c r="AQ58" s="2">
        <v>14193474.16</v>
      </c>
      <c r="AR58" s="1">
        <v>3.1465171509330002E-2</v>
      </c>
      <c r="AS58" s="1" t="s">
        <v>26</v>
      </c>
      <c r="AT58" s="1" t="s">
        <v>26</v>
      </c>
      <c r="AU58" s="2">
        <v>208934832.50999999</v>
      </c>
      <c r="AV58" s="1">
        <v>0.39913297841300999</v>
      </c>
      <c r="AW58" s="1" t="s">
        <v>26</v>
      </c>
      <c r="AX58" s="1" t="s">
        <v>26</v>
      </c>
      <c r="AY58" s="2">
        <v>1154476642.28</v>
      </c>
      <c r="AZ58" s="1">
        <v>0.17541063600262999</v>
      </c>
      <c r="BA58" s="1" t="s">
        <v>26</v>
      </c>
      <c r="BB58" s="1" t="s">
        <v>26</v>
      </c>
    </row>
    <row r="59" spans="1:54" s="7" customFormat="1">
      <c r="A59" s="13" t="s">
        <v>60</v>
      </c>
      <c r="B59" s="25" t="s">
        <v>25</v>
      </c>
      <c r="C59" s="55">
        <v>89210455.769999996</v>
      </c>
      <c r="D59" s="56">
        <v>1.6495625218520001E-2</v>
      </c>
      <c r="E59" s="56" t="s">
        <v>26</v>
      </c>
      <c r="F59" s="56" t="s">
        <v>26</v>
      </c>
      <c r="G59" s="55">
        <v>30185951.600000001</v>
      </c>
      <c r="H59" s="56">
        <v>2.1969016264E-4</v>
      </c>
      <c r="I59" s="56" t="s">
        <v>26</v>
      </c>
      <c r="J59" s="56" t="s">
        <v>26</v>
      </c>
      <c r="K59" s="55">
        <v>48107638.57</v>
      </c>
      <c r="L59" s="56">
        <v>1.848096342783E-2</v>
      </c>
      <c r="M59" s="56" t="s">
        <v>26</v>
      </c>
      <c r="N59" s="56" t="s">
        <v>26</v>
      </c>
      <c r="O59" s="55">
        <v>112060416.55</v>
      </c>
      <c r="P59" s="56">
        <v>5.4753798958000004E-4</v>
      </c>
      <c r="Q59" s="56" t="s">
        <v>26</v>
      </c>
      <c r="R59" s="56" t="s">
        <v>26</v>
      </c>
      <c r="S59" s="55">
        <v>57114721.210000001</v>
      </c>
      <c r="T59" s="56">
        <v>5.5549785153000001E-4</v>
      </c>
      <c r="U59" s="56" t="s">
        <v>26</v>
      </c>
      <c r="V59" s="56" t="s">
        <v>26</v>
      </c>
      <c r="W59" s="55" t="s">
        <v>26</v>
      </c>
      <c r="X59" s="56" t="s">
        <v>26</v>
      </c>
      <c r="Y59" s="56" t="s">
        <v>26</v>
      </c>
      <c r="Z59" s="56" t="s">
        <v>26</v>
      </c>
      <c r="AA59" s="55">
        <v>122564098.31</v>
      </c>
      <c r="AB59" s="56">
        <v>9.7262948461999997E-4</v>
      </c>
      <c r="AC59" s="56" t="s">
        <v>26</v>
      </c>
      <c r="AD59" s="56" t="s">
        <v>26</v>
      </c>
      <c r="AE59" s="55">
        <v>459243282.00999999</v>
      </c>
      <c r="AF59" s="56">
        <v>7.8541463793999999E-4</v>
      </c>
      <c r="AG59" s="56" t="s">
        <v>26</v>
      </c>
      <c r="AH59" s="56" t="s">
        <v>26</v>
      </c>
      <c r="AI59" s="55">
        <v>54151932.799999997</v>
      </c>
      <c r="AJ59" s="56">
        <v>3.3899984618799999E-3</v>
      </c>
      <c r="AK59" s="56" t="s">
        <v>26</v>
      </c>
      <c r="AL59" s="56" t="s">
        <v>26</v>
      </c>
      <c r="AM59" s="55" t="s">
        <v>26</v>
      </c>
      <c r="AN59" s="56" t="s">
        <v>26</v>
      </c>
      <c r="AO59" s="56" t="s">
        <v>26</v>
      </c>
      <c r="AP59" s="56" t="s">
        <v>26</v>
      </c>
      <c r="AQ59" s="55">
        <v>54151932.799999997</v>
      </c>
      <c r="AR59" s="56">
        <v>1.38591464514E-3</v>
      </c>
      <c r="AS59" s="56" t="s">
        <v>26</v>
      </c>
      <c r="AT59" s="56" t="s">
        <v>26</v>
      </c>
      <c r="AU59" s="55">
        <v>4868552.99</v>
      </c>
      <c r="AV59" s="56">
        <v>1.1816740768E-4</v>
      </c>
      <c r="AW59" s="56" t="s">
        <v>26</v>
      </c>
      <c r="AX59" s="56" t="s">
        <v>26</v>
      </c>
      <c r="AY59" s="55">
        <v>518263767.80000001</v>
      </c>
      <c r="AZ59" s="56">
        <v>7.7935809958000002E-4</v>
      </c>
      <c r="BA59" s="56" t="s">
        <v>26</v>
      </c>
      <c r="BB59" s="56" t="s">
        <v>26</v>
      </c>
    </row>
    <row r="60" spans="1:54" s="7" customFormat="1">
      <c r="A60" s="5" t="s">
        <v>61</v>
      </c>
      <c r="B60" s="24" t="s">
        <v>25</v>
      </c>
      <c r="C60" s="10">
        <v>49272911.25</v>
      </c>
      <c r="D60" s="11">
        <v>9.1108992818200001E-3</v>
      </c>
      <c r="E60" s="11">
        <v>0.09</v>
      </c>
      <c r="F60" s="11">
        <v>8.09E-2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 t="s">
        <v>26</v>
      </c>
      <c r="AB60" s="11" t="s">
        <v>26</v>
      </c>
      <c r="AC60" s="11" t="s">
        <v>26</v>
      </c>
      <c r="AD60" s="11" t="s">
        <v>26</v>
      </c>
      <c r="AE60" s="10">
        <v>49272911.25</v>
      </c>
      <c r="AF60" s="11">
        <v>8.4268332859999993E-5</v>
      </c>
      <c r="AG60" s="11">
        <v>0.09</v>
      </c>
      <c r="AH60" s="11">
        <v>8.9899999999999994E-2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49272911.25</v>
      </c>
      <c r="AZ60" s="11">
        <v>7.4095942760000005E-5</v>
      </c>
      <c r="BA60" s="11">
        <v>0.09</v>
      </c>
      <c r="BB60" s="11">
        <v>8.9899999999999994E-2</v>
      </c>
    </row>
    <row r="61" spans="1:54" s="7" customFormat="1">
      <c r="A61" s="3" t="s">
        <v>36</v>
      </c>
      <c r="B61" s="31" t="s">
        <v>46</v>
      </c>
      <c r="C61" s="2">
        <v>49272911.25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49272911.25</v>
      </c>
      <c r="AF61" s="1">
        <v>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49272911.25</v>
      </c>
      <c r="AZ61" s="1">
        <v>1</v>
      </c>
      <c r="BA61" s="1" t="s">
        <v>26</v>
      </c>
      <c r="BB61" s="1" t="s">
        <v>26</v>
      </c>
    </row>
    <row r="62" spans="1:54" s="7" customFormat="1">
      <c r="A62" s="5" t="s">
        <v>62</v>
      </c>
      <c r="B62" s="24" t="s">
        <v>25</v>
      </c>
      <c r="C62" s="10">
        <v>17863072.98</v>
      </c>
      <c r="D62" s="11">
        <v>3.3030047272600001E-3</v>
      </c>
      <c r="E62" s="11">
        <v>0.12</v>
      </c>
      <c r="F62" s="11">
        <v>0.1167</v>
      </c>
      <c r="G62" s="10" t="s">
        <v>26</v>
      </c>
      <c r="H62" s="11" t="s">
        <v>26</v>
      </c>
      <c r="I62" s="11" t="s">
        <v>26</v>
      </c>
      <c r="J62" s="11" t="s">
        <v>26</v>
      </c>
      <c r="K62" s="10" t="s">
        <v>26</v>
      </c>
      <c r="L62" s="11" t="s">
        <v>26</v>
      </c>
      <c r="M62" s="11" t="s">
        <v>26</v>
      </c>
      <c r="N62" s="11" t="s">
        <v>26</v>
      </c>
      <c r="O62" s="10" t="s">
        <v>26</v>
      </c>
      <c r="P62" s="11" t="s">
        <v>26</v>
      </c>
      <c r="Q62" s="11" t="s">
        <v>26</v>
      </c>
      <c r="R62" s="11" t="s">
        <v>26</v>
      </c>
      <c r="S62" s="10" t="s">
        <v>26</v>
      </c>
      <c r="T62" s="11" t="s">
        <v>26</v>
      </c>
      <c r="U62" s="11" t="s">
        <v>26</v>
      </c>
      <c r="V62" s="11" t="s">
        <v>26</v>
      </c>
      <c r="W62" s="10" t="s">
        <v>26</v>
      </c>
      <c r="X62" s="11" t="s">
        <v>26</v>
      </c>
      <c r="Y62" s="11" t="s">
        <v>26</v>
      </c>
      <c r="Z62" s="11" t="s">
        <v>26</v>
      </c>
      <c r="AA62" s="10">
        <v>92371959.109999999</v>
      </c>
      <c r="AB62" s="11">
        <v>7.3303432425000003E-4</v>
      </c>
      <c r="AC62" s="11">
        <v>0.13500000000000001</v>
      </c>
      <c r="AD62" s="11">
        <v>0.1343</v>
      </c>
      <c r="AE62" s="10">
        <v>110235032.09</v>
      </c>
      <c r="AF62" s="11">
        <v>1.8852797898E-4</v>
      </c>
      <c r="AG62" s="11">
        <v>0.1326</v>
      </c>
      <c r="AH62" s="11">
        <v>0.13239999999999999</v>
      </c>
      <c r="AI62" s="10" t="s">
        <v>26</v>
      </c>
      <c r="AJ62" s="11" t="s">
        <v>26</v>
      </c>
      <c r="AK62" s="11" t="s">
        <v>26</v>
      </c>
      <c r="AL62" s="11" t="s">
        <v>26</v>
      </c>
      <c r="AM62" s="10" t="s">
        <v>26</v>
      </c>
      <c r="AN62" s="11" t="s">
        <v>26</v>
      </c>
      <c r="AO62" s="11" t="s">
        <v>26</v>
      </c>
      <c r="AP62" s="11" t="s">
        <v>26</v>
      </c>
      <c r="AQ62" s="10" t="s">
        <v>26</v>
      </c>
      <c r="AR62" s="11" t="s">
        <v>26</v>
      </c>
      <c r="AS62" s="11" t="s">
        <v>26</v>
      </c>
      <c r="AT62" s="11" t="s">
        <v>26</v>
      </c>
      <c r="AU62" s="10" t="s">
        <v>26</v>
      </c>
      <c r="AV62" s="11" t="s">
        <v>26</v>
      </c>
      <c r="AW62" s="11" t="s">
        <v>26</v>
      </c>
      <c r="AX62" s="11" t="s">
        <v>26</v>
      </c>
      <c r="AY62" s="10">
        <v>110235032.09</v>
      </c>
      <c r="AZ62" s="11">
        <v>1.6576996204000001E-4</v>
      </c>
      <c r="BA62" s="11">
        <v>0.1326</v>
      </c>
      <c r="BB62" s="11">
        <v>0.13239999999999999</v>
      </c>
    </row>
    <row r="63" spans="1:54" s="7" customFormat="1">
      <c r="A63" s="3" t="s">
        <v>36</v>
      </c>
      <c r="B63" s="31" t="s">
        <v>56</v>
      </c>
      <c r="C63" s="2">
        <v>17863072.98</v>
      </c>
      <c r="D63" s="1">
        <v>1</v>
      </c>
      <c r="E63" s="1" t="s">
        <v>26</v>
      </c>
      <c r="F63" s="1" t="s">
        <v>26</v>
      </c>
      <c r="G63" s="2" t="s">
        <v>26</v>
      </c>
      <c r="H63" s="1" t="s">
        <v>26</v>
      </c>
      <c r="I63" s="1" t="s">
        <v>26</v>
      </c>
      <c r="J63" s="1" t="s">
        <v>26</v>
      </c>
      <c r="K63" s="2" t="s">
        <v>26</v>
      </c>
      <c r="L63" s="1" t="s">
        <v>26</v>
      </c>
      <c r="M63" s="1" t="s">
        <v>26</v>
      </c>
      <c r="N63" s="1" t="s">
        <v>26</v>
      </c>
      <c r="O63" s="2" t="s">
        <v>26</v>
      </c>
      <c r="P63" s="1" t="s">
        <v>26</v>
      </c>
      <c r="Q63" s="1" t="s">
        <v>26</v>
      </c>
      <c r="R63" s="1" t="s">
        <v>26</v>
      </c>
      <c r="S63" s="2" t="s">
        <v>26</v>
      </c>
      <c r="T63" s="1" t="s">
        <v>26</v>
      </c>
      <c r="U63" s="1" t="s">
        <v>26</v>
      </c>
      <c r="V63" s="1" t="s">
        <v>26</v>
      </c>
      <c r="W63" s="2" t="s">
        <v>26</v>
      </c>
      <c r="X63" s="1" t="s">
        <v>26</v>
      </c>
      <c r="Y63" s="1" t="s">
        <v>26</v>
      </c>
      <c r="Z63" s="1" t="s">
        <v>26</v>
      </c>
      <c r="AA63" s="2" t="s">
        <v>26</v>
      </c>
      <c r="AB63" s="1" t="s">
        <v>26</v>
      </c>
      <c r="AC63" s="1" t="s">
        <v>26</v>
      </c>
      <c r="AD63" s="1" t="s">
        <v>26</v>
      </c>
      <c r="AE63" s="2">
        <v>17863072.98</v>
      </c>
      <c r="AF63" s="1">
        <v>0.16204533750592001</v>
      </c>
      <c r="AG63" s="1" t="s">
        <v>26</v>
      </c>
      <c r="AH63" s="1" t="s">
        <v>26</v>
      </c>
      <c r="AI63" s="2" t="s">
        <v>26</v>
      </c>
      <c r="AJ63" s="1" t="s">
        <v>26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 t="s">
        <v>26</v>
      </c>
      <c r="AR63" s="1" t="s">
        <v>26</v>
      </c>
      <c r="AS63" s="1" t="s">
        <v>26</v>
      </c>
      <c r="AT63" s="1" t="s">
        <v>26</v>
      </c>
      <c r="AU63" s="2" t="s">
        <v>26</v>
      </c>
      <c r="AV63" s="1" t="s">
        <v>26</v>
      </c>
      <c r="AW63" s="1" t="s">
        <v>26</v>
      </c>
      <c r="AX63" s="1" t="s">
        <v>26</v>
      </c>
      <c r="AY63" s="2">
        <v>17863072.98</v>
      </c>
      <c r="AZ63" s="1">
        <v>0.16204533750592001</v>
      </c>
      <c r="BA63" s="1" t="s">
        <v>26</v>
      </c>
      <c r="BB63" s="1" t="s">
        <v>26</v>
      </c>
    </row>
    <row r="64" spans="1:54" s="7" customFormat="1">
      <c r="A64" s="3" t="s">
        <v>38</v>
      </c>
      <c r="B64" s="31" t="s">
        <v>43</v>
      </c>
      <c r="C64" s="2" t="s">
        <v>26</v>
      </c>
      <c r="D64" s="1" t="s">
        <v>26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>
        <v>92371959.109999999</v>
      </c>
      <c r="AB64" s="1">
        <v>1</v>
      </c>
      <c r="AC64" s="1" t="s">
        <v>26</v>
      </c>
      <c r="AD64" s="1" t="s">
        <v>26</v>
      </c>
      <c r="AE64" s="2">
        <v>92371959.109999999</v>
      </c>
      <c r="AF64" s="1">
        <v>0.83795466249408002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92371959.109999999</v>
      </c>
      <c r="AZ64" s="1">
        <v>0.83795466249408002</v>
      </c>
      <c r="BA64" s="1" t="s">
        <v>26</v>
      </c>
      <c r="BB64" s="1" t="s">
        <v>26</v>
      </c>
    </row>
    <row r="65" spans="1:54" s="7" customFormat="1">
      <c r="A65" s="5" t="s">
        <v>63</v>
      </c>
      <c r="B65" s="24" t="s">
        <v>25</v>
      </c>
      <c r="C65" s="10">
        <v>22074471.539999999</v>
      </c>
      <c r="D65" s="11">
        <v>4.0817212094499998E-3</v>
      </c>
      <c r="E65" s="11">
        <v>0.12</v>
      </c>
      <c r="F65" s="11">
        <v>0.1159</v>
      </c>
      <c r="G65" s="10" t="s">
        <v>26</v>
      </c>
      <c r="H65" s="11" t="s">
        <v>26</v>
      </c>
      <c r="I65" s="11" t="s">
        <v>26</v>
      </c>
      <c r="J65" s="11" t="s">
        <v>26</v>
      </c>
      <c r="K65" s="10" t="s">
        <v>26</v>
      </c>
      <c r="L65" s="11" t="s">
        <v>26</v>
      </c>
      <c r="M65" s="11" t="s">
        <v>26</v>
      </c>
      <c r="N65" s="11" t="s">
        <v>26</v>
      </c>
      <c r="O65" s="10" t="s">
        <v>26</v>
      </c>
      <c r="P65" s="11" t="s">
        <v>26</v>
      </c>
      <c r="Q65" s="11" t="s">
        <v>26</v>
      </c>
      <c r="R65" s="11" t="s">
        <v>26</v>
      </c>
      <c r="S65" s="10" t="s">
        <v>26</v>
      </c>
      <c r="T65" s="11" t="s">
        <v>26</v>
      </c>
      <c r="U65" s="11" t="s">
        <v>26</v>
      </c>
      <c r="V65" s="11" t="s">
        <v>26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 t="s">
        <v>26</v>
      </c>
      <c r="AB65" s="11" t="s">
        <v>26</v>
      </c>
      <c r="AC65" s="11" t="s">
        <v>26</v>
      </c>
      <c r="AD65" s="11" t="s">
        <v>26</v>
      </c>
      <c r="AE65" s="10">
        <v>22074471.539999999</v>
      </c>
      <c r="AF65" s="11">
        <v>3.7752567649999997E-5</v>
      </c>
      <c r="AG65" s="11">
        <v>0.12</v>
      </c>
      <c r="AH65" s="11">
        <v>0.12</v>
      </c>
      <c r="AI65" s="10" t="s">
        <v>26</v>
      </c>
      <c r="AJ65" s="11" t="s">
        <v>26</v>
      </c>
      <c r="AK65" s="11" t="s">
        <v>26</v>
      </c>
      <c r="AL65" s="11" t="s">
        <v>26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 t="s">
        <v>26</v>
      </c>
      <c r="AR65" s="11" t="s">
        <v>26</v>
      </c>
      <c r="AS65" s="11" t="s">
        <v>26</v>
      </c>
      <c r="AT65" s="11" t="s">
        <v>26</v>
      </c>
      <c r="AU65" s="10" t="s">
        <v>26</v>
      </c>
      <c r="AV65" s="11" t="s">
        <v>26</v>
      </c>
      <c r="AW65" s="11" t="s">
        <v>26</v>
      </c>
      <c r="AX65" s="11" t="s">
        <v>26</v>
      </c>
      <c r="AY65" s="10">
        <v>22074471.539999999</v>
      </c>
      <c r="AZ65" s="11">
        <v>3.3195294090000003E-5</v>
      </c>
      <c r="BA65" s="11">
        <v>0.12</v>
      </c>
      <c r="BB65" s="11">
        <v>0.12</v>
      </c>
    </row>
    <row r="66" spans="1:54" s="7" customFormat="1">
      <c r="A66" s="3" t="s">
        <v>36</v>
      </c>
      <c r="B66" s="31" t="s">
        <v>56</v>
      </c>
      <c r="C66" s="2">
        <v>22074471.539999999</v>
      </c>
      <c r="D66" s="1">
        <v>1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 t="s">
        <v>26</v>
      </c>
      <c r="P66" s="1" t="s">
        <v>26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22074471.539999999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22074471.539999999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64</v>
      </c>
      <c r="B67" s="24" t="s">
        <v>25</v>
      </c>
      <c r="C67" s="10" t="s">
        <v>26</v>
      </c>
      <c r="D67" s="11" t="s">
        <v>26</v>
      </c>
      <c r="E67" s="11" t="s">
        <v>26</v>
      </c>
      <c r="F67" s="11" t="s">
        <v>26</v>
      </c>
      <c r="G67" s="10">
        <v>30185951.600000001</v>
      </c>
      <c r="H67" s="11">
        <v>2.1969016264E-4</v>
      </c>
      <c r="I67" s="11">
        <v>0.13500000000000001</v>
      </c>
      <c r="J67" s="11">
        <v>0.1348</v>
      </c>
      <c r="K67" s="10">
        <v>48107638.57</v>
      </c>
      <c r="L67" s="11">
        <v>1.848096342783E-2</v>
      </c>
      <c r="M67" s="11">
        <v>0.13500000000000001</v>
      </c>
      <c r="N67" s="11">
        <v>0.11650000000000001</v>
      </c>
      <c r="O67" s="10">
        <v>112060416.55</v>
      </c>
      <c r="P67" s="11">
        <v>5.4753798958000004E-4</v>
      </c>
      <c r="Q67" s="11">
        <v>0.13389999999999999</v>
      </c>
      <c r="R67" s="11">
        <v>0.13339999999999999</v>
      </c>
      <c r="S67" s="10">
        <v>57114721.210000001</v>
      </c>
      <c r="T67" s="11">
        <v>5.5549785153000001E-4</v>
      </c>
      <c r="U67" s="11">
        <v>0.13500000000000001</v>
      </c>
      <c r="V67" s="11">
        <v>0.13439999999999999</v>
      </c>
      <c r="W67" s="10" t="s">
        <v>26</v>
      </c>
      <c r="X67" s="11" t="s">
        <v>26</v>
      </c>
      <c r="Y67" s="11" t="s">
        <v>26</v>
      </c>
      <c r="Z67" s="11" t="s">
        <v>26</v>
      </c>
      <c r="AA67" s="10">
        <v>30192139.199999999</v>
      </c>
      <c r="AB67" s="11">
        <v>2.3959516035999999E-4</v>
      </c>
      <c r="AC67" s="11">
        <v>0.12</v>
      </c>
      <c r="AD67" s="11">
        <v>0.1198</v>
      </c>
      <c r="AE67" s="10">
        <v>277660867.13</v>
      </c>
      <c r="AF67" s="11">
        <v>4.7486575845999998E-4</v>
      </c>
      <c r="AG67" s="11">
        <v>0.13289999999999999</v>
      </c>
      <c r="AH67" s="11">
        <v>0.13239999999999999</v>
      </c>
      <c r="AI67" s="10">
        <v>54151932.799999997</v>
      </c>
      <c r="AJ67" s="11">
        <v>3.3899984618799999E-3</v>
      </c>
      <c r="AK67" s="11">
        <v>0.13500000000000001</v>
      </c>
      <c r="AL67" s="11">
        <v>0.13159999999999999</v>
      </c>
      <c r="AM67" s="10" t="s">
        <v>26</v>
      </c>
      <c r="AN67" s="11" t="s">
        <v>26</v>
      </c>
      <c r="AO67" s="11" t="s">
        <v>26</v>
      </c>
      <c r="AP67" s="11" t="s">
        <v>26</v>
      </c>
      <c r="AQ67" s="10">
        <v>54151932.799999997</v>
      </c>
      <c r="AR67" s="11">
        <v>1.38591464514E-3</v>
      </c>
      <c r="AS67" s="11">
        <v>0.13500000000000001</v>
      </c>
      <c r="AT67" s="11">
        <v>0.1336</v>
      </c>
      <c r="AU67" s="10">
        <v>4868552.99</v>
      </c>
      <c r="AV67" s="11">
        <v>1.1816740768E-4</v>
      </c>
      <c r="AW67" s="11">
        <v>0.13500000000000001</v>
      </c>
      <c r="AX67" s="11">
        <v>0.13489999999999999</v>
      </c>
      <c r="AY67" s="10">
        <v>336681352.92000002</v>
      </c>
      <c r="AZ67" s="11">
        <v>5.0629690068999995E-4</v>
      </c>
      <c r="BA67" s="11">
        <v>0.1333</v>
      </c>
      <c r="BB67" s="11">
        <v>0.1328</v>
      </c>
    </row>
    <row r="68" spans="1:54" s="7" customFormat="1">
      <c r="A68" s="3" t="s">
        <v>36</v>
      </c>
      <c r="B68" s="31" t="s">
        <v>56</v>
      </c>
      <c r="C68" s="2" t="s">
        <v>26</v>
      </c>
      <c r="D68" s="1" t="s">
        <v>26</v>
      </c>
      <c r="E68" s="1" t="s">
        <v>26</v>
      </c>
      <c r="F68" s="1" t="s">
        <v>26</v>
      </c>
      <c r="G68" s="2" t="s">
        <v>26</v>
      </c>
      <c r="H68" s="1" t="s">
        <v>26</v>
      </c>
      <c r="I68" s="1" t="s">
        <v>26</v>
      </c>
      <c r="J68" s="1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8193379.7000000002</v>
      </c>
      <c r="P68" s="1">
        <v>7.311573481743E-2</v>
      </c>
      <c r="Q68" s="1" t="s">
        <v>26</v>
      </c>
      <c r="R68" s="1" t="s">
        <v>26</v>
      </c>
      <c r="S68" s="2" t="s">
        <v>26</v>
      </c>
      <c r="T68" s="1" t="s">
        <v>26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30192139.199999999</v>
      </c>
      <c r="AB68" s="1">
        <v>1</v>
      </c>
      <c r="AC68" s="1" t="s">
        <v>26</v>
      </c>
      <c r="AD68" s="1" t="s">
        <v>26</v>
      </c>
      <c r="AE68" s="2">
        <v>38385518.899999999</v>
      </c>
      <c r="AF68" s="1">
        <v>0.13824605280811</v>
      </c>
      <c r="AG68" s="1" t="s">
        <v>26</v>
      </c>
      <c r="AH68" s="1" t="s">
        <v>26</v>
      </c>
      <c r="AI68" s="2" t="s">
        <v>26</v>
      </c>
      <c r="AJ68" s="1" t="s">
        <v>26</v>
      </c>
      <c r="AK68" s="1" t="s">
        <v>26</v>
      </c>
      <c r="AL68" s="1" t="s">
        <v>26</v>
      </c>
      <c r="AM68" s="2" t="s">
        <v>26</v>
      </c>
      <c r="AN68" s="1" t="s">
        <v>26</v>
      </c>
      <c r="AO68" s="1" t="s">
        <v>26</v>
      </c>
      <c r="AP68" s="1" t="s">
        <v>26</v>
      </c>
      <c r="AQ68" s="2" t="s">
        <v>26</v>
      </c>
      <c r="AR68" s="1" t="s">
        <v>26</v>
      </c>
      <c r="AS68" s="1" t="s">
        <v>26</v>
      </c>
      <c r="AT68" s="1" t="s">
        <v>26</v>
      </c>
      <c r="AU68" s="2" t="s">
        <v>26</v>
      </c>
      <c r="AV68" s="1" t="s">
        <v>26</v>
      </c>
      <c r="AW68" s="1" t="s">
        <v>26</v>
      </c>
      <c r="AX68" s="1" t="s">
        <v>26</v>
      </c>
      <c r="AY68" s="2">
        <v>38385518.899999999</v>
      </c>
      <c r="AZ68" s="1">
        <v>0.11401141930519</v>
      </c>
      <c r="BA68" s="1" t="s">
        <v>26</v>
      </c>
      <c r="BB68" s="1" t="s">
        <v>26</v>
      </c>
    </row>
    <row r="69" spans="1:54" s="7" customFormat="1">
      <c r="A69" s="3" t="s">
        <v>38</v>
      </c>
      <c r="B69" s="31" t="s">
        <v>43</v>
      </c>
      <c r="C69" s="2" t="s">
        <v>26</v>
      </c>
      <c r="D69" s="1" t="s">
        <v>26</v>
      </c>
      <c r="E69" s="1" t="s">
        <v>26</v>
      </c>
      <c r="F69" s="1" t="s">
        <v>26</v>
      </c>
      <c r="G69" s="2">
        <v>30185951.600000001</v>
      </c>
      <c r="H69" s="1">
        <v>1</v>
      </c>
      <c r="I69" s="1" t="s">
        <v>26</v>
      </c>
      <c r="J69" s="1" t="s">
        <v>26</v>
      </c>
      <c r="K69" s="2">
        <v>48107638.57</v>
      </c>
      <c r="L69" s="1">
        <v>1</v>
      </c>
      <c r="M69" s="1" t="s">
        <v>26</v>
      </c>
      <c r="N69" s="1" t="s">
        <v>26</v>
      </c>
      <c r="O69" s="2">
        <v>103867036.84999999</v>
      </c>
      <c r="P69" s="1">
        <v>0.92688426518257006</v>
      </c>
      <c r="Q69" s="1" t="s">
        <v>26</v>
      </c>
      <c r="R69" s="1" t="s">
        <v>26</v>
      </c>
      <c r="S69" s="2">
        <v>57114721.210000001</v>
      </c>
      <c r="T69" s="1">
        <v>1</v>
      </c>
      <c r="U69" s="1" t="s">
        <v>26</v>
      </c>
      <c r="V69" s="1" t="s">
        <v>26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2">
        <v>239275348.22999999</v>
      </c>
      <c r="AF69" s="1">
        <v>0.86175394719189002</v>
      </c>
      <c r="AG69" s="1" t="s">
        <v>26</v>
      </c>
      <c r="AH69" s="1" t="s">
        <v>26</v>
      </c>
      <c r="AI69" s="2">
        <v>54151932.799999997</v>
      </c>
      <c r="AJ69" s="1">
        <v>1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>
        <v>54151932.799999997</v>
      </c>
      <c r="AR69" s="1">
        <v>1</v>
      </c>
      <c r="AS69" s="1" t="s">
        <v>26</v>
      </c>
      <c r="AT69" s="1" t="s">
        <v>26</v>
      </c>
      <c r="AU69" s="2">
        <v>4868552.99</v>
      </c>
      <c r="AV69" s="1">
        <v>1</v>
      </c>
      <c r="AW69" s="1" t="s">
        <v>26</v>
      </c>
      <c r="AX69" s="1" t="s">
        <v>26</v>
      </c>
      <c r="AY69" s="2">
        <v>298295834.01999998</v>
      </c>
      <c r="AZ69" s="1">
        <v>0.88598858069481001</v>
      </c>
      <c r="BA69" s="1" t="s">
        <v>26</v>
      </c>
      <c r="BB69" s="1" t="s">
        <v>26</v>
      </c>
    </row>
    <row r="70" spans="1:54" s="7" customFormat="1">
      <c r="A70" s="13" t="s">
        <v>65</v>
      </c>
      <c r="B70" s="25" t="s">
        <v>25</v>
      </c>
      <c r="C70" s="55">
        <v>595496976.27999997</v>
      </c>
      <c r="D70" s="56">
        <v>0.11011147577595</v>
      </c>
      <c r="E70" s="56" t="s">
        <v>26</v>
      </c>
      <c r="F70" s="56" t="s">
        <v>26</v>
      </c>
      <c r="G70" s="55">
        <v>4524598983.7799997</v>
      </c>
      <c r="H70" s="56">
        <v>3.2929552785909998E-2</v>
      </c>
      <c r="I70" s="56" t="s">
        <v>26</v>
      </c>
      <c r="J70" s="56" t="s">
        <v>26</v>
      </c>
      <c r="K70" s="55">
        <v>507458103.49000001</v>
      </c>
      <c r="L70" s="56">
        <v>0.1949443982396</v>
      </c>
      <c r="M70" s="56" t="s">
        <v>26</v>
      </c>
      <c r="N70" s="56" t="s">
        <v>26</v>
      </c>
      <c r="O70" s="55">
        <v>10285743290.1</v>
      </c>
      <c r="P70" s="56">
        <v>5.0257132498570001E-2</v>
      </c>
      <c r="Q70" s="56" t="s">
        <v>26</v>
      </c>
      <c r="R70" s="56" t="s">
        <v>26</v>
      </c>
      <c r="S70" s="55">
        <v>5308997617.3199997</v>
      </c>
      <c r="T70" s="56">
        <v>5.1635317615730002E-2</v>
      </c>
      <c r="U70" s="56" t="s">
        <v>26</v>
      </c>
      <c r="V70" s="56" t="s">
        <v>26</v>
      </c>
      <c r="W70" s="55" t="s">
        <v>26</v>
      </c>
      <c r="X70" s="56" t="s">
        <v>26</v>
      </c>
      <c r="Y70" s="56" t="s">
        <v>26</v>
      </c>
      <c r="Z70" s="56" t="s">
        <v>26</v>
      </c>
      <c r="AA70" s="55">
        <v>5283475259.4300003</v>
      </c>
      <c r="AB70" s="56">
        <v>4.1927969849399997E-2</v>
      </c>
      <c r="AC70" s="56" t="s">
        <v>26</v>
      </c>
      <c r="AD70" s="56" t="s">
        <v>26</v>
      </c>
      <c r="AE70" s="55">
        <v>26505770230.400002</v>
      </c>
      <c r="AF70" s="56">
        <v>4.5331136555430002E-2</v>
      </c>
      <c r="AG70" s="56" t="s">
        <v>26</v>
      </c>
      <c r="AH70" s="56" t="s">
        <v>26</v>
      </c>
      <c r="AI70" s="55">
        <v>1088547319.5</v>
      </c>
      <c r="AJ70" s="56">
        <v>6.8144820470520007E-2</v>
      </c>
      <c r="AK70" s="56" t="s">
        <v>26</v>
      </c>
      <c r="AL70" s="56" t="s">
        <v>26</v>
      </c>
      <c r="AM70" s="55">
        <v>2183446443.1799998</v>
      </c>
      <c r="AN70" s="56">
        <v>9.4525435241380004E-2</v>
      </c>
      <c r="AO70" s="56" t="s">
        <v>26</v>
      </c>
      <c r="AP70" s="56" t="s">
        <v>26</v>
      </c>
      <c r="AQ70" s="55">
        <v>3271993762.6799998</v>
      </c>
      <c r="AR70" s="56">
        <v>8.3740391894080002E-2</v>
      </c>
      <c r="AS70" s="56" t="s">
        <v>26</v>
      </c>
      <c r="AT70" s="56" t="s">
        <v>26</v>
      </c>
      <c r="AU70" s="55">
        <v>1337466137.3099999</v>
      </c>
      <c r="AV70" s="56">
        <v>3.2462398300920001E-2</v>
      </c>
      <c r="AW70" s="56" t="s">
        <v>26</v>
      </c>
      <c r="AX70" s="56" t="s">
        <v>26</v>
      </c>
      <c r="AY70" s="55">
        <v>31115230130.389999</v>
      </c>
      <c r="AZ70" s="56">
        <v>4.6790665543279999E-2</v>
      </c>
      <c r="BA70" s="56" t="s">
        <v>26</v>
      </c>
      <c r="BB70" s="56" t="s">
        <v>26</v>
      </c>
    </row>
    <row r="71" spans="1:54" s="7" customFormat="1">
      <c r="A71" s="5" t="s">
        <v>105</v>
      </c>
      <c r="B71" s="24" t="s">
        <v>25</v>
      </c>
      <c r="C71" s="10" t="s">
        <v>26</v>
      </c>
      <c r="D71" s="11" t="s">
        <v>26</v>
      </c>
      <c r="E71" s="11" t="s">
        <v>26</v>
      </c>
      <c r="F71" s="11" t="s">
        <v>26</v>
      </c>
      <c r="G71" s="10" t="s">
        <v>26</v>
      </c>
      <c r="H71" s="11" t="s">
        <v>26</v>
      </c>
      <c r="I71" s="11" t="s">
        <v>26</v>
      </c>
      <c r="J71" s="11" t="s">
        <v>26</v>
      </c>
      <c r="K71" s="10">
        <v>46563991.619999997</v>
      </c>
      <c r="L71" s="11">
        <v>1.7887958165540001E-2</v>
      </c>
      <c r="M71" s="11">
        <v>0.08</v>
      </c>
      <c r="N71" s="11">
        <v>6.2100000000000002E-2</v>
      </c>
      <c r="O71" s="10" t="s">
        <v>26</v>
      </c>
      <c r="P71" s="11" t="s">
        <v>26</v>
      </c>
      <c r="Q71" s="11" t="s">
        <v>26</v>
      </c>
      <c r="R71" s="11" t="s">
        <v>26</v>
      </c>
      <c r="S71" s="10">
        <v>27422845.27</v>
      </c>
      <c r="T71" s="11">
        <v>2.6671462816999999E-4</v>
      </c>
      <c r="U71" s="11">
        <v>0.08</v>
      </c>
      <c r="V71" s="11">
        <v>7.9699999999999993E-2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 t="s">
        <v>26</v>
      </c>
      <c r="AB71" s="11" t="s">
        <v>26</v>
      </c>
      <c r="AC71" s="11" t="s">
        <v>26</v>
      </c>
      <c r="AD71" s="11" t="s">
        <v>26</v>
      </c>
      <c r="AE71" s="10">
        <v>73986836.890000001</v>
      </c>
      <c r="AF71" s="11">
        <v>1.2653499133E-4</v>
      </c>
      <c r="AG71" s="11">
        <v>0.08</v>
      </c>
      <c r="AH71" s="11">
        <v>7.9899999999999999E-2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10">
        <v>73986836.890000001</v>
      </c>
      <c r="AZ71" s="11">
        <v>1.1126041251E-4</v>
      </c>
      <c r="BA71" s="11">
        <v>0.08</v>
      </c>
      <c r="BB71" s="11">
        <v>7.9899999999999999E-2</v>
      </c>
    </row>
    <row r="72" spans="1:54" s="7" customFormat="1">
      <c r="A72" s="3" t="s">
        <v>67</v>
      </c>
      <c r="B72" s="31" t="s">
        <v>56</v>
      </c>
      <c r="C72" s="2" t="s">
        <v>26</v>
      </c>
      <c r="D72" s="1" t="s">
        <v>26</v>
      </c>
      <c r="E72" s="1" t="s">
        <v>26</v>
      </c>
      <c r="F72" s="1" t="s">
        <v>26</v>
      </c>
      <c r="G72" s="2" t="s">
        <v>26</v>
      </c>
      <c r="H72" s="1" t="s">
        <v>26</v>
      </c>
      <c r="I72" s="1" t="s">
        <v>26</v>
      </c>
      <c r="J72" s="1" t="s">
        <v>26</v>
      </c>
      <c r="K72" s="2">
        <v>46563991.619999997</v>
      </c>
      <c r="L72" s="1">
        <v>1</v>
      </c>
      <c r="M72" s="1" t="s">
        <v>26</v>
      </c>
      <c r="N72" s="1" t="s">
        <v>26</v>
      </c>
      <c r="O72" s="2" t="s">
        <v>26</v>
      </c>
      <c r="P72" s="1" t="s">
        <v>26</v>
      </c>
      <c r="Q72" s="1" t="s">
        <v>26</v>
      </c>
      <c r="R72" s="1" t="s">
        <v>26</v>
      </c>
      <c r="S72" s="2">
        <v>27422845.27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 t="s">
        <v>26</v>
      </c>
      <c r="AB72" s="1" t="s">
        <v>26</v>
      </c>
      <c r="AC72" s="1" t="s">
        <v>26</v>
      </c>
      <c r="AD72" s="1" t="s">
        <v>26</v>
      </c>
      <c r="AE72" s="2">
        <v>73986836.890000001</v>
      </c>
      <c r="AF72" s="1">
        <v>1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73986836.890000001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66</v>
      </c>
      <c r="B73" s="24" t="s">
        <v>25</v>
      </c>
      <c r="C73" s="10" t="s">
        <v>26</v>
      </c>
      <c r="D73" s="11" t="s">
        <v>26</v>
      </c>
      <c r="E73" s="11" t="s">
        <v>26</v>
      </c>
      <c r="F73" s="11" t="s">
        <v>26</v>
      </c>
      <c r="G73" s="10">
        <v>199531306.88</v>
      </c>
      <c r="H73" s="11">
        <v>1.4521677447899999E-3</v>
      </c>
      <c r="I73" s="11">
        <v>0.08</v>
      </c>
      <c r="J73" s="11">
        <v>7.85E-2</v>
      </c>
      <c r="K73" s="10">
        <v>81104715.140000001</v>
      </c>
      <c r="L73" s="11">
        <v>3.1157074404020001E-2</v>
      </c>
      <c r="M73" s="11">
        <v>0.08</v>
      </c>
      <c r="N73" s="11">
        <v>4.8800000000000003E-2</v>
      </c>
      <c r="O73" s="10">
        <v>167462973.12</v>
      </c>
      <c r="P73" s="11">
        <v>8.1824021768000003E-4</v>
      </c>
      <c r="Q73" s="11">
        <v>0.08</v>
      </c>
      <c r="R73" s="11">
        <v>7.9200000000000007E-2</v>
      </c>
      <c r="S73" s="10" t="s">
        <v>26</v>
      </c>
      <c r="T73" s="11" t="s">
        <v>26</v>
      </c>
      <c r="U73" s="11" t="s">
        <v>26</v>
      </c>
      <c r="V73" s="11" t="s">
        <v>26</v>
      </c>
      <c r="W73" s="10" t="s">
        <v>26</v>
      </c>
      <c r="X73" s="11" t="s">
        <v>26</v>
      </c>
      <c r="Y73" s="11" t="s">
        <v>26</v>
      </c>
      <c r="Z73" s="11" t="s">
        <v>26</v>
      </c>
      <c r="AA73" s="10">
        <v>42557073.75</v>
      </c>
      <c r="AB73" s="11">
        <v>3.3771932629000001E-4</v>
      </c>
      <c r="AC73" s="11">
        <v>0.08</v>
      </c>
      <c r="AD73" s="11">
        <v>7.9699999999999993E-2</v>
      </c>
      <c r="AE73" s="10">
        <v>490656068.88999999</v>
      </c>
      <c r="AF73" s="11">
        <v>8.3913793363999995E-4</v>
      </c>
      <c r="AG73" s="11">
        <v>0.08</v>
      </c>
      <c r="AH73" s="11">
        <v>7.9200000000000007E-2</v>
      </c>
      <c r="AI73" s="10" t="s">
        <v>26</v>
      </c>
      <c r="AJ73" s="11" t="s">
        <v>26</v>
      </c>
      <c r="AK73" s="11" t="s">
        <v>26</v>
      </c>
      <c r="AL73" s="11" t="s">
        <v>26</v>
      </c>
      <c r="AM73" s="10" t="s">
        <v>26</v>
      </c>
      <c r="AN73" s="11" t="s">
        <v>26</v>
      </c>
      <c r="AO73" s="11" t="s">
        <v>26</v>
      </c>
      <c r="AP73" s="11" t="s">
        <v>26</v>
      </c>
      <c r="AQ73" s="10" t="s">
        <v>26</v>
      </c>
      <c r="AR73" s="11" t="s">
        <v>26</v>
      </c>
      <c r="AS73" s="11" t="s">
        <v>26</v>
      </c>
      <c r="AT73" s="11" t="s">
        <v>26</v>
      </c>
      <c r="AU73" s="10" t="s">
        <v>26</v>
      </c>
      <c r="AV73" s="11" t="s">
        <v>26</v>
      </c>
      <c r="AW73" s="11" t="s">
        <v>26</v>
      </c>
      <c r="AX73" s="11" t="s">
        <v>26</v>
      </c>
      <c r="AY73" s="10">
        <v>490656068.88999999</v>
      </c>
      <c r="AZ73" s="11">
        <v>7.3784201241999998E-4</v>
      </c>
      <c r="BA73" s="11">
        <v>0.08</v>
      </c>
      <c r="BB73" s="11">
        <v>7.9299999999999995E-2</v>
      </c>
    </row>
    <row r="74" spans="1:54" s="7" customFormat="1">
      <c r="A74" s="3" t="s">
        <v>67</v>
      </c>
      <c r="B74" s="31" t="s">
        <v>56</v>
      </c>
      <c r="C74" s="2" t="s">
        <v>26</v>
      </c>
      <c r="D74" s="1" t="s">
        <v>26</v>
      </c>
      <c r="E74" s="1" t="s">
        <v>26</v>
      </c>
      <c r="F74" s="1" t="s">
        <v>26</v>
      </c>
      <c r="G74" s="2">
        <v>199531306.88</v>
      </c>
      <c r="H74" s="1">
        <v>1</v>
      </c>
      <c r="I74" s="1" t="s">
        <v>26</v>
      </c>
      <c r="J74" s="1" t="s">
        <v>26</v>
      </c>
      <c r="K74" s="2">
        <v>81104715.140000001</v>
      </c>
      <c r="L74" s="1">
        <v>1</v>
      </c>
      <c r="M74" s="1" t="s">
        <v>26</v>
      </c>
      <c r="N74" s="1" t="s">
        <v>26</v>
      </c>
      <c r="O74" s="2">
        <v>167462973.12</v>
      </c>
      <c r="P74" s="1">
        <v>1</v>
      </c>
      <c r="Q74" s="1" t="s">
        <v>26</v>
      </c>
      <c r="R74" s="1" t="s">
        <v>26</v>
      </c>
      <c r="S74" s="2" t="s">
        <v>26</v>
      </c>
      <c r="T74" s="1" t="s">
        <v>26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42557073.75</v>
      </c>
      <c r="AB74" s="1">
        <v>1</v>
      </c>
      <c r="AC74" s="1" t="s">
        <v>26</v>
      </c>
      <c r="AD74" s="1" t="s">
        <v>26</v>
      </c>
      <c r="AE74" s="2">
        <v>490656068.88999999</v>
      </c>
      <c r="AF74" s="1">
        <v>1</v>
      </c>
      <c r="AG74" s="1" t="s">
        <v>26</v>
      </c>
      <c r="AH74" s="1" t="s">
        <v>26</v>
      </c>
      <c r="AI74" s="2" t="s">
        <v>26</v>
      </c>
      <c r="AJ74" s="1" t="s">
        <v>26</v>
      </c>
      <c r="AK74" s="1" t="s">
        <v>26</v>
      </c>
      <c r="AL74" s="1" t="s">
        <v>26</v>
      </c>
      <c r="AM74" s="2" t="s">
        <v>26</v>
      </c>
      <c r="AN74" s="1" t="s">
        <v>26</v>
      </c>
      <c r="AO74" s="1" t="s">
        <v>26</v>
      </c>
      <c r="AP74" s="1" t="s">
        <v>26</v>
      </c>
      <c r="AQ74" s="2" t="s">
        <v>26</v>
      </c>
      <c r="AR74" s="1" t="s">
        <v>26</v>
      </c>
      <c r="AS74" s="1" t="s">
        <v>26</v>
      </c>
      <c r="AT74" s="1" t="s">
        <v>26</v>
      </c>
      <c r="AU74" s="2" t="s">
        <v>26</v>
      </c>
      <c r="AV74" s="1" t="s">
        <v>26</v>
      </c>
      <c r="AW74" s="1" t="s">
        <v>26</v>
      </c>
      <c r="AX74" s="1" t="s">
        <v>26</v>
      </c>
      <c r="AY74" s="2">
        <v>490656068.88999999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68</v>
      </c>
      <c r="B75" s="24" t="s">
        <v>25</v>
      </c>
      <c r="C75" s="10" t="s">
        <v>26</v>
      </c>
      <c r="D75" s="11" t="s">
        <v>26</v>
      </c>
      <c r="E75" s="11" t="s">
        <v>26</v>
      </c>
      <c r="F75" s="11" t="s">
        <v>26</v>
      </c>
      <c r="G75" s="10">
        <v>490939980.66000003</v>
      </c>
      <c r="H75" s="11">
        <v>3.5730092469699998E-3</v>
      </c>
      <c r="I75" s="11">
        <v>0.09</v>
      </c>
      <c r="J75" s="11">
        <v>8.6400000000000005E-2</v>
      </c>
      <c r="K75" s="10" t="s">
        <v>26</v>
      </c>
      <c r="L75" s="11" t="s">
        <v>26</v>
      </c>
      <c r="M75" s="11" t="s">
        <v>26</v>
      </c>
      <c r="N75" s="11" t="s">
        <v>26</v>
      </c>
      <c r="O75" s="10">
        <v>1082901061.24</v>
      </c>
      <c r="P75" s="11">
        <v>5.2911588965999998E-3</v>
      </c>
      <c r="Q75" s="11">
        <v>0.09</v>
      </c>
      <c r="R75" s="11">
        <v>8.4699999999999998E-2</v>
      </c>
      <c r="S75" s="10">
        <v>494806382.72000003</v>
      </c>
      <c r="T75" s="11">
        <v>4.81248751114E-3</v>
      </c>
      <c r="U75" s="11">
        <v>0.09</v>
      </c>
      <c r="V75" s="11">
        <v>8.5199999999999998E-2</v>
      </c>
      <c r="W75" s="10" t="s">
        <v>26</v>
      </c>
      <c r="X75" s="11" t="s">
        <v>26</v>
      </c>
      <c r="Y75" s="11" t="s">
        <v>26</v>
      </c>
      <c r="Z75" s="11" t="s">
        <v>26</v>
      </c>
      <c r="AA75" s="10">
        <v>1318400693.9000001</v>
      </c>
      <c r="AB75" s="11">
        <v>1.046240624381E-2</v>
      </c>
      <c r="AC75" s="11">
        <v>0.09</v>
      </c>
      <c r="AD75" s="11">
        <v>7.9500000000000001E-2</v>
      </c>
      <c r="AE75" s="10">
        <v>3387048118.52</v>
      </c>
      <c r="AF75" s="11">
        <v>5.7926534277600002E-3</v>
      </c>
      <c r="AG75" s="11">
        <v>0.09</v>
      </c>
      <c r="AH75" s="11">
        <v>8.4199999999999997E-2</v>
      </c>
      <c r="AI75" s="10">
        <v>92291083.920000002</v>
      </c>
      <c r="AJ75" s="11">
        <v>5.77757092604E-3</v>
      </c>
      <c r="AK75" s="11">
        <v>0.09</v>
      </c>
      <c r="AL75" s="11">
        <v>8.4199999999999997E-2</v>
      </c>
      <c r="AM75" s="10">
        <v>12994016.310000001</v>
      </c>
      <c r="AN75" s="11">
        <v>5.6253500106000004E-4</v>
      </c>
      <c r="AO75" s="11">
        <v>0.09</v>
      </c>
      <c r="AP75" s="11">
        <v>8.9399999999999993E-2</v>
      </c>
      <c r="AQ75" s="10">
        <v>105285100.23</v>
      </c>
      <c r="AR75" s="11">
        <v>2.69456979241E-3</v>
      </c>
      <c r="AS75" s="11">
        <v>0.09</v>
      </c>
      <c r="AT75" s="11">
        <v>8.7300000000000003E-2</v>
      </c>
      <c r="AU75" s="10">
        <v>178432610.69999999</v>
      </c>
      <c r="AV75" s="11">
        <v>4.3308389774000004E-3</v>
      </c>
      <c r="AW75" s="11">
        <v>0.09</v>
      </c>
      <c r="AX75" s="11">
        <v>8.5699999999999998E-2</v>
      </c>
      <c r="AY75" s="10">
        <v>3670765829.4499998</v>
      </c>
      <c r="AZ75" s="11">
        <v>5.5200483973200003E-3</v>
      </c>
      <c r="BA75" s="11">
        <v>0.09</v>
      </c>
      <c r="BB75" s="11">
        <v>8.4500000000000006E-2</v>
      </c>
    </row>
    <row r="76" spans="1:54" s="7" customFormat="1">
      <c r="A76" s="3" t="s">
        <v>67</v>
      </c>
      <c r="B76" s="31" t="s">
        <v>37</v>
      </c>
      <c r="C76" s="2" t="s">
        <v>26</v>
      </c>
      <c r="D76" s="1" t="s">
        <v>26</v>
      </c>
      <c r="E76" s="1" t="s">
        <v>26</v>
      </c>
      <c r="F76" s="1" t="s">
        <v>26</v>
      </c>
      <c r="G76" s="2">
        <v>490939980.66000003</v>
      </c>
      <c r="H76" s="1">
        <v>1</v>
      </c>
      <c r="I76" s="1" t="s">
        <v>26</v>
      </c>
      <c r="J76" s="1" t="s">
        <v>26</v>
      </c>
      <c r="K76" s="2" t="s">
        <v>26</v>
      </c>
      <c r="L76" s="1" t="s">
        <v>26</v>
      </c>
      <c r="M76" s="1" t="s">
        <v>26</v>
      </c>
      <c r="N76" s="1" t="s">
        <v>26</v>
      </c>
      <c r="O76" s="2">
        <v>1082901061.24</v>
      </c>
      <c r="P76" s="1">
        <v>1</v>
      </c>
      <c r="Q76" s="1" t="s">
        <v>26</v>
      </c>
      <c r="R76" s="1" t="s">
        <v>26</v>
      </c>
      <c r="S76" s="2">
        <v>494806382.72000003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>
        <v>1318400693.9000001</v>
      </c>
      <c r="AB76" s="1">
        <v>1</v>
      </c>
      <c r="AC76" s="1" t="s">
        <v>26</v>
      </c>
      <c r="AD76" s="1" t="s">
        <v>26</v>
      </c>
      <c r="AE76" s="2">
        <v>3387048118.52</v>
      </c>
      <c r="AF76" s="1">
        <v>1</v>
      </c>
      <c r="AG76" s="1" t="s">
        <v>26</v>
      </c>
      <c r="AH76" s="1" t="s">
        <v>26</v>
      </c>
      <c r="AI76" s="2">
        <v>92291083.920000002</v>
      </c>
      <c r="AJ76" s="1">
        <v>1</v>
      </c>
      <c r="AK76" s="1" t="s">
        <v>26</v>
      </c>
      <c r="AL76" s="1" t="s">
        <v>26</v>
      </c>
      <c r="AM76" s="2">
        <v>12994016.310000001</v>
      </c>
      <c r="AN76" s="1">
        <v>1</v>
      </c>
      <c r="AO76" s="1" t="s">
        <v>26</v>
      </c>
      <c r="AP76" s="1" t="s">
        <v>26</v>
      </c>
      <c r="AQ76" s="2">
        <v>105285100.23</v>
      </c>
      <c r="AR76" s="1">
        <v>1</v>
      </c>
      <c r="AS76" s="1" t="s">
        <v>26</v>
      </c>
      <c r="AT76" s="1" t="s">
        <v>26</v>
      </c>
      <c r="AU76" s="2">
        <v>178432610.69999999</v>
      </c>
      <c r="AV76" s="1">
        <v>1</v>
      </c>
      <c r="AW76" s="1" t="s">
        <v>26</v>
      </c>
      <c r="AX76" s="1" t="s">
        <v>26</v>
      </c>
      <c r="AY76" s="2">
        <v>3670765829.4499998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69</v>
      </c>
      <c r="B77" s="24" t="s">
        <v>25</v>
      </c>
      <c r="C77" s="10">
        <v>314215980.06999999</v>
      </c>
      <c r="D77" s="11">
        <v>5.8100690105979999E-2</v>
      </c>
      <c r="E77" s="11">
        <v>0.08</v>
      </c>
      <c r="F77" s="11">
        <v>2.1899999999999999E-2</v>
      </c>
      <c r="G77" s="10">
        <v>409704864</v>
      </c>
      <c r="H77" s="11">
        <v>2.9817886610699999E-3</v>
      </c>
      <c r="I77" s="11">
        <v>0.08</v>
      </c>
      <c r="J77" s="11">
        <v>7.6999999999999999E-2</v>
      </c>
      <c r="K77" s="10">
        <v>160475044.88999999</v>
      </c>
      <c r="L77" s="11">
        <v>6.1647869732309998E-2</v>
      </c>
      <c r="M77" s="11">
        <v>0.08</v>
      </c>
      <c r="N77" s="11">
        <v>1.84E-2</v>
      </c>
      <c r="O77" s="10">
        <v>1461038513.0999999</v>
      </c>
      <c r="P77" s="11">
        <v>7.13877491081E-3</v>
      </c>
      <c r="Q77" s="11">
        <v>0.08</v>
      </c>
      <c r="R77" s="11">
        <v>7.2900000000000006E-2</v>
      </c>
      <c r="S77" s="10">
        <v>315290418.51999998</v>
      </c>
      <c r="T77" s="11">
        <v>3.06651501375E-3</v>
      </c>
      <c r="U77" s="11">
        <v>0.08</v>
      </c>
      <c r="V77" s="11">
        <v>7.6899999999999996E-2</v>
      </c>
      <c r="W77" s="10" t="s">
        <v>26</v>
      </c>
      <c r="X77" s="11" t="s">
        <v>26</v>
      </c>
      <c r="Y77" s="11" t="s">
        <v>26</v>
      </c>
      <c r="Z77" s="11" t="s">
        <v>26</v>
      </c>
      <c r="AA77" s="10" t="s">
        <v>26</v>
      </c>
      <c r="AB77" s="11" t="s">
        <v>26</v>
      </c>
      <c r="AC77" s="11" t="s">
        <v>26</v>
      </c>
      <c r="AD77" s="11" t="s">
        <v>26</v>
      </c>
      <c r="AE77" s="10">
        <v>2660724820.5799999</v>
      </c>
      <c r="AF77" s="11">
        <v>4.55046878961E-3</v>
      </c>
      <c r="AG77" s="11">
        <v>0.08</v>
      </c>
      <c r="AH77" s="11">
        <v>7.5399999999999995E-2</v>
      </c>
      <c r="AI77" s="10" t="s">
        <v>26</v>
      </c>
      <c r="AJ77" s="11" t="s">
        <v>26</v>
      </c>
      <c r="AK77" s="11" t="s">
        <v>26</v>
      </c>
      <c r="AL77" s="11" t="s">
        <v>26</v>
      </c>
      <c r="AM77" s="10" t="s">
        <v>26</v>
      </c>
      <c r="AN77" s="11" t="s">
        <v>26</v>
      </c>
      <c r="AO77" s="11" t="s">
        <v>26</v>
      </c>
      <c r="AP77" s="11" t="s">
        <v>26</v>
      </c>
      <c r="AQ77" s="10" t="s">
        <v>26</v>
      </c>
      <c r="AR77" s="11" t="s">
        <v>26</v>
      </c>
      <c r="AS77" s="11" t="s">
        <v>26</v>
      </c>
      <c r="AT77" s="11" t="s">
        <v>26</v>
      </c>
      <c r="AU77" s="10" t="s">
        <v>26</v>
      </c>
      <c r="AV77" s="11" t="s">
        <v>26</v>
      </c>
      <c r="AW77" s="11" t="s">
        <v>26</v>
      </c>
      <c r="AX77" s="11" t="s">
        <v>26</v>
      </c>
      <c r="AY77" s="10">
        <v>2660724820.5799999</v>
      </c>
      <c r="AZ77" s="11">
        <v>4.0011622816500001E-3</v>
      </c>
      <c r="BA77" s="11">
        <v>0.08</v>
      </c>
      <c r="BB77" s="11">
        <v>7.5999999999999998E-2</v>
      </c>
    </row>
    <row r="78" spans="1:54" s="7" customFormat="1">
      <c r="A78" s="3" t="s">
        <v>67</v>
      </c>
      <c r="B78" s="31" t="s">
        <v>56</v>
      </c>
      <c r="C78" s="2">
        <v>314215980.06999999</v>
      </c>
      <c r="D78" s="1">
        <v>1</v>
      </c>
      <c r="E78" s="1" t="s">
        <v>26</v>
      </c>
      <c r="F78" s="1" t="s">
        <v>26</v>
      </c>
      <c r="G78" s="2">
        <v>409704864</v>
      </c>
      <c r="H78" s="1">
        <v>1</v>
      </c>
      <c r="I78" s="1" t="s">
        <v>26</v>
      </c>
      <c r="J78" s="1" t="s">
        <v>26</v>
      </c>
      <c r="K78" s="2">
        <v>160475044.88999999</v>
      </c>
      <c r="L78" s="1">
        <v>1</v>
      </c>
      <c r="M78" s="1" t="s">
        <v>26</v>
      </c>
      <c r="N78" s="1" t="s">
        <v>26</v>
      </c>
      <c r="O78" s="2">
        <v>1461038513.0999999</v>
      </c>
      <c r="P78" s="1">
        <v>1</v>
      </c>
      <c r="Q78" s="1" t="s">
        <v>26</v>
      </c>
      <c r="R78" s="1" t="s">
        <v>26</v>
      </c>
      <c r="S78" s="2">
        <v>315290418.51999998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2660724820.5799999</v>
      </c>
      <c r="AF78" s="1">
        <v>1</v>
      </c>
      <c r="AG78" s="1" t="s">
        <v>26</v>
      </c>
      <c r="AH78" s="1" t="s">
        <v>26</v>
      </c>
      <c r="AI78" s="2" t="s">
        <v>26</v>
      </c>
      <c r="AJ78" s="1" t="s">
        <v>26</v>
      </c>
      <c r="AK78" s="1" t="s">
        <v>26</v>
      </c>
      <c r="AL78" s="1" t="s">
        <v>26</v>
      </c>
      <c r="AM78" s="2" t="s">
        <v>26</v>
      </c>
      <c r="AN78" s="1" t="s">
        <v>26</v>
      </c>
      <c r="AO78" s="1" t="s">
        <v>26</v>
      </c>
      <c r="AP78" s="1" t="s">
        <v>26</v>
      </c>
      <c r="AQ78" s="2" t="s">
        <v>26</v>
      </c>
      <c r="AR78" s="1" t="s">
        <v>26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2660724820.5799999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70</v>
      </c>
      <c r="B79" s="24" t="s">
        <v>25</v>
      </c>
      <c r="C79" s="10" t="s">
        <v>26</v>
      </c>
      <c r="D79" s="11" t="s">
        <v>26</v>
      </c>
      <c r="E79" s="11" t="s">
        <v>26</v>
      </c>
      <c r="F79" s="11" t="s">
        <v>26</v>
      </c>
      <c r="G79" s="10">
        <v>2206442167.6300001</v>
      </c>
      <c r="H79" s="11">
        <v>1.6058252695650001E-2</v>
      </c>
      <c r="I79" s="11">
        <v>0.09</v>
      </c>
      <c r="J79" s="11">
        <v>7.3899999999999993E-2</v>
      </c>
      <c r="K79" s="10" t="s">
        <v>26</v>
      </c>
      <c r="L79" s="11" t="s">
        <v>26</v>
      </c>
      <c r="M79" s="11" t="s">
        <v>26</v>
      </c>
      <c r="N79" s="11" t="s">
        <v>26</v>
      </c>
      <c r="O79" s="10">
        <v>2104719030.47</v>
      </c>
      <c r="P79" s="11">
        <v>1.0283859921759999E-2</v>
      </c>
      <c r="Q79" s="11">
        <v>0.09</v>
      </c>
      <c r="R79" s="11">
        <v>7.9699999999999993E-2</v>
      </c>
      <c r="S79" s="10">
        <v>1317582446.6800001</v>
      </c>
      <c r="T79" s="11">
        <v>1.2814808561469999E-2</v>
      </c>
      <c r="U79" s="11">
        <v>0.09</v>
      </c>
      <c r="V79" s="11">
        <v>7.7200000000000005E-2</v>
      </c>
      <c r="W79" s="10" t="s">
        <v>26</v>
      </c>
      <c r="X79" s="11" t="s">
        <v>26</v>
      </c>
      <c r="Y79" s="11" t="s">
        <v>26</v>
      </c>
      <c r="Z79" s="11" t="s">
        <v>26</v>
      </c>
      <c r="AA79" s="10">
        <v>1757669259.3599999</v>
      </c>
      <c r="AB79" s="11">
        <v>1.394830108841E-2</v>
      </c>
      <c r="AC79" s="11">
        <v>0.09</v>
      </c>
      <c r="AD79" s="11">
        <v>7.6100000000000001E-2</v>
      </c>
      <c r="AE79" s="10">
        <v>7386412904.1400003</v>
      </c>
      <c r="AF79" s="11">
        <v>1.263251318871E-2</v>
      </c>
      <c r="AG79" s="11">
        <v>0.09</v>
      </c>
      <c r="AH79" s="11">
        <v>7.7399999999999997E-2</v>
      </c>
      <c r="AI79" s="10">
        <v>15648197.52</v>
      </c>
      <c r="AJ79" s="11">
        <v>9.7960244040999991E-4</v>
      </c>
      <c r="AK79" s="11">
        <v>0.09</v>
      </c>
      <c r="AL79" s="11">
        <v>8.8999999999999996E-2</v>
      </c>
      <c r="AM79" s="10">
        <v>112109537.68000001</v>
      </c>
      <c r="AN79" s="11">
        <v>4.8534292549300001E-3</v>
      </c>
      <c r="AO79" s="11">
        <v>0.09</v>
      </c>
      <c r="AP79" s="11">
        <v>8.5099999999999995E-2</v>
      </c>
      <c r="AQ79" s="10">
        <v>127757735.2</v>
      </c>
      <c r="AR79" s="11">
        <v>3.2697136941899998E-3</v>
      </c>
      <c r="AS79" s="11">
        <v>0.09</v>
      </c>
      <c r="AT79" s="11">
        <v>8.6699999999999999E-2</v>
      </c>
      <c r="AU79" s="10">
        <v>460634371.08999997</v>
      </c>
      <c r="AV79" s="11">
        <v>1.118031777275E-2</v>
      </c>
      <c r="AW79" s="11">
        <v>0.09</v>
      </c>
      <c r="AX79" s="11">
        <v>7.8799999999999995E-2</v>
      </c>
      <c r="AY79" s="10">
        <v>7974805010.4300003</v>
      </c>
      <c r="AZ79" s="11">
        <v>1.199240476295E-2</v>
      </c>
      <c r="BA79" s="11">
        <v>0.09</v>
      </c>
      <c r="BB79" s="11">
        <v>7.8E-2</v>
      </c>
    </row>
    <row r="80" spans="1:54" s="7" customFormat="1">
      <c r="A80" s="3" t="s">
        <v>67</v>
      </c>
      <c r="B80" s="31" t="s">
        <v>37</v>
      </c>
      <c r="C80" s="2" t="s">
        <v>26</v>
      </c>
      <c r="D80" s="1" t="s">
        <v>26</v>
      </c>
      <c r="E80" s="1" t="s">
        <v>26</v>
      </c>
      <c r="F80" s="1" t="s">
        <v>26</v>
      </c>
      <c r="G80" s="2">
        <v>2206442167.6300001</v>
      </c>
      <c r="H80" s="1">
        <v>1</v>
      </c>
      <c r="I80" s="1" t="s">
        <v>26</v>
      </c>
      <c r="J80" s="1" t="s">
        <v>26</v>
      </c>
      <c r="K80" s="2" t="s">
        <v>26</v>
      </c>
      <c r="L80" s="1" t="s">
        <v>26</v>
      </c>
      <c r="M80" s="1" t="s">
        <v>26</v>
      </c>
      <c r="N80" s="1" t="s">
        <v>26</v>
      </c>
      <c r="O80" s="2">
        <v>2104719030.47</v>
      </c>
      <c r="P80" s="1">
        <v>1</v>
      </c>
      <c r="Q80" s="1" t="s">
        <v>26</v>
      </c>
      <c r="R80" s="1" t="s">
        <v>26</v>
      </c>
      <c r="S80" s="2">
        <v>1317582446.6800001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>
        <v>1757669259.3599999</v>
      </c>
      <c r="AB80" s="1">
        <v>1</v>
      </c>
      <c r="AC80" s="1" t="s">
        <v>26</v>
      </c>
      <c r="AD80" s="1" t="s">
        <v>26</v>
      </c>
      <c r="AE80" s="2">
        <v>7386412904.1400003</v>
      </c>
      <c r="AF80" s="1">
        <v>1</v>
      </c>
      <c r="AG80" s="1" t="s">
        <v>26</v>
      </c>
      <c r="AH80" s="1" t="s">
        <v>26</v>
      </c>
      <c r="AI80" s="2">
        <v>15648197.52</v>
      </c>
      <c r="AJ80" s="1">
        <v>1</v>
      </c>
      <c r="AK80" s="1" t="s">
        <v>26</v>
      </c>
      <c r="AL80" s="1" t="s">
        <v>26</v>
      </c>
      <c r="AM80" s="2">
        <v>112109537.68000001</v>
      </c>
      <c r="AN80" s="1">
        <v>1</v>
      </c>
      <c r="AO80" s="1" t="s">
        <v>26</v>
      </c>
      <c r="AP80" s="1" t="s">
        <v>26</v>
      </c>
      <c r="AQ80" s="2">
        <v>127757735.2</v>
      </c>
      <c r="AR80" s="1">
        <v>1</v>
      </c>
      <c r="AS80" s="1" t="s">
        <v>26</v>
      </c>
      <c r="AT80" s="1" t="s">
        <v>26</v>
      </c>
      <c r="AU80" s="2">
        <v>460634371.08999997</v>
      </c>
      <c r="AV80" s="1">
        <v>1</v>
      </c>
      <c r="AW80" s="1" t="s">
        <v>26</v>
      </c>
      <c r="AX80" s="1" t="s">
        <v>26</v>
      </c>
      <c r="AY80" s="2">
        <v>7974805010.4300003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71</v>
      </c>
      <c r="B81" s="24" t="s">
        <v>25</v>
      </c>
      <c r="C81" s="10">
        <v>87824222.170000002</v>
      </c>
      <c r="D81" s="11">
        <v>1.6239301116900001E-2</v>
      </c>
      <c r="E81" s="11">
        <v>0.08</v>
      </c>
      <c r="F81" s="11">
        <v>6.3799999999999996E-2</v>
      </c>
      <c r="G81" s="10">
        <v>217743943.41</v>
      </c>
      <c r="H81" s="11">
        <v>1.5847173868999999E-3</v>
      </c>
      <c r="I81" s="11">
        <v>0.08</v>
      </c>
      <c r="J81" s="11">
        <v>7.8399999999999997E-2</v>
      </c>
      <c r="K81" s="10">
        <v>105726348.88</v>
      </c>
      <c r="L81" s="11">
        <v>4.0615686928109997E-2</v>
      </c>
      <c r="M81" s="11">
        <v>0.08</v>
      </c>
      <c r="N81" s="11">
        <v>3.9399999999999998E-2</v>
      </c>
      <c r="O81" s="10">
        <v>2828279029.5300002</v>
      </c>
      <c r="P81" s="11">
        <v>1.3819243774709999E-2</v>
      </c>
      <c r="Q81" s="11">
        <v>0.08</v>
      </c>
      <c r="R81" s="11">
        <v>6.6199999999999995E-2</v>
      </c>
      <c r="S81" s="10">
        <v>2916721252.3000002</v>
      </c>
      <c r="T81" s="11">
        <v>2.836803463007E-2</v>
      </c>
      <c r="U81" s="11">
        <v>0.08</v>
      </c>
      <c r="V81" s="11">
        <v>5.16E-2</v>
      </c>
      <c r="W81" s="10" t="s">
        <v>26</v>
      </c>
      <c r="X81" s="11" t="s">
        <v>26</v>
      </c>
      <c r="Y81" s="11" t="s">
        <v>26</v>
      </c>
      <c r="Z81" s="11" t="s">
        <v>26</v>
      </c>
      <c r="AA81" s="10">
        <v>1907607202.9200001</v>
      </c>
      <c r="AB81" s="11">
        <v>1.5138160653969999E-2</v>
      </c>
      <c r="AC81" s="11">
        <v>0.08</v>
      </c>
      <c r="AD81" s="11">
        <v>6.4899999999999999E-2</v>
      </c>
      <c r="AE81" s="10">
        <v>8063901999.21</v>
      </c>
      <c r="AF81" s="11">
        <v>1.3791179789090001E-2</v>
      </c>
      <c r="AG81" s="11">
        <v>0.08</v>
      </c>
      <c r="AH81" s="11">
        <v>6.6199999999999995E-2</v>
      </c>
      <c r="AI81" s="10">
        <v>597981256.80999994</v>
      </c>
      <c r="AJ81" s="11">
        <v>3.7434592562100001E-2</v>
      </c>
      <c r="AK81" s="11">
        <v>0.08</v>
      </c>
      <c r="AL81" s="11">
        <v>4.2599999999999999E-2</v>
      </c>
      <c r="AM81" s="10">
        <v>1685597637.55</v>
      </c>
      <c r="AN81" s="11">
        <v>7.2972639575810003E-2</v>
      </c>
      <c r="AO81" s="11">
        <v>0.08</v>
      </c>
      <c r="AP81" s="11">
        <v>7.0000000000000001E-3</v>
      </c>
      <c r="AQ81" s="10">
        <v>2283578894.3600001</v>
      </c>
      <c r="AR81" s="11">
        <v>5.8443812979070003E-2</v>
      </c>
      <c r="AS81" s="11">
        <v>0.08</v>
      </c>
      <c r="AT81" s="11">
        <v>2.1600000000000001E-2</v>
      </c>
      <c r="AU81" s="10">
        <v>698399155.51999998</v>
      </c>
      <c r="AV81" s="11">
        <v>1.6951241550770001E-2</v>
      </c>
      <c r="AW81" s="11">
        <v>0.08</v>
      </c>
      <c r="AX81" s="11">
        <v>6.3E-2</v>
      </c>
      <c r="AY81" s="10">
        <v>11045880049.09</v>
      </c>
      <c r="AZ81" s="11">
        <v>1.661064619617E-2</v>
      </c>
      <c r="BA81" s="11">
        <v>0.08</v>
      </c>
      <c r="BB81" s="11">
        <v>6.3399999999999998E-2</v>
      </c>
    </row>
    <row r="82" spans="1:54" s="7" customFormat="1">
      <c r="A82" s="3" t="s">
        <v>67</v>
      </c>
      <c r="B82" s="31" t="s">
        <v>56</v>
      </c>
      <c r="C82" s="2">
        <v>87824222.170000002</v>
      </c>
      <c r="D82" s="1">
        <v>1</v>
      </c>
      <c r="E82" s="1" t="s">
        <v>26</v>
      </c>
      <c r="F82" s="1" t="s">
        <v>26</v>
      </c>
      <c r="G82" s="2">
        <v>217743943.41</v>
      </c>
      <c r="H82" s="1">
        <v>1</v>
      </c>
      <c r="I82" s="1" t="s">
        <v>26</v>
      </c>
      <c r="J82" s="1" t="s">
        <v>26</v>
      </c>
      <c r="K82" s="2">
        <v>105726348.88</v>
      </c>
      <c r="L82" s="1">
        <v>1</v>
      </c>
      <c r="M82" s="1" t="s">
        <v>26</v>
      </c>
      <c r="N82" s="1" t="s">
        <v>26</v>
      </c>
      <c r="O82" s="2">
        <v>2828279029.5300002</v>
      </c>
      <c r="P82" s="1">
        <v>1</v>
      </c>
      <c r="Q82" s="1" t="s">
        <v>26</v>
      </c>
      <c r="R82" s="1" t="s">
        <v>26</v>
      </c>
      <c r="S82" s="2">
        <v>2916721252.3000002</v>
      </c>
      <c r="T82" s="1">
        <v>1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>
        <v>1907607202.9200001</v>
      </c>
      <c r="AB82" s="1">
        <v>1</v>
      </c>
      <c r="AC82" s="1" t="s">
        <v>26</v>
      </c>
      <c r="AD82" s="1" t="s">
        <v>26</v>
      </c>
      <c r="AE82" s="2">
        <v>8063901999.21</v>
      </c>
      <c r="AF82" s="1">
        <v>1</v>
      </c>
      <c r="AG82" s="1" t="s">
        <v>26</v>
      </c>
      <c r="AH82" s="1" t="s">
        <v>26</v>
      </c>
      <c r="AI82" s="2">
        <v>597981256.80999994</v>
      </c>
      <c r="AJ82" s="1">
        <v>1</v>
      </c>
      <c r="AK82" s="1" t="s">
        <v>26</v>
      </c>
      <c r="AL82" s="1" t="s">
        <v>26</v>
      </c>
      <c r="AM82" s="2">
        <v>1685597637.55</v>
      </c>
      <c r="AN82" s="1">
        <v>1</v>
      </c>
      <c r="AO82" s="1" t="s">
        <v>26</v>
      </c>
      <c r="AP82" s="1" t="s">
        <v>26</v>
      </c>
      <c r="AQ82" s="2">
        <v>2283578894.3600001</v>
      </c>
      <c r="AR82" s="1">
        <v>1</v>
      </c>
      <c r="AS82" s="1" t="s">
        <v>26</v>
      </c>
      <c r="AT82" s="1" t="s">
        <v>26</v>
      </c>
      <c r="AU82" s="2">
        <v>698399155.51999998</v>
      </c>
      <c r="AV82" s="1">
        <v>1</v>
      </c>
      <c r="AW82" s="1" t="s">
        <v>26</v>
      </c>
      <c r="AX82" s="1" t="s">
        <v>26</v>
      </c>
      <c r="AY82" s="2">
        <v>11045880049.09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72</v>
      </c>
      <c r="B83" s="24" t="s">
        <v>25</v>
      </c>
      <c r="C83" s="10">
        <v>91343325.609999999</v>
      </c>
      <c r="D83" s="11">
        <v>1.689000748254E-2</v>
      </c>
      <c r="E83" s="11">
        <v>0.08</v>
      </c>
      <c r="F83" s="11">
        <v>6.3100000000000003E-2</v>
      </c>
      <c r="G83" s="10" t="s">
        <v>26</v>
      </c>
      <c r="H83" s="11" t="s">
        <v>26</v>
      </c>
      <c r="I83" s="11" t="s">
        <v>26</v>
      </c>
      <c r="J83" s="11" t="s">
        <v>26</v>
      </c>
      <c r="K83" s="10">
        <v>104645429.79000001</v>
      </c>
      <c r="L83" s="11">
        <v>4.0200442556019997E-2</v>
      </c>
      <c r="M83" s="11">
        <v>0.08</v>
      </c>
      <c r="N83" s="11">
        <v>3.9800000000000002E-2</v>
      </c>
      <c r="O83" s="10">
        <v>1857052480.8699999</v>
      </c>
      <c r="P83" s="11">
        <v>9.0737373037200007E-3</v>
      </c>
      <c r="Q83" s="11">
        <v>0.08</v>
      </c>
      <c r="R83" s="11">
        <v>7.0900000000000005E-2</v>
      </c>
      <c r="S83" s="10" t="s">
        <v>26</v>
      </c>
      <c r="T83" s="11" t="s">
        <v>26</v>
      </c>
      <c r="U83" s="11" t="s">
        <v>26</v>
      </c>
      <c r="V83" s="11" t="s">
        <v>26</v>
      </c>
      <c r="W83" s="10" t="s">
        <v>26</v>
      </c>
      <c r="X83" s="11" t="s">
        <v>26</v>
      </c>
      <c r="Y83" s="11" t="s">
        <v>26</v>
      </c>
      <c r="Z83" s="11" t="s">
        <v>26</v>
      </c>
      <c r="AA83" s="10" t="s">
        <v>26</v>
      </c>
      <c r="AB83" s="11" t="s">
        <v>26</v>
      </c>
      <c r="AC83" s="11" t="s">
        <v>26</v>
      </c>
      <c r="AD83" s="11" t="s">
        <v>26</v>
      </c>
      <c r="AE83" s="10">
        <v>2053041236.27</v>
      </c>
      <c r="AF83" s="11">
        <v>3.5111861238599999E-3</v>
      </c>
      <c r="AG83" s="11">
        <v>0.08</v>
      </c>
      <c r="AH83" s="11">
        <v>7.6499999999999999E-2</v>
      </c>
      <c r="AI83" s="10" t="s">
        <v>26</v>
      </c>
      <c r="AJ83" s="11" t="s">
        <v>26</v>
      </c>
      <c r="AK83" s="11" t="s">
        <v>26</v>
      </c>
      <c r="AL83" s="11" t="s">
        <v>26</v>
      </c>
      <c r="AM83" s="10">
        <v>372745251.63999999</v>
      </c>
      <c r="AN83" s="11">
        <v>1.613683140957E-2</v>
      </c>
      <c r="AO83" s="11">
        <v>0.08</v>
      </c>
      <c r="AP83" s="11">
        <v>6.3899999999999998E-2</v>
      </c>
      <c r="AQ83" s="10">
        <v>372745251.63999999</v>
      </c>
      <c r="AR83" s="11">
        <v>9.5396983346999996E-3</v>
      </c>
      <c r="AS83" s="11">
        <v>0.08</v>
      </c>
      <c r="AT83" s="11">
        <v>7.0499999999999993E-2</v>
      </c>
      <c r="AU83" s="10" t="s">
        <v>26</v>
      </c>
      <c r="AV83" s="11" t="s">
        <v>26</v>
      </c>
      <c r="AW83" s="11" t="s">
        <v>26</v>
      </c>
      <c r="AX83" s="11" t="s">
        <v>26</v>
      </c>
      <c r="AY83" s="10">
        <v>2425786487.9099998</v>
      </c>
      <c r="AZ83" s="11">
        <v>3.64786516955E-3</v>
      </c>
      <c r="BA83" s="11">
        <v>0.08</v>
      </c>
      <c r="BB83" s="11">
        <v>7.6399999999999996E-2</v>
      </c>
    </row>
    <row r="84" spans="1:54" s="7" customFormat="1">
      <c r="A84" s="3" t="s">
        <v>67</v>
      </c>
      <c r="B84" s="31" t="s">
        <v>56</v>
      </c>
      <c r="C84" s="2">
        <v>91343325.609999999</v>
      </c>
      <c r="D84" s="1">
        <v>1</v>
      </c>
      <c r="E84" s="1" t="s">
        <v>26</v>
      </c>
      <c r="F84" s="1" t="s">
        <v>26</v>
      </c>
      <c r="G84" s="2" t="s">
        <v>26</v>
      </c>
      <c r="H84" s="1" t="s">
        <v>26</v>
      </c>
      <c r="I84" s="1" t="s">
        <v>26</v>
      </c>
      <c r="J84" s="1" t="s">
        <v>26</v>
      </c>
      <c r="K84" s="2">
        <v>104645429.79000001</v>
      </c>
      <c r="L84" s="1">
        <v>1</v>
      </c>
      <c r="M84" s="1" t="s">
        <v>26</v>
      </c>
      <c r="N84" s="1" t="s">
        <v>26</v>
      </c>
      <c r="O84" s="2">
        <v>1857052480.8699999</v>
      </c>
      <c r="P84" s="1">
        <v>1</v>
      </c>
      <c r="Q84" s="1" t="s">
        <v>26</v>
      </c>
      <c r="R84" s="1" t="s">
        <v>26</v>
      </c>
      <c r="S84" s="2" t="s">
        <v>26</v>
      </c>
      <c r="T84" s="1" t="s">
        <v>26</v>
      </c>
      <c r="U84" s="1" t="s">
        <v>26</v>
      </c>
      <c r="V84" s="1" t="s">
        <v>26</v>
      </c>
      <c r="W84" s="2" t="s">
        <v>26</v>
      </c>
      <c r="X84" s="1" t="s">
        <v>26</v>
      </c>
      <c r="Y84" s="1" t="s">
        <v>26</v>
      </c>
      <c r="Z84" s="1" t="s">
        <v>26</v>
      </c>
      <c r="AA84" s="2" t="s">
        <v>26</v>
      </c>
      <c r="AB84" s="1" t="s">
        <v>26</v>
      </c>
      <c r="AC84" s="1" t="s">
        <v>26</v>
      </c>
      <c r="AD84" s="1" t="s">
        <v>26</v>
      </c>
      <c r="AE84" s="2">
        <v>2053041236.27</v>
      </c>
      <c r="AF84" s="1">
        <v>1</v>
      </c>
      <c r="AG84" s="1" t="s">
        <v>26</v>
      </c>
      <c r="AH84" s="1" t="s">
        <v>26</v>
      </c>
      <c r="AI84" s="2" t="s">
        <v>26</v>
      </c>
      <c r="AJ84" s="1" t="s">
        <v>26</v>
      </c>
      <c r="AK84" s="1" t="s">
        <v>26</v>
      </c>
      <c r="AL84" s="1" t="s">
        <v>26</v>
      </c>
      <c r="AM84" s="2">
        <v>372745251.63999999</v>
      </c>
      <c r="AN84" s="1">
        <v>1</v>
      </c>
      <c r="AO84" s="1" t="s">
        <v>26</v>
      </c>
      <c r="AP84" s="1" t="s">
        <v>26</v>
      </c>
      <c r="AQ84" s="2">
        <v>372745251.63999999</v>
      </c>
      <c r="AR84" s="1">
        <v>1</v>
      </c>
      <c r="AS84" s="1" t="s">
        <v>26</v>
      </c>
      <c r="AT84" s="1" t="s">
        <v>26</v>
      </c>
      <c r="AU84" s="2" t="s">
        <v>26</v>
      </c>
      <c r="AV84" s="1" t="s">
        <v>26</v>
      </c>
      <c r="AW84" s="1" t="s">
        <v>26</v>
      </c>
      <c r="AX84" s="1" t="s">
        <v>26</v>
      </c>
      <c r="AY84" s="2">
        <v>2425786487.9099998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73</v>
      </c>
      <c r="B85" s="24" t="s">
        <v>25</v>
      </c>
      <c r="C85" s="10">
        <v>89663129.269999996</v>
      </c>
      <c r="D85" s="11">
        <v>1.6579327653829998E-2</v>
      </c>
      <c r="E85" s="11">
        <v>0.06</v>
      </c>
      <c r="F85" s="11">
        <v>4.3400000000000001E-2</v>
      </c>
      <c r="G85" s="10">
        <v>413155846.69999999</v>
      </c>
      <c r="H85" s="11">
        <v>3.00690454811E-3</v>
      </c>
      <c r="I85" s="11">
        <v>0.06</v>
      </c>
      <c r="J85" s="11">
        <v>5.7000000000000002E-2</v>
      </c>
      <c r="K85" s="10">
        <v>8942573.1699999999</v>
      </c>
      <c r="L85" s="11">
        <v>3.4353664536E-3</v>
      </c>
      <c r="M85" s="11">
        <v>0.06</v>
      </c>
      <c r="N85" s="11">
        <v>5.6599999999999998E-2</v>
      </c>
      <c r="O85" s="10">
        <v>410195965.64999998</v>
      </c>
      <c r="P85" s="11">
        <v>2.0042570006500002E-3</v>
      </c>
      <c r="Q85" s="11">
        <v>0.06</v>
      </c>
      <c r="R85" s="11">
        <v>5.8000000000000003E-2</v>
      </c>
      <c r="S85" s="10">
        <v>129667316.44</v>
      </c>
      <c r="T85" s="11">
        <v>1.26114448553E-3</v>
      </c>
      <c r="U85" s="11">
        <v>0.06</v>
      </c>
      <c r="V85" s="11">
        <v>5.8700000000000002E-2</v>
      </c>
      <c r="W85" s="10" t="s">
        <v>26</v>
      </c>
      <c r="X85" s="11" t="s">
        <v>26</v>
      </c>
      <c r="Y85" s="11" t="s">
        <v>26</v>
      </c>
      <c r="Z85" s="11" t="s">
        <v>26</v>
      </c>
      <c r="AA85" s="10">
        <v>102418177</v>
      </c>
      <c r="AB85" s="11">
        <v>8.1275789634999997E-4</v>
      </c>
      <c r="AC85" s="11">
        <v>0.06</v>
      </c>
      <c r="AD85" s="11">
        <v>5.9200000000000003E-2</v>
      </c>
      <c r="AE85" s="10">
        <v>1154043008.23</v>
      </c>
      <c r="AF85" s="11">
        <v>1.9736865121099999E-3</v>
      </c>
      <c r="AG85" s="11">
        <v>0.06</v>
      </c>
      <c r="AH85" s="11">
        <v>5.8000000000000003E-2</v>
      </c>
      <c r="AI85" s="10">
        <v>272495736.25</v>
      </c>
      <c r="AJ85" s="11">
        <v>1.705867323643E-2</v>
      </c>
      <c r="AK85" s="11">
        <v>0.06</v>
      </c>
      <c r="AL85" s="11">
        <v>4.2900000000000001E-2</v>
      </c>
      <c r="AM85" s="10" t="s">
        <v>26</v>
      </c>
      <c r="AN85" s="11" t="s">
        <v>26</v>
      </c>
      <c r="AO85" s="11" t="s">
        <v>26</v>
      </c>
      <c r="AP85" s="11" t="s">
        <v>26</v>
      </c>
      <c r="AQ85" s="10">
        <v>272495736.25</v>
      </c>
      <c r="AR85" s="11">
        <v>6.97400465836E-3</v>
      </c>
      <c r="AS85" s="11">
        <v>0.06</v>
      </c>
      <c r="AT85" s="11">
        <v>5.2999999999999999E-2</v>
      </c>
      <c r="AU85" s="10" t="s">
        <v>26</v>
      </c>
      <c r="AV85" s="11" t="s">
        <v>26</v>
      </c>
      <c r="AW85" s="11" t="s">
        <v>26</v>
      </c>
      <c r="AX85" s="11" t="s">
        <v>26</v>
      </c>
      <c r="AY85" s="10">
        <v>1426538744.48</v>
      </c>
      <c r="AZ85" s="11">
        <v>2.14520982161E-3</v>
      </c>
      <c r="BA85" s="11">
        <v>0.06</v>
      </c>
      <c r="BB85" s="11">
        <v>5.79E-2</v>
      </c>
    </row>
    <row r="86" spans="1:54" s="7" customFormat="1">
      <c r="A86" s="3" t="s">
        <v>67</v>
      </c>
      <c r="B86" s="31" t="s">
        <v>46</v>
      </c>
      <c r="C86" s="2">
        <v>89663129.269999996</v>
      </c>
      <c r="D86" s="1">
        <v>1</v>
      </c>
      <c r="E86" s="1" t="s">
        <v>26</v>
      </c>
      <c r="F86" s="1" t="s">
        <v>26</v>
      </c>
      <c r="G86" s="2">
        <v>413155846.69999999</v>
      </c>
      <c r="H86" s="1">
        <v>1</v>
      </c>
      <c r="I86" s="1" t="s">
        <v>26</v>
      </c>
      <c r="J86" s="1" t="s">
        <v>26</v>
      </c>
      <c r="K86" s="2">
        <v>8942573.1699999999</v>
      </c>
      <c r="L86" s="1">
        <v>1</v>
      </c>
      <c r="M86" s="1" t="s">
        <v>26</v>
      </c>
      <c r="N86" s="1" t="s">
        <v>26</v>
      </c>
      <c r="O86" s="2">
        <v>410195965.64999998</v>
      </c>
      <c r="P86" s="1">
        <v>1</v>
      </c>
      <c r="Q86" s="1" t="s">
        <v>26</v>
      </c>
      <c r="R86" s="1" t="s">
        <v>26</v>
      </c>
      <c r="S86" s="2">
        <v>129667316.44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>
        <v>102418177</v>
      </c>
      <c r="AB86" s="1">
        <v>1</v>
      </c>
      <c r="AC86" s="1" t="s">
        <v>26</v>
      </c>
      <c r="AD86" s="1" t="s">
        <v>26</v>
      </c>
      <c r="AE86" s="2">
        <v>1154043008.23</v>
      </c>
      <c r="AF86" s="1">
        <v>1</v>
      </c>
      <c r="AG86" s="1" t="s">
        <v>26</v>
      </c>
      <c r="AH86" s="1" t="s">
        <v>26</v>
      </c>
      <c r="AI86" s="2">
        <v>272495736.25</v>
      </c>
      <c r="AJ86" s="1">
        <v>1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>
        <v>272495736.25</v>
      </c>
      <c r="AR86" s="1">
        <v>1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2">
        <v>1426538744.48</v>
      </c>
      <c r="AZ86" s="1">
        <v>1</v>
      </c>
      <c r="BA86" s="1" t="s">
        <v>26</v>
      </c>
      <c r="BB86" s="1" t="s">
        <v>26</v>
      </c>
    </row>
    <row r="87" spans="1:54" s="7" customFormat="1">
      <c r="A87" s="5" t="s">
        <v>74</v>
      </c>
      <c r="B87" s="24" t="s">
        <v>25</v>
      </c>
      <c r="C87" s="10">
        <v>12450319.16</v>
      </c>
      <c r="D87" s="11">
        <v>2.3021494166999999E-3</v>
      </c>
      <c r="E87" s="11">
        <v>0.06</v>
      </c>
      <c r="F87" s="11">
        <v>5.7700000000000001E-2</v>
      </c>
      <c r="G87" s="10">
        <v>587080874.5</v>
      </c>
      <c r="H87" s="11">
        <v>4.2727125024200003E-3</v>
      </c>
      <c r="I87" s="11">
        <v>0.06</v>
      </c>
      <c r="J87" s="11">
        <v>5.57E-2</v>
      </c>
      <c r="K87" s="10" t="s">
        <v>26</v>
      </c>
      <c r="L87" s="11" t="s">
        <v>26</v>
      </c>
      <c r="M87" s="11" t="s">
        <v>26</v>
      </c>
      <c r="N87" s="11" t="s">
        <v>26</v>
      </c>
      <c r="O87" s="10">
        <v>374094236.12</v>
      </c>
      <c r="P87" s="11">
        <v>1.82786047263E-3</v>
      </c>
      <c r="Q87" s="11">
        <v>0.06</v>
      </c>
      <c r="R87" s="11">
        <v>5.8200000000000002E-2</v>
      </c>
      <c r="S87" s="10">
        <v>107506955.39</v>
      </c>
      <c r="T87" s="11">
        <v>1.04561278561E-3</v>
      </c>
      <c r="U87" s="11">
        <v>0.06</v>
      </c>
      <c r="V87" s="11">
        <v>5.8999999999999997E-2</v>
      </c>
      <c r="W87" s="10" t="s">
        <v>26</v>
      </c>
      <c r="X87" s="11" t="s">
        <v>26</v>
      </c>
      <c r="Y87" s="11" t="s">
        <v>26</v>
      </c>
      <c r="Z87" s="11" t="s">
        <v>26</v>
      </c>
      <c r="AA87" s="10">
        <v>154822852.5</v>
      </c>
      <c r="AB87" s="11">
        <v>1.2286246405800001E-3</v>
      </c>
      <c r="AC87" s="11">
        <v>0.06</v>
      </c>
      <c r="AD87" s="11">
        <v>5.8799999999999998E-2</v>
      </c>
      <c r="AE87" s="10">
        <v>1235955237.6700001</v>
      </c>
      <c r="AF87" s="11">
        <v>2.1137757993100002E-3</v>
      </c>
      <c r="AG87" s="11">
        <v>0.06</v>
      </c>
      <c r="AH87" s="11">
        <v>5.79E-2</v>
      </c>
      <c r="AI87" s="10">
        <v>110131045</v>
      </c>
      <c r="AJ87" s="11">
        <v>6.8943813055400002E-3</v>
      </c>
      <c r="AK87" s="11">
        <v>0.06</v>
      </c>
      <c r="AL87" s="11">
        <v>5.3100000000000001E-2</v>
      </c>
      <c r="AM87" s="10" t="s">
        <v>26</v>
      </c>
      <c r="AN87" s="11" t="s">
        <v>26</v>
      </c>
      <c r="AO87" s="11" t="s">
        <v>26</v>
      </c>
      <c r="AP87" s="11" t="s">
        <v>26</v>
      </c>
      <c r="AQ87" s="10">
        <v>110131045</v>
      </c>
      <c r="AR87" s="11">
        <v>2.8185924353499999E-3</v>
      </c>
      <c r="AS87" s="11">
        <v>0.06</v>
      </c>
      <c r="AT87" s="11">
        <v>5.7200000000000001E-2</v>
      </c>
      <c r="AU87" s="10" t="s">
        <v>26</v>
      </c>
      <c r="AV87" s="11" t="s">
        <v>26</v>
      </c>
      <c r="AW87" s="11" t="s">
        <v>26</v>
      </c>
      <c r="AX87" s="11" t="s">
        <v>26</v>
      </c>
      <c r="AY87" s="10">
        <v>1346086282.6700001</v>
      </c>
      <c r="AZ87" s="11">
        <v>2.02422648911E-3</v>
      </c>
      <c r="BA87" s="11">
        <v>0.06</v>
      </c>
      <c r="BB87" s="11">
        <v>5.8000000000000003E-2</v>
      </c>
    </row>
    <row r="88" spans="1:54" s="7" customFormat="1">
      <c r="A88" s="3" t="s">
        <v>67</v>
      </c>
      <c r="B88" s="31" t="s">
        <v>46</v>
      </c>
      <c r="C88" s="2">
        <v>12450319.16</v>
      </c>
      <c r="D88" s="1">
        <v>1</v>
      </c>
      <c r="E88" s="1" t="s">
        <v>26</v>
      </c>
      <c r="F88" s="1" t="s">
        <v>26</v>
      </c>
      <c r="G88" s="2">
        <v>587080874.5</v>
      </c>
      <c r="H88" s="1">
        <v>1</v>
      </c>
      <c r="I88" s="1" t="s">
        <v>26</v>
      </c>
      <c r="J88" s="1" t="s">
        <v>26</v>
      </c>
      <c r="K88" s="2" t="s">
        <v>26</v>
      </c>
      <c r="L88" s="1" t="s">
        <v>26</v>
      </c>
      <c r="M88" s="1" t="s">
        <v>26</v>
      </c>
      <c r="N88" s="1" t="s">
        <v>26</v>
      </c>
      <c r="O88" s="2">
        <v>374094236.12</v>
      </c>
      <c r="P88" s="1">
        <v>1</v>
      </c>
      <c r="Q88" s="1" t="s">
        <v>26</v>
      </c>
      <c r="R88" s="1" t="s">
        <v>26</v>
      </c>
      <c r="S88" s="2">
        <v>107506955.39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>
        <v>154822852.5</v>
      </c>
      <c r="AB88" s="1">
        <v>1</v>
      </c>
      <c r="AC88" s="1" t="s">
        <v>26</v>
      </c>
      <c r="AD88" s="1" t="s">
        <v>26</v>
      </c>
      <c r="AE88" s="2">
        <v>1235955237.6700001</v>
      </c>
      <c r="AF88" s="1">
        <v>1</v>
      </c>
      <c r="AG88" s="1" t="s">
        <v>26</v>
      </c>
      <c r="AH88" s="1" t="s">
        <v>26</v>
      </c>
      <c r="AI88" s="2">
        <v>110131045</v>
      </c>
      <c r="AJ88" s="1">
        <v>1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>
        <v>110131045</v>
      </c>
      <c r="AR88" s="1">
        <v>1</v>
      </c>
      <c r="AS88" s="1" t="s">
        <v>26</v>
      </c>
      <c r="AT88" s="1" t="s">
        <v>26</v>
      </c>
      <c r="AU88" s="2" t="s">
        <v>26</v>
      </c>
      <c r="AV88" s="1" t="s">
        <v>26</v>
      </c>
      <c r="AW88" s="1" t="s">
        <v>26</v>
      </c>
      <c r="AX88" s="1" t="s">
        <v>26</v>
      </c>
      <c r="AY88" s="2">
        <v>1346086282.6700001</v>
      </c>
      <c r="AZ88" s="1">
        <v>1</v>
      </c>
      <c r="BA88" s="1" t="s">
        <v>26</v>
      </c>
      <c r="BB88" s="1" t="s">
        <v>26</v>
      </c>
    </row>
    <row r="89" spans="1:54" s="7" customFormat="1">
      <c r="A89" s="13" t="s">
        <v>75</v>
      </c>
      <c r="B89" s="25" t="s">
        <v>25</v>
      </c>
      <c r="C89" s="55" t="s">
        <v>26</v>
      </c>
      <c r="D89" s="56" t="s">
        <v>26</v>
      </c>
      <c r="E89" s="56" t="s">
        <v>26</v>
      </c>
      <c r="F89" s="56" t="s">
        <v>26</v>
      </c>
      <c r="G89" s="55" t="s">
        <v>26</v>
      </c>
      <c r="H89" s="56" t="s">
        <v>26</v>
      </c>
      <c r="I89" s="56" t="s">
        <v>26</v>
      </c>
      <c r="J89" s="56" t="s">
        <v>26</v>
      </c>
      <c r="K89" s="55" t="s">
        <v>26</v>
      </c>
      <c r="L89" s="56" t="s">
        <v>26</v>
      </c>
      <c r="M89" s="56" t="s">
        <v>26</v>
      </c>
      <c r="N89" s="56" t="s">
        <v>26</v>
      </c>
      <c r="O89" s="55">
        <v>125874171.25</v>
      </c>
      <c r="P89" s="56">
        <v>6.1503332567000005E-4</v>
      </c>
      <c r="Q89" s="56" t="s">
        <v>26</v>
      </c>
      <c r="R89" s="56" t="s">
        <v>26</v>
      </c>
      <c r="S89" s="55">
        <v>256381749.38999999</v>
      </c>
      <c r="T89" s="56">
        <v>2.49356922245E-3</v>
      </c>
      <c r="U89" s="56" t="s">
        <v>26</v>
      </c>
      <c r="V89" s="56" t="s">
        <v>26</v>
      </c>
      <c r="W89" s="55" t="s">
        <v>26</v>
      </c>
      <c r="X89" s="56" t="s">
        <v>26</v>
      </c>
      <c r="Y89" s="56" t="s">
        <v>26</v>
      </c>
      <c r="Z89" s="56" t="s">
        <v>26</v>
      </c>
      <c r="AA89" s="55">
        <v>139972078.43000001</v>
      </c>
      <c r="AB89" s="56">
        <v>1.11077364727E-3</v>
      </c>
      <c r="AC89" s="56" t="s">
        <v>26</v>
      </c>
      <c r="AD89" s="56" t="s">
        <v>26</v>
      </c>
      <c r="AE89" s="55">
        <v>522227999.06999999</v>
      </c>
      <c r="AF89" s="56">
        <v>8.9313340202000003E-4</v>
      </c>
      <c r="AG89" s="56" t="s">
        <v>26</v>
      </c>
      <c r="AH89" s="56" t="s">
        <v>26</v>
      </c>
      <c r="AI89" s="55">
        <v>13166592.99</v>
      </c>
      <c r="AJ89" s="56">
        <v>8.2424998843999998E-4</v>
      </c>
      <c r="AK89" s="56" t="s">
        <v>26</v>
      </c>
      <c r="AL89" s="56" t="s">
        <v>26</v>
      </c>
      <c r="AM89" s="55" t="s">
        <v>26</v>
      </c>
      <c r="AN89" s="56" t="s">
        <v>26</v>
      </c>
      <c r="AO89" s="56" t="s">
        <v>26</v>
      </c>
      <c r="AP89" s="56" t="s">
        <v>26</v>
      </c>
      <c r="AQ89" s="55">
        <v>13166592.99</v>
      </c>
      <c r="AR89" s="56">
        <v>3.3697364263999999E-4</v>
      </c>
      <c r="AS89" s="56" t="s">
        <v>26</v>
      </c>
      <c r="AT89" s="56" t="s">
        <v>26</v>
      </c>
      <c r="AU89" s="55">
        <v>39499778.960000001</v>
      </c>
      <c r="AV89" s="56">
        <v>9.5872151199000004E-4</v>
      </c>
      <c r="AW89" s="56" t="s">
        <v>26</v>
      </c>
      <c r="AX89" s="56" t="s">
        <v>26</v>
      </c>
      <c r="AY89" s="55">
        <v>574894371.01999998</v>
      </c>
      <c r="AZ89" s="56">
        <v>8.6451844078999998E-4</v>
      </c>
      <c r="BA89" s="56" t="s">
        <v>26</v>
      </c>
      <c r="BB89" s="56" t="s">
        <v>26</v>
      </c>
    </row>
    <row r="90" spans="1:54" s="7" customFormat="1">
      <c r="A90" s="5" t="s">
        <v>76</v>
      </c>
      <c r="B90" s="24" t="s">
        <v>25</v>
      </c>
      <c r="C90" s="10" t="s">
        <v>26</v>
      </c>
      <c r="D90" s="11" t="s">
        <v>26</v>
      </c>
      <c r="E90" s="11" t="s">
        <v>26</v>
      </c>
      <c r="F90" s="11" t="s">
        <v>26</v>
      </c>
      <c r="G90" s="10" t="s">
        <v>26</v>
      </c>
      <c r="H90" s="11" t="s">
        <v>26</v>
      </c>
      <c r="I90" s="11" t="s">
        <v>26</v>
      </c>
      <c r="J90" s="11" t="s">
        <v>26</v>
      </c>
      <c r="K90" s="10" t="s">
        <v>26</v>
      </c>
      <c r="L90" s="11" t="s">
        <v>26</v>
      </c>
      <c r="M90" s="11" t="s">
        <v>26</v>
      </c>
      <c r="N90" s="11" t="s">
        <v>26</v>
      </c>
      <c r="O90" s="10" t="s">
        <v>26</v>
      </c>
      <c r="P90" s="11" t="s">
        <v>26</v>
      </c>
      <c r="Q90" s="11" t="s">
        <v>26</v>
      </c>
      <c r="R90" s="11" t="s">
        <v>26</v>
      </c>
      <c r="S90" s="10">
        <v>105332743.89</v>
      </c>
      <c r="T90" s="11">
        <v>1.02446640178E-3</v>
      </c>
      <c r="U90" s="11">
        <v>0.1</v>
      </c>
      <c r="V90" s="11">
        <v>9.9000000000000005E-2</v>
      </c>
      <c r="W90" s="10" t="s">
        <v>26</v>
      </c>
      <c r="X90" s="11" t="s">
        <v>26</v>
      </c>
      <c r="Y90" s="11" t="s">
        <v>26</v>
      </c>
      <c r="Z90" s="11" t="s">
        <v>26</v>
      </c>
      <c r="AA90" s="10" t="s">
        <v>26</v>
      </c>
      <c r="AB90" s="11" t="s">
        <v>26</v>
      </c>
      <c r="AC90" s="11" t="s">
        <v>26</v>
      </c>
      <c r="AD90" s="11" t="s">
        <v>26</v>
      </c>
      <c r="AE90" s="10">
        <v>105332743.89</v>
      </c>
      <c r="AF90" s="11">
        <v>1.8014390661E-4</v>
      </c>
      <c r="AG90" s="11">
        <v>0.1</v>
      </c>
      <c r="AH90" s="11">
        <v>9.98E-2</v>
      </c>
      <c r="AI90" s="10">
        <v>13166592.99</v>
      </c>
      <c r="AJ90" s="11">
        <v>8.2424998843999998E-4</v>
      </c>
      <c r="AK90" s="11">
        <v>0.1</v>
      </c>
      <c r="AL90" s="11">
        <v>9.9199999999999997E-2</v>
      </c>
      <c r="AM90" s="10" t="s">
        <v>26</v>
      </c>
      <c r="AN90" s="11" t="s">
        <v>26</v>
      </c>
      <c r="AO90" s="11" t="s">
        <v>26</v>
      </c>
      <c r="AP90" s="11" t="s">
        <v>26</v>
      </c>
      <c r="AQ90" s="10">
        <v>13166592.99</v>
      </c>
      <c r="AR90" s="11">
        <v>3.3697364263999999E-4</v>
      </c>
      <c r="AS90" s="11">
        <v>0.1</v>
      </c>
      <c r="AT90" s="11">
        <v>9.9699999999999997E-2</v>
      </c>
      <c r="AU90" s="10">
        <v>39499778.960000001</v>
      </c>
      <c r="AV90" s="11">
        <v>9.5872151199000004E-4</v>
      </c>
      <c r="AW90" s="11">
        <v>0.1</v>
      </c>
      <c r="AX90" s="11">
        <v>9.9000000000000005E-2</v>
      </c>
      <c r="AY90" s="10">
        <v>157999115.84</v>
      </c>
      <c r="AZ90" s="11">
        <v>2.3759695024999999E-4</v>
      </c>
      <c r="BA90" s="11">
        <v>0.1</v>
      </c>
      <c r="BB90" s="11">
        <v>9.98E-2</v>
      </c>
    </row>
    <row r="91" spans="1:54" s="7" customFormat="1">
      <c r="A91" s="3" t="s">
        <v>77</v>
      </c>
      <c r="B91" s="31" t="s">
        <v>29</v>
      </c>
      <c r="C91" s="2" t="s">
        <v>26</v>
      </c>
      <c r="D91" s="1" t="s">
        <v>26</v>
      </c>
      <c r="E91" s="1" t="s">
        <v>26</v>
      </c>
      <c r="F91" s="1" t="s">
        <v>26</v>
      </c>
      <c r="G91" s="2" t="s">
        <v>26</v>
      </c>
      <c r="H91" s="1" t="s">
        <v>26</v>
      </c>
      <c r="I91" s="1" t="s">
        <v>26</v>
      </c>
      <c r="J91" s="1" t="s">
        <v>26</v>
      </c>
      <c r="K91" s="2" t="s">
        <v>26</v>
      </c>
      <c r="L91" s="1" t="s">
        <v>26</v>
      </c>
      <c r="M91" s="1" t="s">
        <v>26</v>
      </c>
      <c r="N91" s="1" t="s">
        <v>26</v>
      </c>
      <c r="O91" s="2" t="s">
        <v>26</v>
      </c>
      <c r="P91" s="1" t="s">
        <v>26</v>
      </c>
      <c r="Q91" s="1" t="s">
        <v>26</v>
      </c>
      <c r="R91" s="1" t="s">
        <v>26</v>
      </c>
      <c r="S91" s="2">
        <v>105332743.89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 t="s">
        <v>26</v>
      </c>
      <c r="AB91" s="1" t="s">
        <v>26</v>
      </c>
      <c r="AC91" s="1" t="s">
        <v>26</v>
      </c>
      <c r="AD91" s="1" t="s">
        <v>26</v>
      </c>
      <c r="AE91" s="2">
        <v>105332743.89</v>
      </c>
      <c r="AF91" s="1">
        <v>1</v>
      </c>
      <c r="AG91" s="1" t="s">
        <v>26</v>
      </c>
      <c r="AH91" s="1" t="s">
        <v>26</v>
      </c>
      <c r="AI91" s="2">
        <v>13166592.99</v>
      </c>
      <c r="AJ91" s="1">
        <v>1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>
        <v>13166592.99</v>
      </c>
      <c r="AR91" s="1">
        <v>1</v>
      </c>
      <c r="AS91" s="1" t="s">
        <v>26</v>
      </c>
      <c r="AT91" s="1" t="s">
        <v>26</v>
      </c>
      <c r="AU91" s="2">
        <v>39499778.960000001</v>
      </c>
      <c r="AV91" s="1">
        <v>1</v>
      </c>
      <c r="AW91" s="1" t="s">
        <v>26</v>
      </c>
      <c r="AX91" s="1" t="s">
        <v>26</v>
      </c>
      <c r="AY91" s="2">
        <v>157999115.84</v>
      </c>
      <c r="AZ91" s="1">
        <v>1</v>
      </c>
      <c r="BA91" s="1" t="s">
        <v>26</v>
      </c>
      <c r="BB91" s="1" t="s">
        <v>26</v>
      </c>
    </row>
    <row r="92" spans="1:54" s="7" customFormat="1">
      <c r="A92" s="5" t="s">
        <v>78</v>
      </c>
      <c r="B92" s="24" t="s">
        <v>25</v>
      </c>
      <c r="C92" s="10" t="s">
        <v>26</v>
      </c>
      <c r="D92" s="11" t="s">
        <v>26</v>
      </c>
      <c r="E92" s="11" t="s">
        <v>26</v>
      </c>
      <c r="F92" s="11" t="s">
        <v>26</v>
      </c>
      <c r="G92" s="10" t="s">
        <v>26</v>
      </c>
      <c r="H92" s="11" t="s">
        <v>26</v>
      </c>
      <c r="I92" s="11" t="s">
        <v>26</v>
      </c>
      <c r="J92" s="11" t="s">
        <v>26</v>
      </c>
      <c r="K92" s="10" t="s">
        <v>26</v>
      </c>
      <c r="L92" s="11" t="s">
        <v>26</v>
      </c>
      <c r="M92" s="11" t="s">
        <v>26</v>
      </c>
      <c r="N92" s="11" t="s">
        <v>26</v>
      </c>
      <c r="O92" s="10">
        <v>125874171.25</v>
      </c>
      <c r="P92" s="11">
        <v>6.1503332567000005E-4</v>
      </c>
      <c r="Q92" s="11">
        <v>0.09</v>
      </c>
      <c r="R92" s="11">
        <v>8.9399999999999993E-2</v>
      </c>
      <c r="S92" s="10">
        <v>151049005.5</v>
      </c>
      <c r="T92" s="11">
        <v>1.46910282067E-3</v>
      </c>
      <c r="U92" s="11">
        <v>0.09</v>
      </c>
      <c r="V92" s="11">
        <v>8.8499999999999995E-2</v>
      </c>
      <c r="W92" s="10" t="s">
        <v>26</v>
      </c>
      <c r="X92" s="11" t="s">
        <v>26</v>
      </c>
      <c r="Y92" s="11" t="s">
        <v>26</v>
      </c>
      <c r="Z92" s="11" t="s">
        <v>26</v>
      </c>
      <c r="AA92" s="10">
        <v>139972078.43000001</v>
      </c>
      <c r="AB92" s="11">
        <v>1.11077364727E-3</v>
      </c>
      <c r="AC92" s="11">
        <v>0.09</v>
      </c>
      <c r="AD92" s="11">
        <v>8.8900000000000007E-2</v>
      </c>
      <c r="AE92" s="10">
        <v>416895255.18000001</v>
      </c>
      <c r="AF92" s="11">
        <v>7.1298949540000002E-4</v>
      </c>
      <c r="AG92" s="11">
        <v>0.09</v>
      </c>
      <c r="AH92" s="11">
        <v>8.9300000000000004E-2</v>
      </c>
      <c r="AI92" s="10" t="s">
        <v>26</v>
      </c>
      <c r="AJ92" s="11" t="s">
        <v>26</v>
      </c>
      <c r="AK92" s="11" t="s">
        <v>26</v>
      </c>
      <c r="AL92" s="11" t="s">
        <v>26</v>
      </c>
      <c r="AM92" s="10" t="s">
        <v>26</v>
      </c>
      <c r="AN92" s="11" t="s">
        <v>26</v>
      </c>
      <c r="AO92" s="11" t="s">
        <v>26</v>
      </c>
      <c r="AP92" s="11" t="s">
        <v>26</v>
      </c>
      <c r="AQ92" s="10" t="s">
        <v>26</v>
      </c>
      <c r="AR92" s="11" t="s">
        <v>26</v>
      </c>
      <c r="AS92" s="11" t="s">
        <v>26</v>
      </c>
      <c r="AT92" s="11" t="s">
        <v>26</v>
      </c>
      <c r="AU92" s="10" t="s">
        <v>26</v>
      </c>
      <c r="AV92" s="11" t="s">
        <v>26</v>
      </c>
      <c r="AW92" s="11" t="s">
        <v>26</v>
      </c>
      <c r="AX92" s="11" t="s">
        <v>26</v>
      </c>
      <c r="AY92" s="10">
        <v>416895255.18000001</v>
      </c>
      <c r="AZ92" s="11">
        <v>6.2692149054000001E-4</v>
      </c>
      <c r="BA92" s="11">
        <v>0.09</v>
      </c>
      <c r="BB92" s="11">
        <v>8.9399999999999993E-2</v>
      </c>
    </row>
    <row r="93" spans="1:54" s="7" customFormat="1">
      <c r="A93" s="3" t="s">
        <v>77</v>
      </c>
      <c r="B93" s="31" t="s">
        <v>37</v>
      </c>
      <c r="C93" s="2" t="s">
        <v>26</v>
      </c>
      <c r="D93" s="1" t="s">
        <v>26</v>
      </c>
      <c r="E93" s="1" t="s">
        <v>26</v>
      </c>
      <c r="F93" s="1" t="s">
        <v>26</v>
      </c>
      <c r="G93" s="2" t="s">
        <v>26</v>
      </c>
      <c r="H93" s="1" t="s">
        <v>26</v>
      </c>
      <c r="I93" s="1" t="s">
        <v>26</v>
      </c>
      <c r="J93" s="1" t="s">
        <v>26</v>
      </c>
      <c r="K93" s="2" t="s">
        <v>26</v>
      </c>
      <c r="L93" s="1" t="s">
        <v>26</v>
      </c>
      <c r="M93" s="1" t="s">
        <v>26</v>
      </c>
      <c r="N93" s="1" t="s">
        <v>26</v>
      </c>
      <c r="O93" s="2">
        <v>125874171.25</v>
      </c>
      <c r="P93" s="1">
        <v>1</v>
      </c>
      <c r="Q93" s="1" t="s">
        <v>26</v>
      </c>
      <c r="R93" s="1" t="s">
        <v>26</v>
      </c>
      <c r="S93" s="2">
        <v>151049005.5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>
        <v>139972078.43000001</v>
      </c>
      <c r="AB93" s="1">
        <v>1</v>
      </c>
      <c r="AC93" s="1" t="s">
        <v>26</v>
      </c>
      <c r="AD93" s="1" t="s">
        <v>26</v>
      </c>
      <c r="AE93" s="2">
        <v>416895255.18000001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 t="s">
        <v>26</v>
      </c>
      <c r="AV93" s="1" t="s">
        <v>26</v>
      </c>
      <c r="AW93" s="1" t="s">
        <v>26</v>
      </c>
      <c r="AX93" s="1" t="s">
        <v>26</v>
      </c>
      <c r="AY93" s="2">
        <v>416895255.18000001</v>
      </c>
      <c r="AZ93" s="1">
        <v>1</v>
      </c>
      <c r="BA93" s="1" t="s">
        <v>26</v>
      </c>
      <c r="BB93" s="1" t="s">
        <v>26</v>
      </c>
    </row>
    <row r="94" spans="1:54" s="7" customFormat="1">
      <c r="A94" s="13" t="s">
        <v>79</v>
      </c>
      <c r="B94" s="25" t="s">
        <v>25</v>
      </c>
      <c r="C94" s="55" t="s">
        <v>26</v>
      </c>
      <c r="D94" s="56" t="s">
        <v>26</v>
      </c>
      <c r="E94" s="56" t="s">
        <v>26</v>
      </c>
      <c r="F94" s="56" t="s">
        <v>26</v>
      </c>
      <c r="G94" s="55">
        <v>676323463.28999996</v>
      </c>
      <c r="H94" s="56">
        <v>4.9222106234399999E-3</v>
      </c>
      <c r="I94" s="56">
        <v>0.05</v>
      </c>
      <c r="J94" s="56">
        <f>I94-H94</f>
        <v>4.5077789376560005E-2</v>
      </c>
      <c r="K94" s="55">
        <v>22741465.879999999</v>
      </c>
      <c r="L94" s="56">
        <v>8.7363298577200002E-3</v>
      </c>
      <c r="M94" s="56">
        <v>0.05</v>
      </c>
      <c r="N94" s="56">
        <f>M94-L94</f>
        <v>4.1263670142280003E-2</v>
      </c>
      <c r="O94" s="55">
        <v>1591902611.8800001</v>
      </c>
      <c r="P94" s="56">
        <v>7.7781895030499997E-3</v>
      </c>
      <c r="Q94" s="56">
        <v>0.05</v>
      </c>
      <c r="R94" s="56">
        <f>Q94-P94</f>
        <v>4.222181049695E-2</v>
      </c>
      <c r="S94" s="55">
        <v>1275869950.1199999</v>
      </c>
      <c r="T94" s="56">
        <v>1.2409112766580001E-2</v>
      </c>
      <c r="U94" s="56">
        <v>0.05</v>
      </c>
      <c r="V94" s="56">
        <f>U94-T94</f>
        <v>3.7590887233420002E-2</v>
      </c>
      <c r="W94" s="55" t="s">
        <v>26</v>
      </c>
      <c r="X94" s="56" t="s">
        <v>26</v>
      </c>
      <c r="Y94" s="56" t="s">
        <v>26</v>
      </c>
      <c r="Z94" s="56" t="s">
        <v>26</v>
      </c>
      <c r="AA94" s="55">
        <v>358186956.83999997</v>
      </c>
      <c r="AB94" s="56">
        <v>2.8424571308500002E-3</v>
      </c>
      <c r="AC94" s="56">
        <v>0.05</v>
      </c>
      <c r="AD94" s="56">
        <f>AC94-AB94</f>
        <v>4.7157542869150006E-2</v>
      </c>
      <c r="AE94" s="55">
        <v>3925024448.0100002</v>
      </c>
      <c r="AF94" s="56">
        <v>6.7127201997700002E-3</v>
      </c>
      <c r="AG94" s="56">
        <v>0.05</v>
      </c>
      <c r="AH94" s="56">
        <f>AG94-AF94</f>
        <v>4.3287279800230005E-2</v>
      </c>
      <c r="AI94" s="55" t="s">
        <v>26</v>
      </c>
      <c r="AJ94" s="56" t="s">
        <v>26</v>
      </c>
      <c r="AK94" s="56" t="s">
        <v>26</v>
      </c>
      <c r="AL94" s="56" t="s">
        <v>26</v>
      </c>
      <c r="AM94" s="55" t="s">
        <v>26</v>
      </c>
      <c r="AN94" s="56" t="s">
        <v>26</v>
      </c>
      <c r="AO94" s="56" t="s">
        <v>26</v>
      </c>
      <c r="AP94" s="56" t="s">
        <v>26</v>
      </c>
      <c r="AQ94" s="55" t="s">
        <v>26</v>
      </c>
      <c r="AR94" s="56" t="s">
        <v>26</v>
      </c>
      <c r="AS94" s="56" t="s">
        <v>26</v>
      </c>
      <c r="AT94" s="56" t="s">
        <v>26</v>
      </c>
      <c r="AU94" s="55">
        <v>630399264</v>
      </c>
      <c r="AV94" s="56">
        <v>1.530077766136E-2</v>
      </c>
      <c r="AW94" s="56">
        <v>0.05</v>
      </c>
      <c r="AX94" s="56">
        <f>AW94-AV94</f>
        <v>3.4699222338640007E-2</v>
      </c>
      <c r="AY94" s="55">
        <v>4555423712.0100002</v>
      </c>
      <c r="AZ94" s="56">
        <v>6.8503850501299996E-3</v>
      </c>
      <c r="BA94" s="56">
        <v>0.05</v>
      </c>
      <c r="BB94" s="56">
        <f>BA94-AZ94</f>
        <v>4.3149614949870005E-2</v>
      </c>
    </row>
    <row r="95" spans="1:54" s="7" customFormat="1">
      <c r="A95" s="5" t="s">
        <v>80</v>
      </c>
      <c r="B95" s="24" t="s">
        <v>25</v>
      </c>
      <c r="C95" s="10" t="s">
        <v>26</v>
      </c>
      <c r="D95" s="11" t="s">
        <v>26</v>
      </c>
      <c r="E95" s="11" t="s">
        <v>26</v>
      </c>
      <c r="F95" s="11" t="s">
        <v>26</v>
      </c>
      <c r="G95" s="10" t="s">
        <v>26</v>
      </c>
      <c r="H95" s="11" t="s">
        <v>26</v>
      </c>
      <c r="I95" s="11" t="s">
        <v>26</v>
      </c>
      <c r="J95" s="11" t="s">
        <v>26</v>
      </c>
      <c r="K95" s="10" t="s">
        <v>26</v>
      </c>
      <c r="L95" s="11" t="s">
        <v>26</v>
      </c>
      <c r="M95" s="11" t="s">
        <v>26</v>
      </c>
      <c r="N95" s="11" t="s">
        <v>26</v>
      </c>
      <c r="O95" s="10" t="s">
        <v>26</v>
      </c>
      <c r="P95" s="11" t="s">
        <v>26</v>
      </c>
      <c r="Q95" s="11" t="s">
        <v>26</v>
      </c>
      <c r="R95" s="11" t="s">
        <v>26</v>
      </c>
      <c r="S95" s="10">
        <v>593625973.60000002</v>
      </c>
      <c r="T95" s="11">
        <v>5.7736069784200001E-3</v>
      </c>
      <c r="U95" s="1" t="s">
        <v>26</v>
      </c>
      <c r="V95" s="1" t="s">
        <v>26</v>
      </c>
      <c r="W95" s="10" t="s">
        <v>26</v>
      </c>
      <c r="X95" s="11" t="s">
        <v>26</v>
      </c>
      <c r="Y95" s="11" t="s">
        <v>26</v>
      </c>
      <c r="Z95" s="11" t="s">
        <v>26</v>
      </c>
      <c r="AA95" s="10" t="s">
        <v>26</v>
      </c>
      <c r="AB95" s="11" t="s">
        <v>26</v>
      </c>
      <c r="AC95" s="11" t="s">
        <v>26</v>
      </c>
      <c r="AD95" s="11" t="s">
        <v>26</v>
      </c>
      <c r="AE95" s="10">
        <v>593625973.60000002</v>
      </c>
      <c r="AF95" s="11">
        <v>1.0152408263599999E-3</v>
      </c>
      <c r="AG95" s="1" t="s">
        <v>26</v>
      </c>
      <c r="AH95" s="1" t="s">
        <v>26</v>
      </c>
      <c r="AI95" s="10" t="s">
        <v>26</v>
      </c>
      <c r="AJ95" s="11" t="s">
        <v>26</v>
      </c>
      <c r="AK95" s="11" t="s">
        <v>26</v>
      </c>
      <c r="AL95" s="11" t="s">
        <v>26</v>
      </c>
      <c r="AM95" s="10" t="s">
        <v>26</v>
      </c>
      <c r="AN95" s="11" t="s">
        <v>26</v>
      </c>
      <c r="AO95" s="11" t="s">
        <v>26</v>
      </c>
      <c r="AP95" s="11" t="s">
        <v>26</v>
      </c>
      <c r="AQ95" s="10" t="s">
        <v>26</v>
      </c>
      <c r="AR95" s="11" t="s">
        <v>26</v>
      </c>
      <c r="AS95" s="11" t="s">
        <v>26</v>
      </c>
      <c r="AT95" s="11" t="s">
        <v>26</v>
      </c>
      <c r="AU95" s="10">
        <v>630399264</v>
      </c>
      <c r="AV95" s="11">
        <v>1.530077766136E-2</v>
      </c>
      <c r="AW95" s="1" t="s">
        <v>26</v>
      </c>
      <c r="AX95" s="1" t="s">
        <v>26</v>
      </c>
      <c r="AY95" s="10">
        <v>1224025237.5999999</v>
      </c>
      <c r="AZ95" s="11">
        <v>1.84067272744E-3</v>
      </c>
      <c r="BA95" s="1" t="s">
        <v>26</v>
      </c>
      <c r="BB95" s="1" t="s">
        <v>26</v>
      </c>
    </row>
    <row r="96" spans="1:54" s="7" customFormat="1">
      <c r="A96" s="3" t="s">
        <v>81</v>
      </c>
      <c r="B96" s="31" t="s">
        <v>37</v>
      </c>
      <c r="C96" s="2" t="s">
        <v>26</v>
      </c>
      <c r="D96" s="1" t="s">
        <v>26</v>
      </c>
      <c r="E96" s="1" t="s">
        <v>26</v>
      </c>
      <c r="F96" s="1" t="s">
        <v>26</v>
      </c>
      <c r="G96" s="2" t="s">
        <v>26</v>
      </c>
      <c r="H96" s="1" t="s">
        <v>26</v>
      </c>
      <c r="I96" s="1" t="s">
        <v>26</v>
      </c>
      <c r="J96" s="1" t="s">
        <v>26</v>
      </c>
      <c r="K96" s="2" t="s">
        <v>26</v>
      </c>
      <c r="L96" s="1" t="s">
        <v>26</v>
      </c>
      <c r="M96" s="1" t="s">
        <v>26</v>
      </c>
      <c r="N96" s="1" t="s">
        <v>26</v>
      </c>
      <c r="O96" s="2" t="s">
        <v>26</v>
      </c>
      <c r="P96" s="1" t="s">
        <v>26</v>
      </c>
      <c r="Q96" s="1" t="s">
        <v>26</v>
      </c>
      <c r="R96" s="1" t="s">
        <v>26</v>
      </c>
      <c r="S96" s="2">
        <v>593625973.60000002</v>
      </c>
      <c r="T96" s="1">
        <v>1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 t="s">
        <v>26</v>
      </c>
      <c r="AB96" s="1" t="s">
        <v>26</v>
      </c>
      <c r="AC96" s="1" t="s">
        <v>26</v>
      </c>
      <c r="AD96" s="1" t="s">
        <v>26</v>
      </c>
      <c r="AE96" s="2">
        <v>593625973.60000002</v>
      </c>
      <c r="AF96" s="1">
        <v>1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>
        <v>630399264</v>
      </c>
      <c r="AV96" s="1">
        <v>1</v>
      </c>
      <c r="AW96" s="1" t="s">
        <v>26</v>
      </c>
      <c r="AX96" s="1" t="s">
        <v>26</v>
      </c>
      <c r="AY96" s="2">
        <v>1224025237.5999999</v>
      </c>
      <c r="AZ96" s="1">
        <v>1</v>
      </c>
      <c r="BA96" s="1" t="s">
        <v>26</v>
      </c>
      <c r="BB96" s="1" t="s">
        <v>26</v>
      </c>
    </row>
    <row r="97" spans="1:54" s="7" customFormat="1">
      <c r="A97" s="5" t="s">
        <v>82</v>
      </c>
      <c r="B97" s="24" t="s">
        <v>25</v>
      </c>
      <c r="C97" s="10" t="s">
        <v>26</v>
      </c>
      <c r="D97" s="11" t="s">
        <v>26</v>
      </c>
      <c r="E97" s="11" t="s">
        <v>26</v>
      </c>
      <c r="F97" s="11" t="s">
        <v>26</v>
      </c>
      <c r="G97" s="10">
        <v>676323463.28999996</v>
      </c>
      <c r="H97" s="11">
        <v>4.9222106234399999E-3</v>
      </c>
      <c r="I97" s="1" t="s">
        <v>26</v>
      </c>
      <c r="J97" s="1" t="s">
        <v>26</v>
      </c>
      <c r="K97" s="10">
        <v>22741465.879999999</v>
      </c>
      <c r="L97" s="11">
        <v>8.7363298577200002E-3</v>
      </c>
      <c r="M97" s="1" t="s">
        <v>26</v>
      </c>
      <c r="N97" s="1" t="s">
        <v>26</v>
      </c>
      <c r="O97" s="10">
        <v>1591902611.8800001</v>
      </c>
      <c r="P97" s="11">
        <v>7.7781895030499997E-3</v>
      </c>
      <c r="Q97" s="1" t="s">
        <v>26</v>
      </c>
      <c r="R97" s="1" t="s">
        <v>26</v>
      </c>
      <c r="S97" s="10">
        <v>682243976.51999998</v>
      </c>
      <c r="T97" s="11">
        <v>6.6355057881599998E-3</v>
      </c>
      <c r="U97" s="1" t="s">
        <v>26</v>
      </c>
      <c r="V97" s="1" t="s">
        <v>26</v>
      </c>
      <c r="W97" s="10" t="s">
        <v>26</v>
      </c>
      <c r="X97" s="11" t="s">
        <v>26</v>
      </c>
      <c r="Y97" s="11" t="s">
        <v>26</v>
      </c>
      <c r="Z97" s="11" t="s">
        <v>26</v>
      </c>
      <c r="AA97" s="10">
        <v>358186956.83999997</v>
      </c>
      <c r="AB97" s="11">
        <v>2.8424571308500002E-3</v>
      </c>
      <c r="AC97" s="1" t="s">
        <v>26</v>
      </c>
      <c r="AD97" s="1" t="s">
        <v>26</v>
      </c>
      <c r="AE97" s="10">
        <v>3331398474.4099998</v>
      </c>
      <c r="AF97" s="11">
        <v>5.6974793734100001E-3</v>
      </c>
      <c r="AG97" s="1" t="s">
        <v>26</v>
      </c>
      <c r="AH97" s="1" t="s">
        <v>26</v>
      </c>
      <c r="AI97" s="10" t="s">
        <v>26</v>
      </c>
      <c r="AJ97" s="11" t="s">
        <v>26</v>
      </c>
      <c r="AK97" s="11" t="s">
        <v>26</v>
      </c>
      <c r="AL97" s="11" t="s">
        <v>26</v>
      </c>
      <c r="AM97" s="10" t="s">
        <v>26</v>
      </c>
      <c r="AN97" s="11" t="s">
        <v>26</v>
      </c>
      <c r="AO97" s="11" t="s">
        <v>26</v>
      </c>
      <c r="AP97" s="11" t="s">
        <v>26</v>
      </c>
      <c r="AQ97" s="10" t="s">
        <v>26</v>
      </c>
      <c r="AR97" s="11" t="s">
        <v>26</v>
      </c>
      <c r="AS97" s="11" t="s">
        <v>26</v>
      </c>
      <c r="AT97" s="11" t="s">
        <v>26</v>
      </c>
      <c r="AU97" s="10" t="s">
        <v>26</v>
      </c>
      <c r="AV97" s="11" t="s">
        <v>26</v>
      </c>
      <c r="AW97" s="11" t="s">
        <v>26</v>
      </c>
      <c r="AX97" s="11" t="s">
        <v>26</v>
      </c>
      <c r="AY97" s="10">
        <v>3331398474.4099998</v>
      </c>
      <c r="AZ97" s="11">
        <v>5.0097123226900001E-3</v>
      </c>
      <c r="BA97" s="1" t="s">
        <v>26</v>
      </c>
      <c r="BB97" s="1" t="s">
        <v>26</v>
      </c>
    </row>
    <row r="98" spans="1:54" s="7" customFormat="1">
      <c r="A98" s="3" t="s">
        <v>83</v>
      </c>
      <c r="B98" s="31" t="s">
        <v>37</v>
      </c>
      <c r="C98" s="2" t="s">
        <v>26</v>
      </c>
      <c r="D98" s="1" t="s">
        <v>26</v>
      </c>
      <c r="E98" s="1" t="s">
        <v>26</v>
      </c>
      <c r="F98" s="1" t="s">
        <v>26</v>
      </c>
      <c r="G98" s="2">
        <v>676323463.28999996</v>
      </c>
      <c r="H98" s="1">
        <v>1</v>
      </c>
      <c r="I98" s="1" t="s">
        <v>26</v>
      </c>
      <c r="J98" s="1" t="s">
        <v>26</v>
      </c>
      <c r="K98" s="2">
        <v>22741465.879999999</v>
      </c>
      <c r="L98" s="1">
        <v>1</v>
      </c>
      <c r="M98" s="1" t="s">
        <v>26</v>
      </c>
      <c r="N98" s="1" t="s">
        <v>26</v>
      </c>
      <c r="O98" s="2">
        <v>1591902611.8800001</v>
      </c>
      <c r="P98" s="1">
        <v>1</v>
      </c>
      <c r="Q98" s="1" t="s">
        <v>26</v>
      </c>
      <c r="R98" s="1" t="s">
        <v>26</v>
      </c>
      <c r="S98" s="2">
        <v>682243976.51999998</v>
      </c>
      <c r="T98" s="1">
        <v>1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2">
        <v>358186956.83999997</v>
      </c>
      <c r="AB98" s="1">
        <v>1</v>
      </c>
      <c r="AC98" s="1" t="s">
        <v>26</v>
      </c>
      <c r="AD98" s="1" t="s">
        <v>26</v>
      </c>
      <c r="AE98" s="2">
        <v>3331398474.4099998</v>
      </c>
      <c r="AF98" s="1">
        <v>1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2" t="s">
        <v>26</v>
      </c>
      <c r="AV98" s="1" t="s">
        <v>26</v>
      </c>
      <c r="AW98" s="1" t="s">
        <v>26</v>
      </c>
      <c r="AX98" s="1" t="s">
        <v>26</v>
      </c>
      <c r="AY98" s="2">
        <v>3331398474.4099998</v>
      </c>
      <c r="AZ98" s="1">
        <v>1</v>
      </c>
      <c r="BA98" s="1" t="s">
        <v>26</v>
      </c>
      <c r="BB98" s="1" t="s">
        <v>26</v>
      </c>
    </row>
    <row r="99" spans="1:54" s="7" customFormat="1">
      <c r="A99" s="13" t="s">
        <v>84</v>
      </c>
      <c r="B99" s="25" t="s">
        <v>25</v>
      </c>
      <c r="C99" s="55" t="s">
        <v>26</v>
      </c>
      <c r="D99" s="56" t="s">
        <v>26</v>
      </c>
      <c r="E99" s="56" t="s">
        <v>26</v>
      </c>
      <c r="F99" s="56" t="s">
        <v>26</v>
      </c>
      <c r="G99" s="55">
        <v>5884398785.6499996</v>
      </c>
      <c r="H99" s="56">
        <v>4.2826031902509998E-2</v>
      </c>
      <c r="I99" s="56">
        <v>0.15</v>
      </c>
      <c r="J99" s="56">
        <f>I99-H99</f>
        <v>0.10717396809749</v>
      </c>
      <c r="K99" s="55">
        <v>30176816.300000001</v>
      </c>
      <c r="L99" s="56">
        <v>1.159268371898E-2</v>
      </c>
      <c r="M99" s="56">
        <v>0.15</v>
      </c>
      <c r="N99" s="56">
        <f>M99-L99</f>
        <v>0.13840731628101999</v>
      </c>
      <c r="O99" s="55">
        <v>17481660280.73</v>
      </c>
      <c r="P99" s="56">
        <v>8.5417076067740003E-2</v>
      </c>
      <c r="Q99" s="56">
        <v>0.15</v>
      </c>
      <c r="R99" s="56">
        <f>Q99-P99</f>
        <v>6.4582923932259992E-2</v>
      </c>
      <c r="S99" s="55">
        <v>4682194958.2399998</v>
      </c>
      <c r="T99" s="56">
        <v>4.5539034151899999E-2</v>
      </c>
      <c r="U99" s="56">
        <v>0.15</v>
      </c>
      <c r="V99" s="56">
        <f>U99-T99</f>
        <v>0.1044609658481</v>
      </c>
      <c r="W99" s="55" t="s">
        <v>26</v>
      </c>
      <c r="X99" s="56" t="s">
        <v>26</v>
      </c>
      <c r="Y99" s="56" t="s">
        <v>26</v>
      </c>
      <c r="Z99" s="56" t="s">
        <v>26</v>
      </c>
      <c r="AA99" s="55">
        <v>5398461121.6599998</v>
      </c>
      <c r="AB99" s="56">
        <v>4.2840460876230002E-2</v>
      </c>
      <c r="AC99" s="56">
        <v>0.15</v>
      </c>
      <c r="AD99" s="56">
        <f>AC99-AB99</f>
        <v>0.10715953912376999</v>
      </c>
      <c r="AE99" s="55">
        <v>33476891962.580002</v>
      </c>
      <c r="AF99" s="56">
        <v>5.7253403610449997E-2</v>
      </c>
      <c r="AG99" s="56">
        <v>0.15</v>
      </c>
      <c r="AH99" s="56">
        <f>AG99-AF99</f>
        <v>9.274659638954999E-2</v>
      </c>
      <c r="AI99" s="55" t="s">
        <v>26</v>
      </c>
      <c r="AJ99" s="56" t="s">
        <v>26</v>
      </c>
      <c r="AK99" s="56" t="s">
        <v>26</v>
      </c>
      <c r="AL99" s="56" t="s">
        <v>26</v>
      </c>
      <c r="AM99" s="55" t="s">
        <v>26</v>
      </c>
      <c r="AN99" s="56" t="s">
        <v>26</v>
      </c>
      <c r="AO99" s="56" t="s">
        <v>26</v>
      </c>
      <c r="AP99" s="56" t="s">
        <v>26</v>
      </c>
      <c r="AQ99" s="55" t="s">
        <v>26</v>
      </c>
      <c r="AR99" s="56" t="s">
        <v>26</v>
      </c>
      <c r="AS99" s="56" t="s">
        <v>26</v>
      </c>
      <c r="AT99" s="56" t="s">
        <v>26</v>
      </c>
      <c r="AU99" s="55">
        <v>1790878257.78</v>
      </c>
      <c r="AV99" s="56">
        <v>4.346742073742E-2</v>
      </c>
      <c r="AW99" s="56">
        <v>0.15</v>
      </c>
      <c r="AX99" s="56">
        <f>AW99-AV99</f>
        <v>0.10653257926258</v>
      </c>
      <c r="AY99" s="55">
        <v>35267770220.360001</v>
      </c>
      <c r="AZ99" s="56">
        <v>5.3035199608769998E-2</v>
      </c>
      <c r="BA99" s="56">
        <v>0.15</v>
      </c>
      <c r="BB99" s="56">
        <f>BA99-AZ99</f>
        <v>9.6964800391229997E-2</v>
      </c>
    </row>
    <row r="100" spans="1:54" s="7" customFormat="1">
      <c r="A100" s="5" t="s">
        <v>111</v>
      </c>
      <c r="B100" s="24" t="s">
        <v>25</v>
      </c>
      <c r="C100" s="10" t="s">
        <v>26</v>
      </c>
      <c r="D100" s="11" t="s">
        <v>26</v>
      </c>
      <c r="E100" s="11" t="s">
        <v>26</v>
      </c>
      <c r="F100" s="11" t="s">
        <v>26</v>
      </c>
      <c r="G100" s="10">
        <v>118083194.2</v>
      </c>
      <c r="H100" s="11">
        <v>8.5939699639000003E-4</v>
      </c>
      <c r="I100" s="1" t="s">
        <v>26</v>
      </c>
      <c r="J100" s="1" t="s">
        <v>26</v>
      </c>
      <c r="K100" s="10">
        <v>30176816.300000001</v>
      </c>
      <c r="L100" s="11">
        <v>1.159268371898E-2</v>
      </c>
      <c r="M100" s="1"/>
      <c r="N100" s="1"/>
      <c r="O100" s="10" t="s">
        <v>26</v>
      </c>
      <c r="P100" s="11" t="s">
        <v>26</v>
      </c>
      <c r="Q100" s="11" t="s">
        <v>26</v>
      </c>
      <c r="R100" s="11" t="s">
        <v>26</v>
      </c>
      <c r="S100" s="10">
        <v>255846920.75999999</v>
      </c>
      <c r="T100" s="11">
        <v>2.4883674785099999E-3</v>
      </c>
      <c r="U100" s="1" t="s">
        <v>26</v>
      </c>
      <c r="V100" s="1" t="s">
        <v>26</v>
      </c>
      <c r="W100" s="10" t="s">
        <v>26</v>
      </c>
      <c r="X100" s="11" t="s">
        <v>26</v>
      </c>
      <c r="Y100" s="11" t="s">
        <v>26</v>
      </c>
      <c r="Z100" s="11" t="s">
        <v>26</v>
      </c>
      <c r="AA100" s="10">
        <v>132515584.61</v>
      </c>
      <c r="AB100" s="11">
        <v>1.0516012971199999E-3</v>
      </c>
      <c r="AC100" s="1" t="s">
        <v>26</v>
      </c>
      <c r="AD100" s="1" t="s">
        <v>26</v>
      </c>
      <c r="AE100" s="10">
        <v>536622515.87</v>
      </c>
      <c r="AF100" s="11">
        <v>9.1775143051000001E-4</v>
      </c>
      <c r="AG100" s="1" t="s">
        <v>26</v>
      </c>
      <c r="AH100" s="1" t="s">
        <v>26</v>
      </c>
      <c r="AI100" s="10" t="s">
        <v>26</v>
      </c>
      <c r="AJ100" s="11" t="s">
        <v>26</v>
      </c>
      <c r="AK100" s="11" t="s">
        <v>26</v>
      </c>
      <c r="AL100" s="11" t="s">
        <v>26</v>
      </c>
      <c r="AM100" s="10" t="s">
        <v>26</v>
      </c>
      <c r="AN100" s="11" t="s">
        <v>26</v>
      </c>
      <c r="AO100" s="11" t="s">
        <v>26</v>
      </c>
      <c r="AP100" s="11" t="s">
        <v>26</v>
      </c>
      <c r="AQ100" s="10" t="s">
        <v>26</v>
      </c>
      <c r="AR100" s="11" t="s">
        <v>26</v>
      </c>
      <c r="AS100" s="11" t="s">
        <v>26</v>
      </c>
      <c r="AT100" s="11" t="s">
        <v>26</v>
      </c>
      <c r="AU100" s="10" t="s">
        <v>26</v>
      </c>
      <c r="AV100" s="11" t="s">
        <v>26</v>
      </c>
      <c r="AW100" s="11" t="s">
        <v>26</v>
      </c>
      <c r="AX100" s="11" t="s">
        <v>26</v>
      </c>
      <c r="AY100" s="10">
        <v>536622515.87</v>
      </c>
      <c r="AZ100" s="11">
        <v>8.0696573856999995E-4</v>
      </c>
      <c r="BA100" s="1" t="s">
        <v>26</v>
      </c>
      <c r="BB100" s="1" t="s">
        <v>26</v>
      </c>
    </row>
    <row r="101" spans="1:54" s="7" customFormat="1">
      <c r="A101" s="3" t="s">
        <v>86</v>
      </c>
      <c r="B101" s="31" t="s">
        <v>46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118083194.2</v>
      </c>
      <c r="H101" s="1">
        <v>1</v>
      </c>
      <c r="I101" s="1" t="s">
        <v>26</v>
      </c>
      <c r="J101" s="1" t="s">
        <v>26</v>
      </c>
      <c r="K101" s="2">
        <v>30176816.300000001</v>
      </c>
      <c r="L101" s="1">
        <v>1</v>
      </c>
      <c r="M101" s="1"/>
      <c r="N101" s="1"/>
      <c r="O101" s="2" t="s">
        <v>26</v>
      </c>
      <c r="P101" s="1" t="s">
        <v>26</v>
      </c>
      <c r="Q101" s="11" t="s">
        <v>26</v>
      </c>
      <c r="R101" s="11" t="s">
        <v>26</v>
      </c>
      <c r="S101" s="2">
        <v>255846920.75999999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132515584.61</v>
      </c>
      <c r="AB101" s="1">
        <v>1</v>
      </c>
      <c r="AC101" s="1" t="s">
        <v>26</v>
      </c>
      <c r="AD101" s="1" t="s">
        <v>26</v>
      </c>
      <c r="AE101" s="2">
        <v>536622515.87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 t="s">
        <v>26</v>
      </c>
      <c r="AV101" s="1" t="s">
        <v>26</v>
      </c>
      <c r="AW101" s="11" t="s">
        <v>26</v>
      </c>
      <c r="AX101" s="11" t="s">
        <v>26</v>
      </c>
      <c r="AY101" s="2">
        <v>536622515.87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87</v>
      </c>
      <c r="B102" s="24" t="s">
        <v>25</v>
      </c>
      <c r="C102" s="10" t="s">
        <v>26</v>
      </c>
      <c r="D102" s="11" t="s">
        <v>26</v>
      </c>
      <c r="E102" s="11" t="s">
        <v>26</v>
      </c>
      <c r="F102" s="11" t="s">
        <v>26</v>
      </c>
      <c r="G102" s="10">
        <v>1740353201.03</v>
      </c>
      <c r="H102" s="11">
        <v>1.266610650024E-2</v>
      </c>
      <c r="I102" s="1" t="s">
        <v>26</v>
      </c>
      <c r="J102" s="1" t="s">
        <v>26</v>
      </c>
      <c r="K102" s="10" t="s">
        <v>26</v>
      </c>
      <c r="L102" s="11" t="s">
        <v>26</v>
      </c>
      <c r="M102" s="11" t="s">
        <v>26</v>
      </c>
      <c r="N102" s="11" t="s">
        <v>26</v>
      </c>
      <c r="O102" s="10">
        <v>3120901173.4299998</v>
      </c>
      <c r="P102" s="11">
        <v>1.5249023756890001E-2</v>
      </c>
      <c r="Q102" s="11" t="s">
        <v>26</v>
      </c>
      <c r="R102" s="11" t="s">
        <v>26</v>
      </c>
      <c r="S102" s="10">
        <v>1137395094.3199999</v>
      </c>
      <c r="T102" s="11">
        <v>1.1062306141969999E-2</v>
      </c>
      <c r="U102" s="1" t="s">
        <v>26</v>
      </c>
      <c r="V102" s="1" t="s">
        <v>26</v>
      </c>
      <c r="W102" s="10" t="s">
        <v>26</v>
      </c>
      <c r="X102" s="11" t="s">
        <v>26</v>
      </c>
      <c r="Y102" s="11" t="s">
        <v>26</v>
      </c>
      <c r="Z102" s="11" t="s">
        <v>26</v>
      </c>
      <c r="AA102" s="10">
        <v>1739243547.27</v>
      </c>
      <c r="AB102" s="11">
        <v>1.3802080530340001E-2</v>
      </c>
      <c r="AC102" s="1" t="s">
        <v>26</v>
      </c>
      <c r="AD102" s="1" t="s">
        <v>26</v>
      </c>
      <c r="AE102" s="10">
        <v>7737893016.0500002</v>
      </c>
      <c r="AF102" s="11">
        <v>1.323362731635E-2</v>
      </c>
      <c r="AG102" s="1" t="s">
        <v>26</v>
      </c>
      <c r="AH102" s="1" t="s">
        <v>26</v>
      </c>
      <c r="AI102" s="10" t="s">
        <v>26</v>
      </c>
      <c r="AJ102" s="11" t="s">
        <v>26</v>
      </c>
      <c r="AK102" s="11" t="s">
        <v>26</v>
      </c>
      <c r="AL102" s="11" t="s">
        <v>26</v>
      </c>
      <c r="AM102" s="10" t="s">
        <v>26</v>
      </c>
      <c r="AN102" s="11" t="s">
        <v>26</v>
      </c>
      <c r="AO102" s="11" t="s">
        <v>26</v>
      </c>
      <c r="AP102" s="11" t="s">
        <v>26</v>
      </c>
      <c r="AQ102" s="10" t="s">
        <v>26</v>
      </c>
      <c r="AR102" s="11" t="s">
        <v>26</v>
      </c>
      <c r="AS102" s="11" t="s">
        <v>26</v>
      </c>
      <c r="AT102" s="11" t="s">
        <v>26</v>
      </c>
      <c r="AU102" s="10">
        <v>285319720.61000001</v>
      </c>
      <c r="AV102" s="11">
        <v>6.9251565741900003E-3</v>
      </c>
      <c r="AW102" s="11" t="s">
        <v>26</v>
      </c>
      <c r="AX102" s="11" t="s">
        <v>26</v>
      </c>
      <c r="AY102" s="10">
        <v>8023212736.6599998</v>
      </c>
      <c r="AZ102" s="11">
        <v>1.206519965208E-2</v>
      </c>
      <c r="BA102" s="1" t="s">
        <v>26</v>
      </c>
      <c r="BB102" s="1" t="s">
        <v>26</v>
      </c>
    </row>
    <row r="103" spans="1:54" s="8" customFormat="1">
      <c r="A103" s="3" t="s">
        <v>86</v>
      </c>
      <c r="B103" s="31" t="s">
        <v>46</v>
      </c>
      <c r="C103" s="2" t="s">
        <v>26</v>
      </c>
      <c r="D103" s="1" t="s">
        <v>26</v>
      </c>
      <c r="E103" s="1" t="s">
        <v>26</v>
      </c>
      <c r="F103" s="1" t="s">
        <v>26</v>
      </c>
      <c r="G103" s="2">
        <v>1740353201.03</v>
      </c>
      <c r="H103" s="1">
        <v>1</v>
      </c>
      <c r="I103" s="1" t="s">
        <v>26</v>
      </c>
      <c r="J103" s="1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3120901173.4299998</v>
      </c>
      <c r="P103" s="1">
        <v>1</v>
      </c>
      <c r="Q103" s="11" t="s">
        <v>26</v>
      </c>
      <c r="R103" s="11" t="s">
        <v>26</v>
      </c>
      <c r="S103" s="2">
        <v>1137395094.3199999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1739243547.27</v>
      </c>
      <c r="AB103" s="1">
        <v>1</v>
      </c>
      <c r="AC103" s="1" t="s">
        <v>26</v>
      </c>
      <c r="AD103" s="1" t="s">
        <v>26</v>
      </c>
      <c r="AE103" s="2">
        <v>7737893016.0500002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>
        <v>285319720.61000001</v>
      </c>
      <c r="AV103" s="1">
        <v>1</v>
      </c>
      <c r="AW103" s="11" t="s">
        <v>26</v>
      </c>
      <c r="AX103" s="11" t="s">
        <v>26</v>
      </c>
      <c r="AY103" s="2">
        <v>8023212736.6599998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88</v>
      </c>
      <c r="B104" s="24" t="s">
        <v>25</v>
      </c>
      <c r="C104" s="10" t="s">
        <v>26</v>
      </c>
      <c r="D104" s="11" t="s">
        <v>26</v>
      </c>
      <c r="E104" s="11" t="s">
        <v>26</v>
      </c>
      <c r="F104" s="11" t="s">
        <v>26</v>
      </c>
      <c r="G104" s="10">
        <v>1373014748</v>
      </c>
      <c r="H104" s="11">
        <v>9.9926560966400006E-3</v>
      </c>
      <c r="I104" s="1" t="s">
        <v>26</v>
      </c>
      <c r="J104" s="1" t="s">
        <v>26</v>
      </c>
      <c r="K104" s="10" t="s">
        <v>26</v>
      </c>
      <c r="L104" s="11" t="s">
        <v>26</v>
      </c>
      <c r="M104" s="11" t="s">
        <v>26</v>
      </c>
      <c r="N104" s="11" t="s">
        <v>26</v>
      </c>
      <c r="O104" s="10">
        <v>1320206488.47</v>
      </c>
      <c r="P104" s="11">
        <v>6.4506560726999996E-3</v>
      </c>
      <c r="Q104" s="11" t="s">
        <v>26</v>
      </c>
      <c r="R104" s="11" t="s">
        <v>26</v>
      </c>
      <c r="S104" s="10">
        <v>1320206488.47</v>
      </c>
      <c r="T104" s="11">
        <v>1.2840329995269999E-2</v>
      </c>
      <c r="U104" s="1" t="s">
        <v>26</v>
      </c>
      <c r="V104" s="1" t="s">
        <v>26</v>
      </c>
      <c r="W104" s="10" t="s">
        <v>26</v>
      </c>
      <c r="X104" s="11" t="s">
        <v>26</v>
      </c>
      <c r="Y104" s="11" t="s">
        <v>26</v>
      </c>
      <c r="Z104" s="11" t="s">
        <v>26</v>
      </c>
      <c r="AA104" s="10">
        <v>1266606105.03</v>
      </c>
      <c r="AB104" s="11">
        <v>1.0051380951960001E-2</v>
      </c>
      <c r="AC104" s="1" t="s">
        <v>26</v>
      </c>
      <c r="AD104" s="1" t="s">
        <v>26</v>
      </c>
      <c r="AE104" s="10">
        <v>5280033829.9700003</v>
      </c>
      <c r="AF104" s="11">
        <v>9.0301067459299996E-3</v>
      </c>
      <c r="AG104" s="1" t="s">
        <v>26</v>
      </c>
      <c r="AH104" s="1" t="s">
        <v>26</v>
      </c>
      <c r="AI104" s="10" t="s">
        <v>26</v>
      </c>
      <c r="AJ104" s="11" t="s">
        <v>26</v>
      </c>
      <c r="AK104" s="11" t="s">
        <v>26</v>
      </c>
      <c r="AL104" s="11" t="s">
        <v>26</v>
      </c>
      <c r="AM104" s="10" t="s">
        <v>26</v>
      </c>
      <c r="AN104" s="11" t="s">
        <v>26</v>
      </c>
      <c r="AO104" s="11" t="s">
        <v>26</v>
      </c>
      <c r="AP104" s="11" t="s">
        <v>26</v>
      </c>
      <c r="AQ104" s="10" t="s">
        <v>26</v>
      </c>
      <c r="AR104" s="11" t="s">
        <v>26</v>
      </c>
      <c r="AS104" s="11" t="s">
        <v>26</v>
      </c>
      <c r="AT104" s="11" t="s">
        <v>26</v>
      </c>
      <c r="AU104" s="10" t="s">
        <v>26</v>
      </c>
      <c r="AV104" s="11" t="s">
        <v>26</v>
      </c>
      <c r="AW104" s="11" t="s">
        <v>26</v>
      </c>
      <c r="AX104" s="11" t="s">
        <v>26</v>
      </c>
      <c r="AY104" s="10">
        <v>5280033829.9700003</v>
      </c>
      <c r="AZ104" s="11">
        <v>7.9400440221700005E-3</v>
      </c>
      <c r="BA104" s="1" t="s">
        <v>26</v>
      </c>
      <c r="BB104" s="1" t="s">
        <v>26</v>
      </c>
    </row>
    <row r="105" spans="1:54" s="7" customFormat="1">
      <c r="A105" s="3" t="s">
        <v>86</v>
      </c>
      <c r="B105" s="31" t="s">
        <v>46</v>
      </c>
      <c r="C105" s="2" t="s">
        <v>26</v>
      </c>
      <c r="D105" s="1" t="s">
        <v>26</v>
      </c>
      <c r="E105" s="1" t="s">
        <v>26</v>
      </c>
      <c r="F105" s="1" t="s">
        <v>26</v>
      </c>
      <c r="G105" s="2">
        <v>1373014748</v>
      </c>
      <c r="H105" s="1">
        <v>1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1320206488.47</v>
      </c>
      <c r="P105" s="1">
        <v>1</v>
      </c>
      <c r="Q105" s="11" t="s">
        <v>26</v>
      </c>
      <c r="R105" s="11" t="s">
        <v>26</v>
      </c>
      <c r="S105" s="2">
        <v>1320206488.47</v>
      </c>
      <c r="T105" s="1">
        <v>1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37">
        <v>1266606105.03</v>
      </c>
      <c r="AB105" s="38">
        <v>1</v>
      </c>
      <c r="AC105" s="1" t="s">
        <v>26</v>
      </c>
      <c r="AD105" s="1" t="s">
        <v>26</v>
      </c>
      <c r="AE105" s="2">
        <v>5280033829.9700003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1" t="s">
        <v>26</v>
      </c>
      <c r="AX105" s="11" t="s">
        <v>26</v>
      </c>
      <c r="AY105" s="2">
        <v>5280033829.9700003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89</v>
      </c>
      <c r="B106" s="24" t="s">
        <v>25</v>
      </c>
      <c r="C106" s="10" t="s">
        <v>26</v>
      </c>
      <c r="D106" s="11" t="s">
        <v>26</v>
      </c>
      <c r="E106" s="11" t="s">
        <v>26</v>
      </c>
      <c r="F106" s="11" t="s">
        <v>26</v>
      </c>
      <c r="G106" s="10" t="s">
        <v>26</v>
      </c>
      <c r="H106" s="11" t="s">
        <v>26</v>
      </c>
      <c r="I106" s="1" t="s">
        <v>26</v>
      </c>
      <c r="J106" s="1" t="s">
        <v>26</v>
      </c>
      <c r="K106" s="10" t="s">
        <v>26</v>
      </c>
      <c r="L106" s="11" t="s">
        <v>26</v>
      </c>
      <c r="M106" s="11" t="s">
        <v>26</v>
      </c>
      <c r="N106" s="11" t="s">
        <v>26</v>
      </c>
      <c r="O106" s="10">
        <v>3277322966.1199999</v>
      </c>
      <c r="P106" s="11">
        <v>1.6013315703440001E-2</v>
      </c>
      <c r="Q106" s="11" t="s">
        <v>26</v>
      </c>
      <c r="R106" s="11" t="s">
        <v>26</v>
      </c>
      <c r="S106" s="10">
        <v>588306174.99000001</v>
      </c>
      <c r="T106" s="11">
        <v>5.7218666103399998E-3</v>
      </c>
      <c r="U106" s="1" t="s">
        <v>26</v>
      </c>
      <c r="V106" s="1" t="s">
        <v>26</v>
      </c>
      <c r="W106" s="10" t="s">
        <v>26</v>
      </c>
      <c r="X106" s="11" t="s">
        <v>26</v>
      </c>
      <c r="Y106" s="11" t="s">
        <v>26</v>
      </c>
      <c r="Z106" s="11" t="s">
        <v>26</v>
      </c>
      <c r="AA106" s="10">
        <v>1176307302.3199999</v>
      </c>
      <c r="AB106" s="11">
        <v>9.33479853384E-3</v>
      </c>
      <c r="AC106" s="1" t="s">
        <v>26</v>
      </c>
      <c r="AD106" s="1" t="s">
        <v>26</v>
      </c>
      <c r="AE106" s="10">
        <v>5041936443.4300003</v>
      </c>
      <c r="AF106" s="11">
        <v>8.6229038973100001E-3</v>
      </c>
      <c r="AG106" s="1" t="s">
        <v>26</v>
      </c>
      <c r="AH106" s="1" t="s">
        <v>26</v>
      </c>
      <c r="AI106" s="10" t="s">
        <v>26</v>
      </c>
      <c r="AJ106" s="11" t="s">
        <v>26</v>
      </c>
      <c r="AK106" s="11" t="s">
        <v>26</v>
      </c>
      <c r="AL106" s="11" t="s">
        <v>26</v>
      </c>
      <c r="AM106" s="10" t="s">
        <v>26</v>
      </c>
      <c r="AN106" s="11" t="s">
        <v>26</v>
      </c>
      <c r="AO106" s="11" t="s">
        <v>26</v>
      </c>
      <c r="AP106" s="11" t="s">
        <v>26</v>
      </c>
      <c r="AQ106" s="10" t="s">
        <v>26</v>
      </c>
      <c r="AR106" s="11" t="s">
        <v>26</v>
      </c>
      <c r="AS106" s="11" t="s">
        <v>26</v>
      </c>
      <c r="AT106" s="11" t="s">
        <v>26</v>
      </c>
      <c r="AU106" s="10">
        <v>326836763.88</v>
      </c>
      <c r="AV106" s="11">
        <v>7.9328402510399996E-3</v>
      </c>
      <c r="AW106" s="11" t="s">
        <v>26</v>
      </c>
      <c r="AX106" s="11" t="s">
        <v>26</v>
      </c>
      <c r="AY106" s="10">
        <v>5368773207.3100004</v>
      </c>
      <c r="AZ106" s="11">
        <v>8.0734891070500005E-3</v>
      </c>
      <c r="BA106" s="1" t="s">
        <v>26</v>
      </c>
      <c r="BB106" s="1" t="s">
        <v>26</v>
      </c>
    </row>
    <row r="107" spans="1:54" s="7" customFormat="1">
      <c r="A107" s="3" t="s">
        <v>86</v>
      </c>
      <c r="B107" s="31" t="s">
        <v>46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3277322966.1199999</v>
      </c>
      <c r="P107" s="1">
        <v>1</v>
      </c>
      <c r="Q107" s="11" t="s">
        <v>26</v>
      </c>
      <c r="R107" s="11" t="s">
        <v>26</v>
      </c>
      <c r="S107" s="2">
        <v>588306174.99000001</v>
      </c>
      <c r="T107" s="1">
        <v>1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>
        <v>1176307302.3199999</v>
      </c>
      <c r="AB107" s="1">
        <v>1</v>
      </c>
      <c r="AC107" s="1" t="s">
        <v>26</v>
      </c>
      <c r="AD107" s="1" t="s">
        <v>26</v>
      </c>
      <c r="AE107" s="2">
        <v>5041936443.4300003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>
        <v>326836763.88</v>
      </c>
      <c r="AV107" s="1">
        <v>1</v>
      </c>
      <c r="AW107" s="11" t="s">
        <v>26</v>
      </c>
      <c r="AX107" s="11" t="s">
        <v>26</v>
      </c>
      <c r="AY107" s="2">
        <v>5368773207.3100004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106</v>
      </c>
      <c r="B108" s="24" t="s">
        <v>25</v>
      </c>
      <c r="C108" s="10" t="s">
        <v>26</v>
      </c>
      <c r="D108" s="11" t="s">
        <v>26</v>
      </c>
      <c r="E108" s="11" t="s">
        <v>26</v>
      </c>
      <c r="F108" s="11" t="s">
        <v>26</v>
      </c>
      <c r="G108" s="10" t="s">
        <v>26</v>
      </c>
      <c r="H108" s="11" t="s">
        <v>26</v>
      </c>
      <c r="I108" s="1" t="s">
        <v>26</v>
      </c>
      <c r="J108" s="1" t="s">
        <v>26</v>
      </c>
      <c r="K108" s="10" t="s">
        <v>26</v>
      </c>
      <c r="L108" s="11" t="s">
        <v>26</v>
      </c>
      <c r="M108" s="11" t="s">
        <v>26</v>
      </c>
      <c r="N108" s="11" t="s">
        <v>26</v>
      </c>
      <c r="O108" s="10">
        <v>616396563</v>
      </c>
      <c r="P108" s="11">
        <v>3.0117729817500001E-3</v>
      </c>
      <c r="Q108" s="11" t="s">
        <v>26</v>
      </c>
      <c r="R108" s="11" t="s">
        <v>26</v>
      </c>
      <c r="S108" s="10" t="s">
        <v>26</v>
      </c>
      <c r="T108" s="11" t="s">
        <v>26</v>
      </c>
      <c r="U108" s="1" t="s">
        <v>26</v>
      </c>
      <c r="V108" s="1" t="s">
        <v>26</v>
      </c>
      <c r="W108" s="10" t="s">
        <v>26</v>
      </c>
      <c r="X108" s="11" t="s">
        <v>26</v>
      </c>
      <c r="Y108" s="11" t="s">
        <v>26</v>
      </c>
      <c r="Z108" s="11" t="s">
        <v>26</v>
      </c>
      <c r="AA108" s="10" t="s">
        <v>26</v>
      </c>
      <c r="AB108" s="11" t="s">
        <v>26</v>
      </c>
      <c r="AC108" s="1" t="s">
        <v>26</v>
      </c>
      <c r="AD108" s="1" t="s">
        <v>26</v>
      </c>
      <c r="AE108" s="10">
        <v>616396563</v>
      </c>
      <c r="AF108" s="11">
        <v>1.05418392021E-3</v>
      </c>
      <c r="AG108" s="1" t="s">
        <v>26</v>
      </c>
      <c r="AH108" s="1" t="s">
        <v>26</v>
      </c>
      <c r="AI108" s="10" t="s">
        <v>26</v>
      </c>
      <c r="AJ108" s="11" t="s">
        <v>26</v>
      </c>
      <c r="AK108" s="11" t="s">
        <v>26</v>
      </c>
      <c r="AL108" s="11" t="s">
        <v>26</v>
      </c>
      <c r="AM108" s="10" t="s">
        <v>26</v>
      </c>
      <c r="AN108" s="11" t="s">
        <v>26</v>
      </c>
      <c r="AO108" s="11" t="s">
        <v>26</v>
      </c>
      <c r="AP108" s="11" t="s">
        <v>26</v>
      </c>
      <c r="AQ108" s="10" t="s">
        <v>26</v>
      </c>
      <c r="AR108" s="11" t="s">
        <v>26</v>
      </c>
      <c r="AS108" s="11" t="s">
        <v>26</v>
      </c>
      <c r="AT108" s="11" t="s">
        <v>26</v>
      </c>
      <c r="AU108" s="10" t="s">
        <v>26</v>
      </c>
      <c r="AV108" s="11" t="s">
        <v>26</v>
      </c>
      <c r="AW108" s="11" t="s">
        <v>26</v>
      </c>
      <c r="AX108" s="11" t="s">
        <v>26</v>
      </c>
      <c r="AY108" s="10">
        <v>616396563</v>
      </c>
      <c r="AZ108" s="11">
        <v>9.2692888018E-4</v>
      </c>
      <c r="BA108" s="1" t="s">
        <v>26</v>
      </c>
      <c r="BB108" s="1" t="s">
        <v>26</v>
      </c>
    </row>
    <row r="109" spans="1:54" s="7" customFormat="1">
      <c r="A109" s="3" t="s">
        <v>86</v>
      </c>
      <c r="B109" s="31" t="s">
        <v>46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616396563</v>
      </c>
      <c r="P109" s="1">
        <v>1</v>
      </c>
      <c r="Q109" s="11" t="s">
        <v>26</v>
      </c>
      <c r="R109" s="1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616396563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1" t="s">
        <v>26</v>
      </c>
      <c r="AX109" s="11" t="s">
        <v>26</v>
      </c>
      <c r="AY109" s="2">
        <v>616396563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90</v>
      </c>
      <c r="B110" s="24" t="s">
        <v>25</v>
      </c>
      <c r="C110" s="10" t="s">
        <v>26</v>
      </c>
      <c r="D110" s="11" t="s">
        <v>26</v>
      </c>
      <c r="E110" s="11" t="s">
        <v>26</v>
      </c>
      <c r="F110" s="11" t="s">
        <v>26</v>
      </c>
      <c r="G110" s="10" t="s">
        <v>26</v>
      </c>
      <c r="H110" s="11" t="s">
        <v>26</v>
      </c>
      <c r="I110" s="1" t="s">
        <v>26</v>
      </c>
      <c r="J110" s="1" t="s">
        <v>26</v>
      </c>
      <c r="K110" s="10" t="s">
        <v>26</v>
      </c>
      <c r="L110" s="11" t="s">
        <v>26</v>
      </c>
      <c r="M110" s="11" t="s">
        <v>26</v>
      </c>
      <c r="N110" s="11" t="s">
        <v>26</v>
      </c>
      <c r="O110" s="10">
        <v>311344906.68000001</v>
      </c>
      <c r="P110" s="11">
        <v>1.52126120461E-3</v>
      </c>
      <c r="Q110" s="11" t="s">
        <v>26</v>
      </c>
      <c r="R110" s="11" t="s">
        <v>26</v>
      </c>
      <c r="S110" s="10" t="s">
        <v>26</v>
      </c>
      <c r="T110" s="11" t="s">
        <v>26</v>
      </c>
      <c r="U110" s="1" t="s">
        <v>26</v>
      </c>
      <c r="V110" s="1" t="s">
        <v>26</v>
      </c>
      <c r="W110" s="10" t="s">
        <v>26</v>
      </c>
      <c r="X110" s="11" t="s">
        <v>26</v>
      </c>
      <c r="Y110" s="11" t="s">
        <v>26</v>
      </c>
      <c r="Z110" s="11" t="s">
        <v>26</v>
      </c>
      <c r="AA110" s="10">
        <v>311344906.68000001</v>
      </c>
      <c r="AB110" s="11">
        <v>2.4707336022299999E-3</v>
      </c>
      <c r="AC110" s="1" t="s">
        <v>26</v>
      </c>
      <c r="AD110" s="1" t="s">
        <v>26</v>
      </c>
      <c r="AE110" s="10">
        <v>622689813.36000001</v>
      </c>
      <c r="AF110" s="11">
        <v>1.0649468668800001E-3</v>
      </c>
      <c r="AG110" s="1" t="s">
        <v>26</v>
      </c>
      <c r="AH110" s="1" t="s">
        <v>26</v>
      </c>
      <c r="AI110" s="10" t="s">
        <v>26</v>
      </c>
      <c r="AJ110" s="11" t="s">
        <v>26</v>
      </c>
      <c r="AK110" s="11" t="s">
        <v>26</v>
      </c>
      <c r="AL110" s="11" t="s">
        <v>26</v>
      </c>
      <c r="AM110" s="10" t="s">
        <v>26</v>
      </c>
      <c r="AN110" s="11" t="s">
        <v>26</v>
      </c>
      <c r="AO110" s="11" t="s">
        <v>26</v>
      </c>
      <c r="AP110" s="11" t="s">
        <v>26</v>
      </c>
      <c r="AQ110" s="10" t="s">
        <v>26</v>
      </c>
      <c r="AR110" s="11" t="s">
        <v>26</v>
      </c>
      <c r="AS110" s="11" t="s">
        <v>26</v>
      </c>
      <c r="AT110" s="11" t="s">
        <v>26</v>
      </c>
      <c r="AU110" s="10" t="s">
        <v>26</v>
      </c>
      <c r="AV110" s="11" t="s">
        <v>26</v>
      </c>
      <c r="AW110" s="11" t="s">
        <v>26</v>
      </c>
      <c r="AX110" s="11" t="s">
        <v>26</v>
      </c>
      <c r="AY110" s="10">
        <v>622689813.36000001</v>
      </c>
      <c r="AZ110" s="11">
        <v>9.3639258562999998E-4</v>
      </c>
      <c r="BA110" s="1" t="s">
        <v>26</v>
      </c>
      <c r="BB110" s="1" t="s">
        <v>26</v>
      </c>
    </row>
    <row r="111" spans="1:54" s="7" customFormat="1">
      <c r="A111" s="3" t="s">
        <v>86</v>
      </c>
      <c r="B111" s="31" t="s">
        <v>46</v>
      </c>
      <c r="C111" s="2" t="s">
        <v>26</v>
      </c>
      <c r="D111" s="1" t="s">
        <v>26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>
        <v>311344906.68000001</v>
      </c>
      <c r="P111" s="1">
        <v>1</v>
      </c>
      <c r="Q111" s="11" t="s">
        <v>26</v>
      </c>
      <c r="R111" s="1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>
        <v>311344906.68000001</v>
      </c>
      <c r="AB111" s="1">
        <v>1</v>
      </c>
      <c r="AC111" s="1" t="s">
        <v>26</v>
      </c>
      <c r="AD111" s="1" t="s">
        <v>26</v>
      </c>
      <c r="AE111" s="2">
        <v>622689813.36000001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1" t="s">
        <v>26</v>
      </c>
      <c r="AX111" s="11" t="s">
        <v>26</v>
      </c>
      <c r="AY111" s="2">
        <v>622689813.36000001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91</v>
      </c>
      <c r="B112" s="24" t="s">
        <v>25</v>
      </c>
      <c r="C112" s="10" t="s">
        <v>26</v>
      </c>
      <c r="D112" s="11" t="s">
        <v>26</v>
      </c>
      <c r="E112" s="11" t="s">
        <v>26</v>
      </c>
      <c r="F112" s="11" t="s">
        <v>26</v>
      </c>
      <c r="G112" s="10" t="s">
        <v>26</v>
      </c>
      <c r="H112" s="11" t="s">
        <v>26</v>
      </c>
      <c r="I112" s="1" t="s">
        <v>26</v>
      </c>
      <c r="J112" s="1" t="s">
        <v>26</v>
      </c>
      <c r="K112" s="10" t="s">
        <v>26</v>
      </c>
      <c r="L112" s="11" t="s">
        <v>26</v>
      </c>
      <c r="M112" s="11" t="s">
        <v>26</v>
      </c>
      <c r="N112" s="11" t="s">
        <v>26</v>
      </c>
      <c r="O112" s="10" t="s">
        <v>26</v>
      </c>
      <c r="P112" s="11" t="s">
        <v>26</v>
      </c>
      <c r="Q112" s="11" t="s">
        <v>26</v>
      </c>
      <c r="R112" s="11" t="s">
        <v>26</v>
      </c>
      <c r="S112" s="10">
        <v>129527737.8</v>
      </c>
      <c r="T112" s="11">
        <v>1.2597869435000001E-3</v>
      </c>
      <c r="U112" s="1" t="s">
        <v>26</v>
      </c>
      <c r="V112" s="1" t="s">
        <v>26</v>
      </c>
      <c r="W112" s="10" t="s">
        <v>26</v>
      </c>
      <c r="X112" s="11" t="s">
        <v>26</v>
      </c>
      <c r="Y112" s="11" t="s">
        <v>26</v>
      </c>
      <c r="Z112" s="11" t="s">
        <v>26</v>
      </c>
      <c r="AA112" s="10" t="s">
        <v>26</v>
      </c>
      <c r="AB112" s="11" t="s">
        <v>26</v>
      </c>
      <c r="AC112" s="1" t="s">
        <v>26</v>
      </c>
      <c r="AD112" s="1" t="s">
        <v>26</v>
      </c>
      <c r="AE112" s="10">
        <v>129527737.8</v>
      </c>
      <c r="AF112" s="11">
        <v>2.2152306909E-4</v>
      </c>
      <c r="AG112" s="1" t="s">
        <v>26</v>
      </c>
      <c r="AH112" s="1" t="s">
        <v>26</v>
      </c>
      <c r="AI112" s="10" t="s">
        <v>26</v>
      </c>
      <c r="AJ112" s="11" t="s">
        <v>26</v>
      </c>
      <c r="AK112" s="11" t="s">
        <v>26</v>
      </c>
      <c r="AL112" s="11" t="s">
        <v>26</v>
      </c>
      <c r="AM112" s="10" t="s">
        <v>26</v>
      </c>
      <c r="AN112" s="11" t="s">
        <v>26</v>
      </c>
      <c r="AO112" s="11" t="s">
        <v>26</v>
      </c>
      <c r="AP112" s="11" t="s">
        <v>26</v>
      </c>
      <c r="AQ112" s="10" t="s">
        <v>26</v>
      </c>
      <c r="AR112" s="11" t="s">
        <v>26</v>
      </c>
      <c r="AS112" s="11" t="s">
        <v>26</v>
      </c>
      <c r="AT112" s="11" t="s">
        <v>26</v>
      </c>
      <c r="AU112" s="10">
        <v>165927868.5</v>
      </c>
      <c r="AV112" s="11">
        <v>4.0273292954599998E-3</v>
      </c>
      <c r="AW112" s="11" t="s">
        <v>26</v>
      </c>
      <c r="AX112" s="11" t="s">
        <v>26</v>
      </c>
      <c r="AY112" s="10">
        <v>295455606.30000001</v>
      </c>
      <c r="AZ112" s="11">
        <v>4.4430217611999997E-4</v>
      </c>
      <c r="BA112" s="1" t="s">
        <v>26</v>
      </c>
      <c r="BB112" s="1" t="s">
        <v>26</v>
      </c>
    </row>
    <row r="113" spans="1:54" s="7" customFormat="1">
      <c r="A113" s="3" t="s">
        <v>86</v>
      </c>
      <c r="B113" s="31" t="s">
        <v>46</v>
      </c>
      <c r="C113" s="2" t="s">
        <v>26</v>
      </c>
      <c r="D113" s="1" t="s">
        <v>26</v>
      </c>
      <c r="E113" s="1" t="s">
        <v>26</v>
      </c>
      <c r="F113" s="1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1" t="s">
        <v>26</v>
      </c>
      <c r="R113" s="11" t="s">
        <v>26</v>
      </c>
      <c r="S113" s="2">
        <v>129527737.8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129527737.8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>
        <v>165927868.5</v>
      </c>
      <c r="AV113" s="1">
        <v>1</v>
      </c>
      <c r="AW113" s="11" t="s">
        <v>26</v>
      </c>
      <c r="AX113" s="11" t="s">
        <v>26</v>
      </c>
      <c r="AY113" s="2">
        <v>295455606.30000001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92</v>
      </c>
      <c r="B114" s="24" t="s">
        <v>25</v>
      </c>
      <c r="C114" s="10" t="s">
        <v>26</v>
      </c>
      <c r="D114" s="11" t="s">
        <v>26</v>
      </c>
      <c r="E114" s="11" t="s">
        <v>26</v>
      </c>
      <c r="F114" s="11" t="s">
        <v>26</v>
      </c>
      <c r="G114" s="10">
        <v>619827797.89999998</v>
      </c>
      <c r="H114" s="11">
        <v>4.51104114692E-3</v>
      </c>
      <c r="I114" s="1" t="s">
        <v>26</v>
      </c>
      <c r="J114" s="1" t="s">
        <v>26</v>
      </c>
      <c r="K114" s="10" t="s">
        <v>26</v>
      </c>
      <c r="L114" s="11" t="s">
        <v>26</v>
      </c>
      <c r="M114" s="11" t="s">
        <v>26</v>
      </c>
      <c r="N114" s="11" t="s">
        <v>26</v>
      </c>
      <c r="O114" s="10">
        <v>1946837939.73</v>
      </c>
      <c r="P114" s="11">
        <v>9.5124377043700001E-3</v>
      </c>
      <c r="Q114" s="11" t="s">
        <v>26</v>
      </c>
      <c r="R114" s="11" t="s">
        <v>26</v>
      </c>
      <c r="S114" s="10" t="s">
        <v>26</v>
      </c>
      <c r="T114" s="11" t="s">
        <v>26</v>
      </c>
      <c r="U114" s="1" t="s">
        <v>26</v>
      </c>
      <c r="V114" s="1" t="s">
        <v>26</v>
      </c>
      <c r="W114" s="10" t="s">
        <v>26</v>
      </c>
      <c r="X114" s="11" t="s">
        <v>26</v>
      </c>
      <c r="Y114" s="11" t="s">
        <v>26</v>
      </c>
      <c r="Z114" s="11" t="s">
        <v>26</v>
      </c>
      <c r="AA114" s="10" t="s">
        <v>26</v>
      </c>
      <c r="AB114" s="11" t="s">
        <v>26</v>
      </c>
      <c r="AC114" s="1" t="s">
        <v>26</v>
      </c>
      <c r="AD114" s="1" t="s">
        <v>26</v>
      </c>
      <c r="AE114" s="10">
        <v>2566665737.6300001</v>
      </c>
      <c r="AF114" s="11">
        <v>4.3896055097899997E-3</v>
      </c>
      <c r="AG114" s="1" t="s">
        <v>26</v>
      </c>
      <c r="AH114" s="1" t="s">
        <v>26</v>
      </c>
      <c r="AI114" s="10" t="s">
        <v>26</v>
      </c>
      <c r="AJ114" s="11" t="s">
        <v>26</v>
      </c>
      <c r="AK114" s="11" t="s">
        <v>26</v>
      </c>
      <c r="AL114" s="11" t="s">
        <v>26</v>
      </c>
      <c r="AM114" s="10" t="s">
        <v>26</v>
      </c>
      <c r="AN114" s="11" t="s">
        <v>26</v>
      </c>
      <c r="AO114" s="11" t="s">
        <v>26</v>
      </c>
      <c r="AP114" s="11" t="s">
        <v>26</v>
      </c>
      <c r="AQ114" s="10" t="s">
        <v>26</v>
      </c>
      <c r="AR114" s="11" t="s">
        <v>26</v>
      </c>
      <c r="AS114" s="11" t="s">
        <v>26</v>
      </c>
      <c r="AT114" s="11" t="s">
        <v>26</v>
      </c>
      <c r="AU114" s="10" t="s">
        <v>26</v>
      </c>
      <c r="AV114" s="11" t="s">
        <v>26</v>
      </c>
      <c r="AW114" s="11" t="s">
        <v>26</v>
      </c>
      <c r="AX114" s="11" t="s">
        <v>26</v>
      </c>
      <c r="AY114" s="10">
        <v>2566665737.6300001</v>
      </c>
      <c r="AZ114" s="11">
        <v>3.8597174948600001E-3</v>
      </c>
      <c r="BA114" s="1" t="s">
        <v>26</v>
      </c>
      <c r="BB114" s="1" t="s">
        <v>26</v>
      </c>
    </row>
    <row r="115" spans="1:54" s="8" customFormat="1">
      <c r="A115" s="3" t="s">
        <v>86</v>
      </c>
      <c r="B115" s="31" t="s">
        <v>46</v>
      </c>
      <c r="C115" s="2" t="s">
        <v>26</v>
      </c>
      <c r="D115" s="1" t="s">
        <v>26</v>
      </c>
      <c r="E115" s="1" t="s">
        <v>26</v>
      </c>
      <c r="F115" s="1" t="s">
        <v>26</v>
      </c>
      <c r="G115" s="2">
        <v>619827797.89999998</v>
      </c>
      <c r="H115" s="1">
        <v>1</v>
      </c>
      <c r="I115" s="1" t="s">
        <v>26</v>
      </c>
      <c r="J115" s="1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>
        <v>1946837939.73</v>
      </c>
      <c r="P115" s="1">
        <v>1</v>
      </c>
      <c r="Q115" s="11" t="s">
        <v>26</v>
      </c>
      <c r="R115" s="1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2566665737.6300001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1" t="s">
        <v>26</v>
      </c>
      <c r="AX115" s="11" t="s">
        <v>26</v>
      </c>
      <c r="AY115" s="2">
        <v>2566665737.6300001</v>
      </c>
      <c r="AZ115" s="1">
        <v>1</v>
      </c>
      <c r="BA115" s="1" t="s">
        <v>26</v>
      </c>
      <c r="BB115" s="1" t="s">
        <v>26</v>
      </c>
    </row>
    <row r="116" spans="1:54" s="8" customFormat="1">
      <c r="A116" s="5" t="s">
        <v>93</v>
      </c>
      <c r="B116" s="24" t="s">
        <v>25</v>
      </c>
      <c r="C116" s="10" t="s">
        <v>26</v>
      </c>
      <c r="D116" s="11" t="s">
        <v>26</v>
      </c>
      <c r="E116" s="11" t="s">
        <v>26</v>
      </c>
      <c r="F116" s="11" t="s">
        <v>26</v>
      </c>
      <c r="G116" s="10">
        <v>1518157394.02</v>
      </c>
      <c r="H116" s="11">
        <v>1.104898892099E-2</v>
      </c>
      <c r="I116" s="1" t="s">
        <v>26</v>
      </c>
      <c r="J116" s="1" t="s">
        <v>26</v>
      </c>
      <c r="K116" s="10" t="s">
        <v>26</v>
      </c>
      <c r="L116" s="11" t="s">
        <v>26</v>
      </c>
      <c r="M116" s="11" t="s">
        <v>26</v>
      </c>
      <c r="N116" s="11" t="s">
        <v>26</v>
      </c>
      <c r="O116" s="10">
        <v>3617121088.5599999</v>
      </c>
      <c r="P116" s="11">
        <v>1.7673602061030001E-2</v>
      </c>
      <c r="Q116" s="11" t="s">
        <v>26</v>
      </c>
      <c r="R116" s="11" t="s">
        <v>26</v>
      </c>
      <c r="S116" s="10">
        <v>1012793904.79</v>
      </c>
      <c r="T116" s="11">
        <v>9.8504348132500003E-3</v>
      </c>
      <c r="U116" s="1" t="s">
        <v>26</v>
      </c>
      <c r="V116" s="1" t="s">
        <v>26</v>
      </c>
      <c r="W116" s="10" t="s">
        <v>26</v>
      </c>
      <c r="X116" s="11" t="s">
        <v>26</v>
      </c>
      <c r="Y116" s="11" t="s">
        <v>26</v>
      </c>
      <c r="Z116" s="11" t="s">
        <v>26</v>
      </c>
      <c r="AA116" s="10" t="s">
        <v>26</v>
      </c>
      <c r="AB116" s="11" t="s">
        <v>26</v>
      </c>
      <c r="AC116" s="1" t="s">
        <v>26</v>
      </c>
      <c r="AD116" s="1" t="s">
        <v>26</v>
      </c>
      <c r="AE116" s="10">
        <v>6148072387.3699999</v>
      </c>
      <c r="AF116" s="11">
        <v>1.051465799794E-2</v>
      </c>
      <c r="AG116" s="1" t="s">
        <v>26</v>
      </c>
      <c r="AH116" s="1" t="s">
        <v>26</v>
      </c>
      <c r="AI116" s="10" t="s">
        <v>26</v>
      </c>
      <c r="AJ116" s="11" t="s">
        <v>26</v>
      </c>
      <c r="AK116" s="11" t="s">
        <v>26</v>
      </c>
      <c r="AL116" s="11" t="s">
        <v>26</v>
      </c>
      <c r="AM116" s="10" t="s">
        <v>26</v>
      </c>
      <c r="AN116" s="11" t="s">
        <v>26</v>
      </c>
      <c r="AO116" s="11" t="s">
        <v>26</v>
      </c>
      <c r="AP116" s="11" t="s">
        <v>26</v>
      </c>
      <c r="AQ116" s="10" t="s">
        <v>26</v>
      </c>
      <c r="AR116" s="11" t="s">
        <v>26</v>
      </c>
      <c r="AS116" s="11" t="s">
        <v>26</v>
      </c>
      <c r="AT116" s="11" t="s">
        <v>26</v>
      </c>
      <c r="AU116" s="10">
        <v>1012793904.79</v>
      </c>
      <c r="AV116" s="11">
        <v>2.4582094616740002E-2</v>
      </c>
      <c r="AW116" s="11" t="s">
        <v>26</v>
      </c>
      <c r="AX116" s="11" t="s">
        <v>26</v>
      </c>
      <c r="AY116" s="10">
        <v>7160866292.1599998</v>
      </c>
      <c r="AZ116" s="11">
        <v>1.076841464044E-2</v>
      </c>
      <c r="BA116" s="1" t="s">
        <v>26</v>
      </c>
      <c r="BB116" s="1" t="s">
        <v>26</v>
      </c>
    </row>
    <row r="117" spans="1:54">
      <c r="A117" s="3" t="s">
        <v>86</v>
      </c>
      <c r="B117" s="31" t="s">
        <v>37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1518157394.02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3617121088.5599999</v>
      </c>
      <c r="P117" s="1">
        <v>1</v>
      </c>
      <c r="Q117" s="11" t="s">
        <v>26</v>
      </c>
      <c r="R117" s="11" t="s">
        <v>26</v>
      </c>
      <c r="S117" s="2">
        <v>1012793904.79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6148072387.3699999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>
        <v>1012793904.79</v>
      </c>
      <c r="AV117" s="1">
        <v>1</v>
      </c>
      <c r="AW117" s="11" t="s">
        <v>26</v>
      </c>
      <c r="AX117" s="11" t="s">
        <v>26</v>
      </c>
      <c r="AY117" s="2">
        <v>7160866292.1599998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94</v>
      </c>
      <c r="B118" s="24" t="s">
        <v>25</v>
      </c>
      <c r="C118" s="10" t="s">
        <v>26</v>
      </c>
      <c r="D118" s="11" t="s">
        <v>26</v>
      </c>
      <c r="E118" s="11" t="s">
        <v>26</v>
      </c>
      <c r="F118" s="11" t="s">
        <v>26</v>
      </c>
      <c r="G118" s="10">
        <v>514962450.5</v>
      </c>
      <c r="H118" s="11">
        <v>3.7478422413300002E-3</v>
      </c>
      <c r="I118" s="1" t="s">
        <v>26</v>
      </c>
      <c r="J118" s="1" t="s">
        <v>26</v>
      </c>
      <c r="K118" s="10" t="s">
        <v>26</v>
      </c>
      <c r="L118" s="11" t="s">
        <v>26</v>
      </c>
      <c r="M118" s="11" t="s">
        <v>26</v>
      </c>
      <c r="N118" s="11" t="s">
        <v>26</v>
      </c>
      <c r="O118" s="10">
        <v>714036634.61000001</v>
      </c>
      <c r="P118" s="11">
        <v>3.4888517768999999E-3</v>
      </c>
      <c r="Q118" s="11" t="s">
        <v>26</v>
      </c>
      <c r="R118" s="11" t="s">
        <v>26</v>
      </c>
      <c r="S118" s="10">
        <v>238118637.11000001</v>
      </c>
      <c r="T118" s="11">
        <v>2.31594216906E-3</v>
      </c>
      <c r="U118" s="1" t="s">
        <v>26</v>
      </c>
      <c r="V118" s="1" t="s">
        <v>26</v>
      </c>
      <c r="W118" s="10" t="s">
        <v>26</v>
      </c>
      <c r="X118" s="11" t="s">
        <v>26</v>
      </c>
      <c r="Y118" s="11" t="s">
        <v>26</v>
      </c>
      <c r="Z118" s="11" t="s">
        <v>26</v>
      </c>
      <c r="AA118" s="28">
        <v>772443675.75</v>
      </c>
      <c r="AB118" s="29">
        <v>6.1298659607399997E-3</v>
      </c>
      <c r="AC118" s="1" t="s">
        <v>26</v>
      </c>
      <c r="AD118" s="1" t="s">
        <v>26</v>
      </c>
      <c r="AE118" s="10">
        <v>2239561397.9699998</v>
      </c>
      <c r="AF118" s="11">
        <v>3.8301797183500001E-3</v>
      </c>
      <c r="AG118" s="1" t="s">
        <v>26</v>
      </c>
      <c r="AH118" s="1" t="s">
        <v>26</v>
      </c>
      <c r="AI118" s="10" t="s">
        <v>26</v>
      </c>
      <c r="AJ118" s="11" t="s">
        <v>26</v>
      </c>
      <c r="AK118" s="11" t="s">
        <v>26</v>
      </c>
      <c r="AL118" s="11" t="s">
        <v>26</v>
      </c>
      <c r="AM118" s="10" t="s">
        <v>26</v>
      </c>
      <c r="AN118" s="11" t="s">
        <v>26</v>
      </c>
      <c r="AO118" s="11" t="s">
        <v>26</v>
      </c>
      <c r="AP118" s="11" t="s">
        <v>26</v>
      </c>
      <c r="AQ118" s="10" t="s">
        <v>26</v>
      </c>
      <c r="AR118" s="11" t="s">
        <v>26</v>
      </c>
      <c r="AS118" s="11" t="s">
        <v>26</v>
      </c>
      <c r="AT118" s="11" t="s">
        <v>26</v>
      </c>
      <c r="AU118" s="10" t="s">
        <v>26</v>
      </c>
      <c r="AV118" s="11" t="s">
        <v>26</v>
      </c>
      <c r="AW118" s="11" t="s">
        <v>26</v>
      </c>
      <c r="AX118" s="11" t="s">
        <v>26</v>
      </c>
      <c r="AY118" s="10">
        <v>2239561397.9699998</v>
      </c>
      <c r="AZ118" s="11">
        <v>3.3678223781999999E-3</v>
      </c>
      <c r="BA118" s="1" t="s">
        <v>26</v>
      </c>
      <c r="BB118" s="1" t="s">
        <v>26</v>
      </c>
    </row>
    <row r="119" spans="1:54" s="7" customFormat="1">
      <c r="A119" s="3" t="s">
        <v>86</v>
      </c>
      <c r="B119" s="31" t="s">
        <v>46</v>
      </c>
      <c r="C119" s="2" t="s">
        <v>26</v>
      </c>
      <c r="D119" s="1" t="s">
        <v>26</v>
      </c>
      <c r="E119" s="1" t="s">
        <v>26</v>
      </c>
      <c r="F119" s="1" t="s">
        <v>26</v>
      </c>
      <c r="G119" s="2">
        <v>514962450.5</v>
      </c>
      <c r="H119" s="1">
        <v>1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714036634.61000001</v>
      </c>
      <c r="P119" s="1">
        <v>1</v>
      </c>
      <c r="Q119" s="11" t="s">
        <v>26</v>
      </c>
      <c r="R119" s="11" t="s">
        <v>26</v>
      </c>
      <c r="S119" s="2">
        <v>238118637.11000001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2">
        <v>772443675.75</v>
      </c>
      <c r="AB119" s="23">
        <v>1</v>
      </c>
      <c r="AC119" s="1" t="s">
        <v>26</v>
      </c>
      <c r="AD119" s="1" t="s">
        <v>26</v>
      </c>
      <c r="AE119" s="2">
        <v>2239561397.9699998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 t="s">
        <v>26</v>
      </c>
      <c r="AV119" s="1" t="s">
        <v>26</v>
      </c>
      <c r="AW119" s="11" t="s">
        <v>26</v>
      </c>
      <c r="AX119" s="11" t="s">
        <v>26</v>
      </c>
      <c r="AY119" s="2">
        <v>2239561397.9699998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95</v>
      </c>
      <c r="B120" s="24" t="s">
        <v>25</v>
      </c>
      <c r="C120" s="10" t="s">
        <v>26</v>
      </c>
      <c r="D120" s="11" t="s">
        <v>26</v>
      </c>
      <c r="E120" s="11" t="s">
        <v>26</v>
      </c>
      <c r="F120" s="11" t="s">
        <v>26</v>
      </c>
      <c r="G120" s="10" t="s">
        <v>26</v>
      </c>
      <c r="H120" s="11" t="s">
        <v>26</v>
      </c>
      <c r="I120" s="1" t="s">
        <v>26</v>
      </c>
      <c r="J120" s="1" t="s">
        <v>26</v>
      </c>
      <c r="K120" s="10" t="s">
        <v>26</v>
      </c>
      <c r="L120" s="11" t="s">
        <v>26</v>
      </c>
      <c r="M120" s="11" t="s">
        <v>26</v>
      </c>
      <c r="N120" s="11" t="s">
        <v>26</v>
      </c>
      <c r="O120" s="10">
        <v>240390572.09999999</v>
      </c>
      <c r="P120" s="11">
        <v>1.17457149111E-3</v>
      </c>
      <c r="Q120" s="11" t="s">
        <v>26</v>
      </c>
      <c r="R120" s="11" t="s">
        <v>26</v>
      </c>
      <c r="S120" s="10" t="s">
        <v>26</v>
      </c>
      <c r="T120" s="11" t="s">
        <v>26</v>
      </c>
      <c r="U120" s="1" t="s">
        <v>26</v>
      </c>
      <c r="V120" s="1" t="s">
        <v>26</v>
      </c>
      <c r="W120" s="10" t="s">
        <v>26</v>
      </c>
      <c r="X120" s="11" t="s">
        <v>26</v>
      </c>
      <c r="Y120" s="11" t="s">
        <v>26</v>
      </c>
      <c r="Z120" s="11" t="s">
        <v>26</v>
      </c>
      <c r="AA120" s="10" t="s">
        <v>26</v>
      </c>
      <c r="AB120" s="11" t="s">
        <v>26</v>
      </c>
      <c r="AC120" s="1" t="s">
        <v>26</v>
      </c>
      <c r="AD120" s="1" t="s">
        <v>26</v>
      </c>
      <c r="AE120" s="10">
        <v>240390572.09999999</v>
      </c>
      <c r="AF120" s="11">
        <v>4.1112473834E-4</v>
      </c>
      <c r="AG120" s="1" t="s">
        <v>26</v>
      </c>
      <c r="AH120" s="1" t="s">
        <v>26</v>
      </c>
      <c r="AI120" s="10" t="s">
        <v>26</v>
      </c>
      <c r="AJ120" s="11" t="s">
        <v>26</v>
      </c>
      <c r="AK120" s="11" t="s">
        <v>26</v>
      </c>
      <c r="AL120" s="11" t="s">
        <v>26</v>
      </c>
      <c r="AM120" s="10" t="s">
        <v>26</v>
      </c>
      <c r="AN120" s="11" t="s">
        <v>26</v>
      </c>
      <c r="AO120" s="11" t="s">
        <v>26</v>
      </c>
      <c r="AP120" s="11" t="s">
        <v>26</v>
      </c>
      <c r="AQ120" s="10" t="s">
        <v>26</v>
      </c>
      <c r="AR120" s="11" t="s">
        <v>26</v>
      </c>
      <c r="AS120" s="11" t="s">
        <v>26</v>
      </c>
      <c r="AT120" s="11" t="s">
        <v>26</v>
      </c>
      <c r="AU120" s="10" t="s">
        <v>26</v>
      </c>
      <c r="AV120" s="11" t="s">
        <v>26</v>
      </c>
      <c r="AW120" s="11" t="s">
        <v>26</v>
      </c>
      <c r="AX120" s="11" t="s">
        <v>26</v>
      </c>
      <c r="AY120" s="10">
        <v>240390572.09999999</v>
      </c>
      <c r="AZ120" s="11">
        <v>3.6149611659000002E-4</v>
      </c>
      <c r="BA120" s="1" t="s">
        <v>26</v>
      </c>
      <c r="BB120" s="1" t="s">
        <v>26</v>
      </c>
    </row>
    <row r="121" spans="1:54" s="7" customFormat="1">
      <c r="A121" s="3" t="s">
        <v>86</v>
      </c>
      <c r="B121" s="31" t="s">
        <v>56</v>
      </c>
      <c r="C121" s="2" t="s">
        <v>26</v>
      </c>
      <c r="D121" s="1" t="s">
        <v>26</v>
      </c>
      <c r="E121" s="1" t="s">
        <v>26</v>
      </c>
      <c r="F121" s="1" t="s">
        <v>26</v>
      </c>
      <c r="G121" s="2" t="s">
        <v>26</v>
      </c>
      <c r="H121" s="1" t="s">
        <v>26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240390572.09999999</v>
      </c>
      <c r="P121" s="1">
        <v>1</v>
      </c>
      <c r="Q121" s="11" t="s">
        <v>26</v>
      </c>
      <c r="R121" s="11" t="s">
        <v>26</v>
      </c>
      <c r="S121" s="2" t="s">
        <v>26</v>
      </c>
      <c r="T121" s="1" t="s">
        <v>26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240390572.09999999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1" t="s">
        <v>26</v>
      </c>
      <c r="AX121" s="11" t="s">
        <v>26</v>
      </c>
      <c r="AY121" s="2">
        <v>240390572.09999999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97</v>
      </c>
      <c r="B122" s="24" t="s">
        <v>25</v>
      </c>
      <c r="C122" s="10" t="s">
        <v>26</v>
      </c>
      <c r="D122" s="11" t="s">
        <v>26</v>
      </c>
      <c r="E122" s="11" t="s">
        <v>26</v>
      </c>
      <c r="F122" s="11" t="s">
        <v>26</v>
      </c>
      <c r="G122" s="10" t="s">
        <v>26</v>
      </c>
      <c r="H122" s="11" t="s">
        <v>26</v>
      </c>
      <c r="I122" s="1" t="s">
        <v>26</v>
      </c>
      <c r="J122" s="1" t="s">
        <v>26</v>
      </c>
      <c r="K122" s="10" t="s">
        <v>26</v>
      </c>
      <c r="L122" s="11" t="s">
        <v>26</v>
      </c>
      <c r="M122" s="11" t="s">
        <v>26</v>
      </c>
      <c r="N122" s="11" t="s">
        <v>26</v>
      </c>
      <c r="O122" s="10">
        <v>1744170295.53</v>
      </c>
      <c r="P122" s="11">
        <v>8.5221840726799995E-3</v>
      </c>
      <c r="Q122" s="11" t="s">
        <v>26</v>
      </c>
      <c r="R122" s="11" t="s">
        <v>26</v>
      </c>
      <c r="S122" s="10" t="s">
        <v>26</v>
      </c>
      <c r="T122" s="11" t="s">
        <v>26</v>
      </c>
      <c r="U122" s="1" t="s">
        <v>26</v>
      </c>
      <c r="V122" s="1" t="s">
        <v>26</v>
      </c>
      <c r="W122" s="10" t="s">
        <v>26</v>
      </c>
      <c r="X122" s="11" t="s">
        <v>26</v>
      </c>
      <c r="Y122" s="11" t="s">
        <v>26</v>
      </c>
      <c r="Z122" s="11" t="s">
        <v>26</v>
      </c>
      <c r="AA122" s="10" t="s">
        <v>26</v>
      </c>
      <c r="AB122" s="11" t="s">
        <v>26</v>
      </c>
      <c r="AC122" s="1" t="s">
        <v>26</v>
      </c>
      <c r="AD122" s="1" t="s">
        <v>26</v>
      </c>
      <c r="AE122" s="10">
        <v>1744170295.53</v>
      </c>
      <c r="AF122" s="11">
        <v>2.98294375735E-3</v>
      </c>
      <c r="AG122" s="1" t="s">
        <v>26</v>
      </c>
      <c r="AH122" s="1" t="s">
        <v>26</v>
      </c>
      <c r="AI122" s="10" t="s">
        <v>26</v>
      </c>
      <c r="AJ122" s="11" t="s">
        <v>26</v>
      </c>
      <c r="AK122" s="11" t="s">
        <v>26</v>
      </c>
      <c r="AL122" s="11" t="s">
        <v>26</v>
      </c>
      <c r="AM122" s="10" t="s">
        <v>26</v>
      </c>
      <c r="AN122" s="11" t="s">
        <v>26</v>
      </c>
      <c r="AO122" s="11" t="s">
        <v>26</v>
      </c>
      <c r="AP122" s="11" t="s">
        <v>26</v>
      </c>
      <c r="AQ122" s="10" t="s">
        <v>26</v>
      </c>
      <c r="AR122" s="11" t="s">
        <v>26</v>
      </c>
      <c r="AS122" s="11" t="s">
        <v>26</v>
      </c>
      <c r="AT122" s="11" t="s">
        <v>26</v>
      </c>
      <c r="AU122" s="10" t="s">
        <v>26</v>
      </c>
      <c r="AV122" s="11" t="s">
        <v>26</v>
      </c>
      <c r="AW122" s="11" t="s">
        <v>26</v>
      </c>
      <c r="AX122" s="11" t="s">
        <v>26</v>
      </c>
      <c r="AY122" s="10">
        <v>1744170295.53</v>
      </c>
      <c r="AZ122" s="11">
        <v>2.6228598858700001E-3</v>
      </c>
      <c r="BA122" s="1" t="s">
        <v>26</v>
      </c>
      <c r="BB122" s="1" t="s">
        <v>26</v>
      </c>
    </row>
    <row r="123" spans="1:54">
      <c r="A123" s="3" t="s">
        <v>86</v>
      </c>
      <c r="B123" s="31" t="s">
        <v>46</v>
      </c>
      <c r="C123" s="2" t="s">
        <v>26</v>
      </c>
      <c r="D123" s="1" t="s">
        <v>26</v>
      </c>
      <c r="E123" s="1" t="s">
        <v>26</v>
      </c>
      <c r="F123" s="1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1744170295.53</v>
      </c>
      <c r="P123" s="1">
        <v>1</v>
      </c>
      <c r="Q123" s="11" t="s">
        <v>26</v>
      </c>
      <c r="R123" s="1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1744170295.53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1" t="s">
        <v>26</v>
      </c>
      <c r="AX123" s="11" t="s">
        <v>26</v>
      </c>
      <c r="AY123" s="2">
        <v>1744170295.53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98</v>
      </c>
      <c r="B124" s="24" t="s">
        <v>25</v>
      </c>
      <c r="C124" s="10" t="s">
        <v>26</v>
      </c>
      <c r="D124" s="11" t="s">
        <v>26</v>
      </c>
      <c r="E124" s="11" t="s">
        <v>26</v>
      </c>
      <c r="F124" s="11" t="s">
        <v>26</v>
      </c>
      <c r="G124" s="10" t="s">
        <v>26</v>
      </c>
      <c r="H124" s="11" t="s">
        <v>26</v>
      </c>
      <c r="I124" s="1" t="s">
        <v>26</v>
      </c>
      <c r="J124" s="1" t="s">
        <v>26</v>
      </c>
      <c r="K124" s="10" t="s">
        <v>26</v>
      </c>
      <c r="L124" s="11" t="s">
        <v>26</v>
      </c>
      <c r="M124" s="11" t="s">
        <v>26</v>
      </c>
      <c r="N124" s="11" t="s">
        <v>26</v>
      </c>
      <c r="O124" s="10">
        <v>572931652.5</v>
      </c>
      <c r="P124" s="11">
        <v>2.7993992422500002E-3</v>
      </c>
      <c r="Q124" s="11" t="s">
        <v>26</v>
      </c>
      <c r="R124" s="11" t="s">
        <v>26</v>
      </c>
      <c r="S124" s="10" t="s">
        <v>26</v>
      </c>
      <c r="T124" s="11" t="s">
        <v>26</v>
      </c>
      <c r="U124" s="1" t="s">
        <v>26</v>
      </c>
      <c r="V124" s="1" t="s">
        <v>26</v>
      </c>
      <c r="W124" s="10" t="s">
        <v>26</v>
      </c>
      <c r="X124" s="11" t="s">
        <v>26</v>
      </c>
      <c r="Y124" s="11" t="s">
        <v>26</v>
      </c>
      <c r="Z124" s="11" t="s">
        <v>26</v>
      </c>
      <c r="AA124" s="10" t="s">
        <v>26</v>
      </c>
      <c r="AB124" s="11" t="s">
        <v>26</v>
      </c>
      <c r="AC124" s="1" t="s">
        <v>26</v>
      </c>
      <c r="AD124" s="1" t="s">
        <v>26</v>
      </c>
      <c r="AE124" s="10">
        <v>572931652.5</v>
      </c>
      <c r="AF124" s="11">
        <v>9.7984864240999994E-4</v>
      </c>
      <c r="AG124" s="1" t="s">
        <v>26</v>
      </c>
      <c r="AH124" s="1" t="s">
        <v>26</v>
      </c>
      <c r="AI124" s="10" t="s">
        <v>26</v>
      </c>
      <c r="AJ124" s="11" t="s">
        <v>26</v>
      </c>
      <c r="AK124" s="11" t="s">
        <v>26</v>
      </c>
      <c r="AL124" s="11" t="s">
        <v>26</v>
      </c>
      <c r="AM124" s="10" t="s">
        <v>26</v>
      </c>
      <c r="AN124" s="11" t="s">
        <v>26</v>
      </c>
      <c r="AO124" s="11" t="s">
        <v>26</v>
      </c>
      <c r="AP124" s="11" t="s">
        <v>26</v>
      </c>
      <c r="AQ124" s="10" t="s">
        <v>26</v>
      </c>
      <c r="AR124" s="11" t="s">
        <v>26</v>
      </c>
      <c r="AS124" s="11" t="s">
        <v>26</v>
      </c>
      <c r="AT124" s="11" t="s">
        <v>26</v>
      </c>
      <c r="AU124" s="10" t="s">
        <v>26</v>
      </c>
      <c r="AV124" s="11" t="s">
        <v>26</v>
      </c>
      <c r="AW124" s="11" t="s">
        <v>26</v>
      </c>
      <c r="AX124" s="11" t="s">
        <v>26</v>
      </c>
      <c r="AY124" s="10">
        <v>572931652.5</v>
      </c>
      <c r="AZ124" s="11">
        <v>8.6156693102000005E-4</v>
      </c>
      <c r="BA124" s="1" t="s">
        <v>26</v>
      </c>
      <c r="BB124" s="1" t="s">
        <v>26</v>
      </c>
    </row>
    <row r="125" spans="1:54">
      <c r="A125" s="3" t="s">
        <v>86</v>
      </c>
      <c r="B125" s="36" t="s">
        <v>99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572931652.5</v>
      </c>
      <c r="P125" s="1">
        <v>1</v>
      </c>
      <c r="Q125" s="11" t="s">
        <v>26</v>
      </c>
      <c r="R125" s="1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572931652.5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1" t="s">
        <v>26</v>
      </c>
      <c r="AX125" s="11" t="s">
        <v>26</v>
      </c>
      <c r="AY125" s="2">
        <v>572931652.5</v>
      </c>
      <c r="AZ125" s="1">
        <v>1</v>
      </c>
      <c r="BA125" s="1" t="s">
        <v>26</v>
      </c>
      <c r="BB125" s="1" t="s">
        <v>26</v>
      </c>
    </row>
    <row r="126" spans="1:54">
      <c r="A126" s="13" t="s">
        <v>100</v>
      </c>
      <c r="B126" s="25" t="s">
        <v>25</v>
      </c>
      <c r="C126" s="55">
        <v>5404065429</v>
      </c>
      <c r="D126" s="56">
        <v>0.99919999999999998</v>
      </c>
      <c r="E126" s="56" t="s">
        <v>26</v>
      </c>
      <c r="F126" s="56" t="s">
        <v>26</v>
      </c>
      <c r="G126" s="55">
        <v>137401478413.2</v>
      </c>
      <c r="H126" s="56">
        <v>1</v>
      </c>
      <c r="I126" s="56" t="s">
        <v>26</v>
      </c>
      <c r="J126" s="56" t="s">
        <v>26</v>
      </c>
      <c r="K126" s="55">
        <v>2593457149.8800001</v>
      </c>
      <c r="L126" s="56">
        <v>0.99629999999999996</v>
      </c>
      <c r="M126" s="56" t="s">
        <v>26</v>
      </c>
      <c r="N126" s="56" t="s">
        <v>26</v>
      </c>
      <c r="O126" s="55">
        <v>204575052171.91</v>
      </c>
      <c r="P126" s="56">
        <v>0.99960000000000004</v>
      </c>
      <c r="Q126" s="56" t="s">
        <v>26</v>
      </c>
      <c r="R126" s="56" t="s">
        <v>26</v>
      </c>
      <c r="S126" s="55">
        <v>102735269833.91</v>
      </c>
      <c r="T126" s="56">
        <v>0.99919999999999998</v>
      </c>
      <c r="U126" s="56" t="s">
        <v>26</v>
      </c>
      <c r="V126" s="56" t="s">
        <v>26</v>
      </c>
      <c r="W126" s="55">
        <v>5808003761.9799995</v>
      </c>
      <c r="X126" s="56">
        <v>1</v>
      </c>
      <c r="Y126" s="56" t="s">
        <v>26</v>
      </c>
      <c r="Z126" s="56" t="s">
        <v>26</v>
      </c>
      <c r="AA126" s="55">
        <v>125964536782.10001</v>
      </c>
      <c r="AB126" s="56">
        <v>0.99960000000000004</v>
      </c>
      <c r="AC126" s="56" t="s">
        <v>26</v>
      </c>
      <c r="AD126" s="56" t="s">
        <v>26</v>
      </c>
      <c r="AE126" s="55">
        <v>584481863541.97998</v>
      </c>
      <c r="AF126" s="56">
        <v>0.99960000000000004</v>
      </c>
      <c r="AG126" s="56" t="s">
        <v>26</v>
      </c>
      <c r="AH126" s="56" t="s">
        <v>26</v>
      </c>
      <c r="AI126" s="55">
        <v>15951149510.66</v>
      </c>
      <c r="AJ126" s="56">
        <v>0.99860000000000004</v>
      </c>
      <c r="AK126" s="56" t="s">
        <v>26</v>
      </c>
      <c r="AL126" s="56" t="s">
        <v>26</v>
      </c>
      <c r="AM126" s="55">
        <v>23089844492.580002</v>
      </c>
      <c r="AN126" s="56">
        <v>0.99960000000000004</v>
      </c>
      <c r="AO126" s="56" t="s">
        <v>26</v>
      </c>
      <c r="AP126" s="56" t="s">
        <v>26</v>
      </c>
      <c r="AQ126" s="55">
        <v>39040994003.239998</v>
      </c>
      <c r="AR126" s="56">
        <v>0.99919999999999998</v>
      </c>
      <c r="AS126" s="56" t="s">
        <v>26</v>
      </c>
      <c r="AT126" s="56" t="s">
        <v>26</v>
      </c>
      <c r="AU126" s="55">
        <v>41186766932.209999</v>
      </c>
      <c r="AV126" s="56">
        <v>0.99970000000000003</v>
      </c>
      <c r="AW126" s="56" t="s">
        <v>26</v>
      </c>
      <c r="AX126" s="56" t="s">
        <v>26</v>
      </c>
      <c r="AY126" s="55">
        <v>664709624477.43005</v>
      </c>
      <c r="AZ126" s="56">
        <v>0.99960000000000004</v>
      </c>
      <c r="BA126" s="56" t="s">
        <v>26</v>
      </c>
      <c r="BB126" s="56" t="s">
        <v>26</v>
      </c>
    </row>
    <row r="127" spans="1:54" s="7" customFormat="1">
      <c r="A127" s="5" t="s">
        <v>101</v>
      </c>
      <c r="B127" s="24" t="s">
        <v>25</v>
      </c>
      <c r="C127" s="10">
        <v>4062761.85</v>
      </c>
      <c r="D127" s="11">
        <v>8.0000000000000004E-4</v>
      </c>
      <c r="E127" s="11" t="s">
        <v>26</v>
      </c>
      <c r="F127" s="11" t="s">
        <v>26</v>
      </c>
      <c r="G127" s="10">
        <v>903368.19</v>
      </c>
      <c r="H127" s="11">
        <v>0</v>
      </c>
      <c r="I127" s="11" t="s">
        <v>26</v>
      </c>
      <c r="J127" s="11" t="s">
        <v>26</v>
      </c>
      <c r="K127" s="10">
        <v>9634337.0899999999</v>
      </c>
      <c r="L127" s="11">
        <v>3.7000000000000002E-3</v>
      </c>
      <c r="M127" s="11" t="s">
        <v>26</v>
      </c>
      <c r="N127" s="11" t="s">
        <v>26</v>
      </c>
      <c r="O127" s="10">
        <v>87306755.790000007</v>
      </c>
      <c r="P127" s="11">
        <v>4.0000000000000002E-4</v>
      </c>
      <c r="Q127" s="11" t="s">
        <v>26</v>
      </c>
      <c r="R127" s="11" t="s">
        <v>26</v>
      </c>
      <c r="S127" s="10">
        <v>81907680.700000003</v>
      </c>
      <c r="T127" s="11">
        <v>8.0000000000000004E-4</v>
      </c>
      <c r="U127" s="11" t="s">
        <v>26</v>
      </c>
      <c r="V127" s="11" t="s">
        <v>26</v>
      </c>
      <c r="W127" s="10">
        <v>157670.59</v>
      </c>
      <c r="X127" s="11">
        <v>0</v>
      </c>
      <c r="Y127" s="11" t="s">
        <v>26</v>
      </c>
      <c r="Z127" s="11" t="s">
        <v>26</v>
      </c>
      <c r="AA127" s="10">
        <v>48606196.369999997</v>
      </c>
      <c r="AB127" s="11">
        <v>4.0000000000000002E-4</v>
      </c>
      <c r="AC127" s="11" t="s">
        <v>26</v>
      </c>
      <c r="AD127" s="11" t="s">
        <v>26</v>
      </c>
      <c r="AE127" s="10">
        <v>232578770.58000001</v>
      </c>
      <c r="AF127" s="11">
        <v>4.0000000000000002E-4</v>
      </c>
      <c r="AG127" s="11" t="s">
        <v>26</v>
      </c>
      <c r="AH127" s="11" t="s">
        <v>26</v>
      </c>
      <c r="AI127" s="10">
        <v>22879212.050000001</v>
      </c>
      <c r="AJ127" s="11">
        <v>1.4E-3</v>
      </c>
      <c r="AK127" s="11" t="s">
        <v>26</v>
      </c>
      <c r="AL127" s="11" t="s">
        <v>26</v>
      </c>
      <c r="AM127" s="10">
        <v>9191630.3900000006</v>
      </c>
      <c r="AN127" s="11">
        <v>4.0000000000000002E-4</v>
      </c>
      <c r="AO127" s="11" t="s">
        <v>26</v>
      </c>
      <c r="AP127" s="11" t="s">
        <v>26</v>
      </c>
      <c r="AQ127" s="10">
        <v>32070842.440000001</v>
      </c>
      <c r="AR127" s="11">
        <v>8.0000000000000004E-4</v>
      </c>
      <c r="AS127" s="11" t="s">
        <v>26</v>
      </c>
      <c r="AT127" s="11" t="s">
        <v>26</v>
      </c>
      <c r="AU127" s="10">
        <v>13705223.67</v>
      </c>
      <c r="AV127" s="11">
        <v>2.9999999999999997E-4</v>
      </c>
      <c r="AW127" s="11" t="s">
        <v>26</v>
      </c>
      <c r="AX127" s="11" t="s">
        <v>26</v>
      </c>
      <c r="AY127" s="10">
        <v>278354836.69</v>
      </c>
      <c r="AZ127" s="11">
        <v>4.0000000000000002E-4</v>
      </c>
      <c r="BA127" s="11" t="s">
        <v>26</v>
      </c>
      <c r="BB127" s="11" t="s">
        <v>26</v>
      </c>
    </row>
    <row r="128" spans="1:54">
      <c r="A128" s="13" t="s">
        <v>102</v>
      </c>
      <c r="B128" s="25" t="s">
        <v>25</v>
      </c>
      <c r="C128" s="55">
        <v>5408128190.8500004</v>
      </c>
      <c r="D128" s="56">
        <v>1</v>
      </c>
      <c r="E128" s="56" t="s">
        <v>26</v>
      </c>
      <c r="F128" s="56" t="s">
        <v>26</v>
      </c>
      <c r="G128" s="55">
        <v>137402381781.39</v>
      </c>
      <c r="H128" s="56">
        <v>1</v>
      </c>
      <c r="I128" s="56" t="s">
        <v>26</v>
      </c>
      <c r="J128" s="56" t="s">
        <v>26</v>
      </c>
      <c r="K128" s="55">
        <v>2603091486.9699998</v>
      </c>
      <c r="L128" s="56">
        <v>1</v>
      </c>
      <c r="M128" s="56" t="s">
        <v>26</v>
      </c>
      <c r="N128" s="56" t="s">
        <v>26</v>
      </c>
      <c r="O128" s="55">
        <v>204662358927.70001</v>
      </c>
      <c r="P128" s="56">
        <v>1</v>
      </c>
      <c r="Q128" s="56" t="s">
        <v>26</v>
      </c>
      <c r="R128" s="56" t="s">
        <v>26</v>
      </c>
      <c r="S128" s="55">
        <v>102817177514.61</v>
      </c>
      <c r="T128" s="56">
        <v>1</v>
      </c>
      <c r="U128" s="56" t="s">
        <v>26</v>
      </c>
      <c r="V128" s="56" t="s">
        <v>26</v>
      </c>
      <c r="W128" s="55">
        <v>5808161432.5699997</v>
      </c>
      <c r="X128" s="56">
        <v>1</v>
      </c>
      <c r="Y128" s="56" t="s">
        <v>26</v>
      </c>
      <c r="Z128" s="56" t="s">
        <v>26</v>
      </c>
      <c r="AA128" s="55">
        <v>126013142978.47</v>
      </c>
      <c r="AB128" s="56">
        <v>1</v>
      </c>
      <c r="AC128" s="56" t="s">
        <v>26</v>
      </c>
      <c r="AD128" s="56" t="s">
        <v>26</v>
      </c>
      <c r="AE128" s="55">
        <v>584714442312.56006</v>
      </c>
      <c r="AF128" s="56">
        <v>1</v>
      </c>
      <c r="AG128" s="56" t="s">
        <v>26</v>
      </c>
      <c r="AH128" s="56" t="s">
        <v>26</v>
      </c>
      <c r="AI128" s="55">
        <v>15974028722.709999</v>
      </c>
      <c r="AJ128" s="56">
        <v>1</v>
      </c>
      <c r="AK128" s="56" t="s">
        <v>26</v>
      </c>
      <c r="AL128" s="56" t="s">
        <v>26</v>
      </c>
      <c r="AM128" s="55">
        <v>23099036122.970001</v>
      </c>
      <c r="AN128" s="56">
        <v>1</v>
      </c>
      <c r="AO128" s="56" t="s">
        <v>26</v>
      </c>
      <c r="AP128" s="56" t="s">
        <v>26</v>
      </c>
      <c r="AQ128" s="55">
        <v>39073064845.68</v>
      </c>
      <c r="AR128" s="56">
        <v>1</v>
      </c>
      <c r="AS128" s="56" t="s">
        <v>26</v>
      </c>
      <c r="AT128" s="56" t="s">
        <v>26</v>
      </c>
      <c r="AU128" s="55">
        <v>41200472155.879997</v>
      </c>
      <c r="AV128" s="56">
        <v>1</v>
      </c>
      <c r="AW128" s="56" t="s">
        <v>26</v>
      </c>
      <c r="AX128" s="56" t="s">
        <v>26</v>
      </c>
      <c r="AY128" s="55">
        <v>664987979314.12</v>
      </c>
      <c r="AZ128" s="56">
        <v>1</v>
      </c>
      <c r="BA128" s="56" t="s">
        <v>26</v>
      </c>
      <c r="BB128" s="56" t="s">
        <v>26</v>
      </c>
    </row>
    <row r="130" spans="1:1">
      <c r="A130" s="18" t="s">
        <v>103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34"/>
  <sheetViews>
    <sheetView zoomScaleNormal="100" workbookViewId="0">
      <pane xSplit="2" ySplit="7" topLeftCell="C128" activePane="bottomRight" state="frozen"/>
      <selection pane="bottomRight" activeCell="AR40" sqref="AR40:AS40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.28515625" style="9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0.28515625" style="9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42578125" style="9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2154740340.1599998</v>
      </c>
      <c r="D8" s="56">
        <v>0.39364815762369998</v>
      </c>
      <c r="E8" s="56" t="s">
        <v>26</v>
      </c>
      <c r="F8" s="56" t="s">
        <v>26</v>
      </c>
      <c r="G8" s="55">
        <v>72726792243.23999</v>
      </c>
      <c r="H8" s="56">
        <v>0.5210195851399404</v>
      </c>
      <c r="I8" s="56" t="s">
        <v>26</v>
      </c>
      <c r="J8" s="56" t="s">
        <v>26</v>
      </c>
      <c r="K8" s="55">
        <v>869522658.36000001</v>
      </c>
      <c r="L8" s="56">
        <v>0.32925825291008998</v>
      </c>
      <c r="M8" s="56" t="s">
        <v>26</v>
      </c>
      <c r="N8" s="56" t="s">
        <v>26</v>
      </c>
      <c r="O8" s="55">
        <v>76092306284.229996</v>
      </c>
      <c r="P8" s="56">
        <v>0.36553291622370448</v>
      </c>
      <c r="Q8" s="56" t="s">
        <v>26</v>
      </c>
      <c r="R8" s="56" t="s">
        <v>26</v>
      </c>
      <c r="S8" s="55">
        <v>48372276407.385674</v>
      </c>
      <c r="T8" s="56">
        <v>0.46352153856595285</v>
      </c>
      <c r="U8" s="56" t="s">
        <v>26</v>
      </c>
      <c r="V8" s="56" t="s">
        <v>26</v>
      </c>
      <c r="W8" s="55">
        <v>1589526241.2</v>
      </c>
      <c r="X8" s="56">
        <v>0.27111285113330003</v>
      </c>
      <c r="Y8" s="56" t="s">
        <v>26</v>
      </c>
      <c r="Z8" s="56" t="s">
        <v>26</v>
      </c>
      <c r="AA8" s="55">
        <v>63681439999.160004</v>
      </c>
      <c r="AB8" s="56">
        <v>0.49645887295918401</v>
      </c>
      <c r="AC8" s="56" t="s">
        <v>26</v>
      </c>
      <c r="AD8" s="56" t="s">
        <v>26</v>
      </c>
      <c r="AE8" s="55">
        <v>265486604173.73569</v>
      </c>
      <c r="AF8" s="56">
        <v>0.44672990589795669</v>
      </c>
      <c r="AG8" s="56" t="s">
        <v>26</v>
      </c>
      <c r="AH8" s="56" t="s">
        <v>26</v>
      </c>
      <c r="AI8" s="55">
        <v>6168819857.9700003</v>
      </c>
      <c r="AJ8" s="56">
        <v>0.38297454343796999</v>
      </c>
      <c r="AK8" s="56" t="s">
        <v>26</v>
      </c>
      <c r="AL8" s="56" t="s">
        <v>26</v>
      </c>
      <c r="AM8" s="55">
        <v>5159713230.4300003</v>
      </c>
      <c r="AN8" s="56">
        <v>0.22196992410224001</v>
      </c>
      <c r="AO8" s="56" t="s">
        <v>26</v>
      </c>
      <c r="AP8" s="56" t="s">
        <v>26</v>
      </c>
      <c r="AQ8" s="55">
        <v>11328533088.4</v>
      </c>
      <c r="AR8" s="56">
        <v>0.28787144308670998</v>
      </c>
      <c r="AS8" s="56" t="s">
        <v>26</v>
      </c>
      <c r="AT8" s="56" t="s">
        <v>26</v>
      </c>
      <c r="AU8" s="55">
        <v>18600972749.740002</v>
      </c>
      <c r="AV8" s="56">
        <v>0.44558360596425001</v>
      </c>
      <c r="AW8" s="56" t="s">
        <v>26</v>
      </c>
      <c r="AX8" s="56" t="s">
        <v>26</v>
      </c>
      <c r="AY8" s="55">
        <v>295416110011.87567</v>
      </c>
      <c r="AZ8" s="56">
        <v>0.43734769269402735</v>
      </c>
      <c r="BA8" s="56" t="s">
        <v>26</v>
      </c>
      <c r="BB8" s="56" t="s">
        <v>26</v>
      </c>
    </row>
    <row r="9" spans="1:54" s="8" customFormat="1">
      <c r="A9" s="26" t="s">
        <v>27</v>
      </c>
      <c r="B9" s="27" t="s">
        <v>25</v>
      </c>
      <c r="C9" s="28">
        <v>2154740340.1599998</v>
      </c>
      <c r="D9" s="29">
        <v>0.39364815762369998</v>
      </c>
      <c r="E9" s="29">
        <v>0.5</v>
      </c>
      <c r="F9" s="29">
        <v>0.10639999999999999</v>
      </c>
      <c r="G9" s="28">
        <v>67078186038.239998</v>
      </c>
      <c r="H9" s="29">
        <v>0.48054923809816613</v>
      </c>
      <c r="I9" s="29">
        <v>0.5</v>
      </c>
      <c r="J9" s="29">
        <v>1.9450761901833868E-2</v>
      </c>
      <c r="K9" s="28">
        <v>869522658.36000001</v>
      </c>
      <c r="L9" s="29">
        <v>0.32925825291008998</v>
      </c>
      <c r="M9" s="29">
        <v>0.5</v>
      </c>
      <c r="N9" s="29">
        <v>0.17069999999999999</v>
      </c>
      <c r="O9" s="28">
        <v>74551777319.229996</v>
      </c>
      <c r="P9" s="29">
        <v>0.3581325091050121</v>
      </c>
      <c r="Q9" s="29">
        <v>0.5</v>
      </c>
      <c r="R9" s="29">
        <v>0.1418674908949879</v>
      </c>
      <c r="S9" s="28">
        <v>46831747442.385674</v>
      </c>
      <c r="T9" s="29">
        <v>0.44870686319306125</v>
      </c>
      <c r="U9" s="29">
        <v>0.5</v>
      </c>
      <c r="V9" s="29">
        <v>5.1293136806938755E-2</v>
      </c>
      <c r="W9" s="28">
        <v>1589526241.2</v>
      </c>
      <c r="X9" s="29">
        <v>0.27111285113330003</v>
      </c>
      <c r="Y9" s="29">
        <v>0.5</v>
      </c>
      <c r="Z9" s="29">
        <v>0.22889999999999999</v>
      </c>
      <c r="AA9" s="28">
        <v>62140911034.160004</v>
      </c>
      <c r="AB9" s="29">
        <v>0.48444894865887034</v>
      </c>
      <c r="AC9" s="29">
        <v>0.5</v>
      </c>
      <c r="AD9" s="29">
        <v>1.5551051341129662E-2</v>
      </c>
      <c r="AE9" s="28">
        <v>255216411073.73569</v>
      </c>
      <c r="AF9" s="29">
        <v>0.42938687839393069</v>
      </c>
      <c r="AG9" s="29">
        <v>0.5</v>
      </c>
      <c r="AH9" s="29">
        <v>7.0613121606069307E-2</v>
      </c>
      <c r="AI9" s="28">
        <v>6168819857.9700003</v>
      </c>
      <c r="AJ9" s="29">
        <v>0.38297454343796999</v>
      </c>
      <c r="AK9" s="29">
        <v>0.5</v>
      </c>
      <c r="AL9" s="29">
        <v>0.11700000000000001</v>
      </c>
      <c r="AM9" s="28">
        <v>5159713230.4300003</v>
      </c>
      <c r="AN9" s="29">
        <v>0.22196992410224001</v>
      </c>
      <c r="AO9" s="29">
        <v>0.5</v>
      </c>
      <c r="AP9" s="29">
        <v>0.27800000000000002</v>
      </c>
      <c r="AQ9" s="28">
        <v>11328533088.4</v>
      </c>
      <c r="AR9" s="29">
        <v>0.28787144308670998</v>
      </c>
      <c r="AS9" s="29">
        <v>0.5</v>
      </c>
      <c r="AT9" s="29">
        <v>0.21210000000000001</v>
      </c>
      <c r="AU9" s="28">
        <v>18600972749.740002</v>
      </c>
      <c r="AV9" s="29">
        <v>0.44558360596425001</v>
      </c>
      <c r="AW9" s="29">
        <v>0.5</v>
      </c>
      <c r="AX9" s="29">
        <v>5.4399999999999997E-2</v>
      </c>
      <c r="AY9" s="28">
        <v>285145916911.87567</v>
      </c>
      <c r="AZ9" s="29">
        <v>0.4221432231218481</v>
      </c>
      <c r="BA9" s="29">
        <v>0.5</v>
      </c>
      <c r="BB9" s="29">
        <v>7.7856776878151901E-2</v>
      </c>
    </row>
    <row r="10" spans="1:54">
      <c r="A10" s="3" t="s">
        <v>28</v>
      </c>
      <c r="B10" s="31" t="s">
        <v>29</v>
      </c>
      <c r="C10" s="2">
        <v>2154740340.1599998</v>
      </c>
      <c r="D10" s="1">
        <v>1</v>
      </c>
      <c r="E10" s="1" t="s">
        <v>26</v>
      </c>
      <c r="F10" s="1" t="s">
        <v>26</v>
      </c>
      <c r="G10" s="2">
        <v>67078186038.239998</v>
      </c>
      <c r="H10" s="40">
        <v>1</v>
      </c>
      <c r="I10" s="1" t="s">
        <v>26</v>
      </c>
      <c r="J10" s="1" t="s">
        <v>26</v>
      </c>
      <c r="K10" s="2">
        <v>869522658.36000001</v>
      </c>
      <c r="L10" s="1">
        <v>1</v>
      </c>
      <c r="M10" s="1" t="s">
        <v>26</v>
      </c>
      <c r="N10" s="1" t="s">
        <v>26</v>
      </c>
      <c r="O10" s="2">
        <v>74551777319.229996</v>
      </c>
      <c r="P10" s="1">
        <v>1</v>
      </c>
      <c r="Q10" s="1" t="s">
        <v>26</v>
      </c>
      <c r="R10" s="1" t="s">
        <v>26</v>
      </c>
      <c r="S10" s="2">
        <v>46831747442.385674</v>
      </c>
      <c r="T10" s="1">
        <v>1</v>
      </c>
      <c r="U10" s="1" t="s">
        <v>26</v>
      </c>
      <c r="V10" s="1" t="s">
        <v>26</v>
      </c>
      <c r="W10" s="2">
        <v>1589526241.2</v>
      </c>
      <c r="X10" s="1">
        <v>1</v>
      </c>
      <c r="Y10" s="1" t="s">
        <v>26</v>
      </c>
      <c r="Z10" s="1" t="s">
        <v>26</v>
      </c>
      <c r="AA10" s="2">
        <v>62140911034.160004</v>
      </c>
      <c r="AB10" s="1">
        <v>1</v>
      </c>
      <c r="AC10" s="1" t="s">
        <v>26</v>
      </c>
      <c r="AD10" s="1" t="s">
        <v>26</v>
      </c>
      <c r="AE10" s="2">
        <v>255216411073.73569</v>
      </c>
      <c r="AF10" s="1">
        <v>1</v>
      </c>
      <c r="AG10" s="1" t="s">
        <v>26</v>
      </c>
      <c r="AH10" s="1" t="s">
        <v>26</v>
      </c>
      <c r="AI10" s="2">
        <v>6168819857.9700003</v>
      </c>
      <c r="AJ10" s="1">
        <v>1</v>
      </c>
      <c r="AK10" s="1" t="s">
        <v>26</v>
      </c>
      <c r="AL10" s="1" t="s">
        <v>26</v>
      </c>
      <c r="AM10" s="2">
        <v>5159713230.4300003</v>
      </c>
      <c r="AN10" s="1">
        <v>1</v>
      </c>
      <c r="AO10" s="1" t="s">
        <v>26</v>
      </c>
      <c r="AP10" s="1" t="s">
        <v>26</v>
      </c>
      <c r="AQ10" s="2">
        <v>11328533088.4</v>
      </c>
      <c r="AR10" s="1">
        <v>1</v>
      </c>
      <c r="AS10" s="1" t="s">
        <v>26</v>
      </c>
      <c r="AT10" s="1" t="s">
        <v>26</v>
      </c>
      <c r="AU10" s="2">
        <v>18600972749.740002</v>
      </c>
      <c r="AV10" s="1">
        <v>1</v>
      </c>
      <c r="AW10" s="1" t="s">
        <v>26</v>
      </c>
      <c r="AX10" s="1" t="s">
        <v>26</v>
      </c>
      <c r="AY10" s="2">
        <v>285145916911.87567</v>
      </c>
      <c r="AZ10" s="1">
        <v>1</v>
      </c>
      <c r="BA10" s="1" t="s">
        <v>26</v>
      </c>
      <c r="BB10" s="1" t="s">
        <v>26</v>
      </c>
    </row>
    <row r="11" spans="1:54" s="45" customFormat="1">
      <c r="A11" s="26" t="s">
        <v>27</v>
      </c>
      <c r="B11" s="43"/>
      <c r="C11" s="22" t="s">
        <v>26</v>
      </c>
      <c r="D11" s="23" t="s">
        <v>26</v>
      </c>
      <c r="E11" s="23" t="s">
        <v>26</v>
      </c>
      <c r="F11" s="23" t="s">
        <v>26</v>
      </c>
      <c r="G11" s="28">
        <v>5648606205</v>
      </c>
      <c r="H11" s="44">
        <v>4.046670860452125E-2</v>
      </c>
      <c r="I11" s="29">
        <v>0.1</v>
      </c>
      <c r="J11" s="29">
        <v>5.9533291395478756E-2</v>
      </c>
      <c r="K11" s="22" t="s">
        <v>26</v>
      </c>
      <c r="L11" s="23" t="s">
        <v>26</v>
      </c>
      <c r="M11" s="23" t="s">
        <v>26</v>
      </c>
      <c r="N11" s="23" t="s">
        <v>26</v>
      </c>
      <c r="O11" s="28">
        <v>1540528965</v>
      </c>
      <c r="P11" s="29">
        <v>7.400407118692361E-3</v>
      </c>
      <c r="Q11" s="29">
        <v>0.1</v>
      </c>
      <c r="R11" s="29">
        <v>9.2599592881307646E-2</v>
      </c>
      <c r="S11" s="28">
        <v>1540528965</v>
      </c>
      <c r="T11" s="29">
        <v>1.4760199166037999E-2</v>
      </c>
      <c r="U11" s="29">
        <v>0.1</v>
      </c>
      <c r="V11" s="29">
        <v>8.5239800833962001E-2</v>
      </c>
      <c r="W11" s="22" t="s">
        <v>26</v>
      </c>
      <c r="X11" s="23" t="s">
        <v>26</v>
      </c>
      <c r="Y11" s="23" t="s">
        <v>26</v>
      </c>
      <c r="Z11" s="23" t="s">
        <v>26</v>
      </c>
      <c r="AA11" s="28">
        <v>1540528965</v>
      </c>
      <c r="AB11" s="29">
        <v>1.2009924300313663E-2</v>
      </c>
      <c r="AC11" s="29">
        <v>0.1</v>
      </c>
      <c r="AD11" s="29">
        <v>8.7990075699686338E-2</v>
      </c>
      <c r="AE11" s="28">
        <v>10270193100</v>
      </c>
      <c r="AF11" s="29">
        <v>1.7279007008831445E-2</v>
      </c>
      <c r="AG11" s="29">
        <v>0.1</v>
      </c>
      <c r="AH11" s="29">
        <v>8.2720992991168557E-2</v>
      </c>
      <c r="AI11" s="22" t="s">
        <v>26</v>
      </c>
      <c r="AJ11" s="23" t="s">
        <v>26</v>
      </c>
      <c r="AK11" s="23" t="s">
        <v>26</v>
      </c>
      <c r="AL11" s="23" t="s">
        <v>26</v>
      </c>
      <c r="AM11" s="22" t="s">
        <v>26</v>
      </c>
      <c r="AN11" s="23" t="s">
        <v>26</v>
      </c>
      <c r="AO11" s="23" t="s">
        <v>26</v>
      </c>
      <c r="AP11" s="23" t="s">
        <v>26</v>
      </c>
      <c r="AQ11" s="22" t="s">
        <v>26</v>
      </c>
      <c r="AR11" s="23" t="s">
        <v>26</v>
      </c>
      <c r="AS11" s="23" t="s">
        <v>26</v>
      </c>
      <c r="AT11" s="23" t="s">
        <v>26</v>
      </c>
      <c r="AU11" s="22" t="s">
        <v>26</v>
      </c>
      <c r="AV11" s="23" t="s">
        <v>26</v>
      </c>
      <c r="AW11" s="23" t="s">
        <v>26</v>
      </c>
      <c r="AX11" s="23" t="s">
        <v>26</v>
      </c>
      <c r="AY11" s="28">
        <v>10270193100</v>
      </c>
      <c r="AZ11" s="29">
        <v>1.5204469572179245E-2</v>
      </c>
      <c r="BA11" s="29">
        <v>0.1</v>
      </c>
      <c r="BB11" s="29">
        <v>8.4795530427820759E-2</v>
      </c>
    </row>
    <row r="12" spans="1:54" s="7" customFormat="1" ht="17.25" customHeight="1">
      <c r="A12" s="3" t="s">
        <v>113</v>
      </c>
      <c r="B12" s="31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5648606205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1540528965</v>
      </c>
      <c r="P12" s="1">
        <v>1</v>
      </c>
      <c r="Q12" s="1" t="s">
        <v>26</v>
      </c>
      <c r="R12" s="1" t="s">
        <v>26</v>
      </c>
      <c r="S12" s="2">
        <v>1540528965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2">
        <v>1540528965</v>
      </c>
      <c r="AB12" s="23">
        <v>1</v>
      </c>
      <c r="AC12" s="1" t="s">
        <v>26</v>
      </c>
      <c r="AD12" s="1" t="s">
        <v>26</v>
      </c>
      <c r="AE12" s="2">
        <v>10270193100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10270193100</v>
      </c>
      <c r="AZ12" s="1">
        <v>1</v>
      </c>
      <c r="BA12" s="1" t="s">
        <v>26</v>
      </c>
      <c r="BB12" s="1" t="s">
        <v>26</v>
      </c>
    </row>
    <row r="13" spans="1:54">
      <c r="A13" s="13" t="s">
        <v>30</v>
      </c>
      <c r="B13" s="25" t="s">
        <v>25</v>
      </c>
      <c r="C13" s="55">
        <v>2324408983.3099999</v>
      </c>
      <c r="D13" s="56">
        <v>0.42464481533585002</v>
      </c>
      <c r="E13" s="56" t="s">
        <v>26</v>
      </c>
      <c r="F13" s="56" t="s">
        <v>26</v>
      </c>
      <c r="G13" s="55">
        <v>45034679961.589996</v>
      </c>
      <c r="H13" s="56">
        <f>+G13/G128</f>
        <v>0.32263144773415464</v>
      </c>
      <c r="I13" s="56" t="s">
        <v>26</v>
      </c>
      <c r="J13" s="56" t="s">
        <v>26</v>
      </c>
      <c r="K13" s="55">
        <v>922355189.25</v>
      </c>
      <c r="L13" s="56">
        <v>0.34926411089482001</v>
      </c>
      <c r="M13" s="56" t="s">
        <v>26</v>
      </c>
      <c r="N13" s="56" t="s">
        <v>26</v>
      </c>
      <c r="O13" s="55">
        <v>79587709094.520004</v>
      </c>
      <c r="P13" s="56">
        <v>0.38232416418310999</v>
      </c>
      <c r="Q13" s="56" t="s">
        <v>26</v>
      </c>
      <c r="R13" s="56" t="s">
        <v>26</v>
      </c>
      <c r="S13" s="55">
        <v>27254813953.189999</v>
      </c>
      <c r="T13" s="56">
        <v>0.26113529269629998</v>
      </c>
      <c r="U13" s="56" t="s">
        <v>26</v>
      </c>
      <c r="V13" s="56" t="s">
        <v>26</v>
      </c>
      <c r="W13" s="55">
        <v>2904924203.21</v>
      </c>
      <c r="X13" s="56">
        <v>0.49546982153865998</v>
      </c>
      <c r="Y13" s="56" t="s">
        <v>26</v>
      </c>
      <c r="Z13" s="56" t="s">
        <v>26</v>
      </c>
      <c r="AA13" s="55">
        <v>38674339210.580002</v>
      </c>
      <c r="AB13" s="56">
        <v>0.30150415658280999</v>
      </c>
      <c r="AC13" s="56" t="s">
        <v>26</v>
      </c>
      <c r="AD13" s="56" t="s">
        <v>26</v>
      </c>
      <c r="AE13" s="55">
        <v>196703230595.64999</v>
      </c>
      <c r="AF13" s="56">
        <v>0.33094183011243</v>
      </c>
      <c r="AG13" s="56" t="s">
        <v>26</v>
      </c>
      <c r="AH13" s="56" t="s">
        <v>26</v>
      </c>
      <c r="AI13" s="55">
        <v>6555700043.6700001</v>
      </c>
      <c r="AJ13" s="56">
        <v>0.40699295634270999</v>
      </c>
      <c r="AK13" s="56" t="s">
        <v>26</v>
      </c>
      <c r="AL13" s="56" t="s">
        <v>26</v>
      </c>
      <c r="AM13" s="55">
        <v>11375658761</v>
      </c>
      <c r="AN13" s="56">
        <v>0.48937876952159998</v>
      </c>
      <c r="AO13" s="56" t="s">
        <v>26</v>
      </c>
      <c r="AP13" s="56" t="s">
        <v>26</v>
      </c>
      <c r="AQ13" s="55">
        <v>17931358804.669998</v>
      </c>
      <c r="AR13" s="56">
        <v>0.45565706480493001</v>
      </c>
      <c r="AS13" s="56" t="s">
        <v>26</v>
      </c>
      <c r="AT13" s="56" t="s">
        <v>26</v>
      </c>
      <c r="AU13" s="55">
        <v>14210724936.77</v>
      </c>
      <c r="AV13" s="56">
        <v>0.34041585598154001</v>
      </c>
      <c r="AW13" s="56" t="s">
        <v>26</v>
      </c>
      <c r="AX13" s="56" t="s">
        <v>26</v>
      </c>
      <c r="AY13" s="55">
        <v>228845314337.09</v>
      </c>
      <c r="AZ13" s="56">
        <v>0.3387932032723</v>
      </c>
      <c r="BA13" s="56" t="s">
        <v>26</v>
      </c>
      <c r="BB13" s="56" t="s">
        <v>26</v>
      </c>
    </row>
    <row r="14" spans="1:54" s="7" customFormat="1">
      <c r="A14" s="5" t="s">
        <v>31</v>
      </c>
      <c r="B14" s="24" t="s">
        <v>25</v>
      </c>
      <c r="C14" s="10">
        <v>2324408983.3099999</v>
      </c>
      <c r="D14" s="11">
        <v>0.42464481533585002</v>
      </c>
      <c r="E14" s="11">
        <v>0.5</v>
      </c>
      <c r="F14" s="11">
        <v>7.5399999999999995E-2</v>
      </c>
      <c r="G14" s="10">
        <v>45034679961.589996</v>
      </c>
      <c r="H14" s="11">
        <v>0.32262919470123003</v>
      </c>
      <c r="I14" s="11">
        <v>0.5</v>
      </c>
      <c r="J14" s="11">
        <v>0.1774</v>
      </c>
      <c r="K14" s="10">
        <v>922355189.25</v>
      </c>
      <c r="L14" s="11">
        <v>0.34926411089482001</v>
      </c>
      <c r="M14" s="11">
        <v>0.5</v>
      </c>
      <c r="N14" s="11">
        <v>0.1507</v>
      </c>
      <c r="O14" s="10">
        <v>79587709094.520004</v>
      </c>
      <c r="P14" s="11">
        <v>0.38232416418310999</v>
      </c>
      <c r="Q14" s="11">
        <v>0.5</v>
      </c>
      <c r="R14" s="11">
        <v>0.1177</v>
      </c>
      <c r="S14" s="10">
        <v>27254813953.189999</v>
      </c>
      <c r="T14" s="11">
        <v>0.26113529269629998</v>
      </c>
      <c r="U14" s="11">
        <v>0.5</v>
      </c>
      <c r="V14" s="11">
        <v>0.2389</v>
      </c>
      <c r="W14" s="10">
        <v>2904924203.21</v>
      </c>
      <c r="X14" s="11">
        <v>0.49546982153865998</v>
      </c>
      <c r="Y14" s="11">
        <v>0.5</v>
      </c>
      <c r="Z14" s="11">
        <v>4.4999999999999997E-3</v>
      </c>
      <c r="AA14" s="10">
        <v>38674339210.580002</v>
      </c>
      <c r="AB14" s="11">
        <v>0.30150415658280999</v>
      </c>
      <c r="AC14" s="11">
        <v>0.5</v>
      </c>
      <c r="AD14" s="11">
        <v>0.19850000000000001</v>
      </c>
      <c r="AE14" s="10">
        <v>196703230595.64999</v>
      </c>
      <c r="AF14" s="11">
        <v>0.33094183011243</v>
      </c>
      <c r="AG14" s="11">
        <v>0.5</v>
      </c>
      <c r="AH14" s="11">
        <v>0.1691</v>
      </c>
      <c r="AI14" s="10">
        <v>6555700043.6700001</v>
      </c>
      <c r="AJ14" s="11">
        <v>0.40699295634270999</v>
      </c>
      <c r="AK14" s="11">
        <v>0.5</v>
      </c>
      <c r="AL14" s="11">
        <v>9.2999999999999999E-2</v>
      </c>
      <c r="AM14" s="10">
        <v>11375658761</v>
      </c>
      <c r="AN14" s="11">
        <v>0.48937876952159998</v>
      </c>
      <c r="AO14" s="11">
        <v>0.5</v>
      </c>
      <c r="AP14" s="11">
        <v>1.06E-2</v>
      </c>
      <c r="AQ14" s="10">
        <v>17931358804.669998</v>
      </c>
      <c r="AR14" s="11">
        <v>0.45565706480493001</v>
      </c>
      <c r="AS14" s="11">
        <v>0.5</v>
      </c>
      <c r="AT14" s="11">
        <v>4.4299999999999999E-2</v>
      </c>
      <c r="AU14" s="10">
        <v>14210724936.77</v>
      </c>
      <c r="AV14" s="11">
        <v>0.34041585598154001</v>
      </c>
      <c r="AW14" s="11">
        <v>0.5</v>
      </c>
      <c r="AX14" s="11">
        <v>0.15959999999999999</v>
      </c>
      <c r="AY14" s="10">
        <v>228845314337.09</v>
      </c>
      <c r="AZ14" s="11">
        <v>0.3387932032723</v>
      </c>
      <c r="BA14" s="11">
        <v>0.5</v>
      </c>
      <c r="BB14" s="11">
        <v>0.16120000000000001</v>
      </c>
    </row>
    <row r="15" spans="1:54">
      <c r="A15" s="3" t="s">
        <v>32</v>
      </c>
      <c r="B15" s="31" t="s">
        <v>29</v>
      </c>
      <c r="C15" s="2">
        <v>1062530849.52</v>
      </c>
      <c r="D15" s="1">
        <v>0.45711871583241998</v>
      </c>
      <c r="E15" s="1" t="s">
        <v>26</v>
      </c>
      <c r="F15" s="1" t="s">
        <v>26</v>
      </c>
      <c r="G15" s="2">
        <v>19458085006.009998</v>
      </c>
      <c r="H15" s="1">
        <v>0.43206890828591998</v>
      </c>
      <c r="I15" s="1" t="s">
        <v>26</v>
      </c>
      <c r="J15" s="1" t="s">
        <v>26</v>
      </c>
      <c r="K15" s="2">
        <v>287707028.68000001</v>
      </c>
      <c r="L15" s="1">
        <v>0.31192650297109997</v>
      </c>
      <c r="M15" s="1" t="s">
        <v>26</v>
      </c>
      <c r="N15" s="1" t="s">
        <v>26</v>
      </c>
      <c r="O15" s="2">
        <v>24379121432.799999</v>
      </c>
      <c r="P15" s="1">
        <v>0.30631766776760999</v>
      </c>
      <c r="Q15" s="1" t="s">
        <v>26</v>
      </c>
      <c r="R15" s="1" t="s">
        <v>26</v>
      </c>
      <c r="S15" s="2">
        <v>11959745437.73</v>
      </c>
      <c r="T15" s="1">
        <v>0.43881222077944998</v>
      </c>
      <c r="U15" s="1" t="s">
        <v>26</v>
      </c>
      <c r="V15" s="1" t="s">
        <v>26</v>
      </c>
      <c r="W15" s="2">
        <v>1351311593.74</v>
      </c>
      <c r="X15" s="1">
        <v>0.46517963953990998</v>
      </c>
      <c r="Y15" s="1" t="s">
        <v>26</v>
      </c>
      <c r="Z15" s="1" t="s">
        <v>26</v>
      </c>
      <c r="AA15" s="2">
        <v>20235796145.16</v>
      </c>
      <c r="AB15" s="1">
        <v>0.52323573093200004</v>
      </c>
      <c r="AC15" s="1" t="s">
        <v>26</v>
      </c>
      <c r="AD15" s="1" t="s">
        <v>26</v>
      </c>
      <c r="AE15" s="2">
        <v>78734297493.639999</v>
      </c>
      <c r="AF15" s="1">
        <v>0.40026946814864001</v>
      </c>
      <c r="AG15" s="1" t="s">
        <v>26</v>
      </c>
      <c r="AH15" s="1" t="s">
        <v>26</v>
      </c>
      <c r="AI15" s="2">
        <v>1734555337.79</v>
      </c>
      <c r="AJ15" s="1">
        <v>0.26458735546707002</v>
      </c>
      <c r="AK15" s="1" t="s">
        <v>26</v>
      </c>
      <c r="AL15" s="1" t="s">
        <v>26</v>
      </c>
      <c r="AM15" s="2">
        <v>6866624827.2600002</v>
      </c>
      <c r="AN15" s="1">
        <v>0.60362436774223005</v>
      </c>
      <c r="AO15" s="1" t="s">
        <v>26</v>
      </c>
      <c r="AP15" s="1" t="s">
        <v>26</v>
      </c>
      <c r="AQ15" s="2">
        <v>8601180165.0499992</v>
      </c>
      <c r="AR15" s="1">
        <v>0.47967252558739998</v>
      </c>
      <c r="AS15" s="1" t="s">
        <v>26</v>
      </c>
      <c r="AT15" s="1" t="s">
        <v>26</v>
      </c>
      <c r="AU15" s="2">
        <v>7932787927.1899996</v>
      </c>
      <c r="AV15" s="1">
        <v>0.55822542217139004</v>
      </c>
      <c r="AW15" s="1" t="s">
        <v>26</v>
      </c>
      <c r="AX15" s="1" t="s">
        <v>26</v>
      </c>
      <c r="AY15" s="2">
        <v>95268265585.880005</v>
      </c>
      <c r="AZ15" s="1">
        <v>0.41629983057267</v>
      </c>
      <c r="BA15" s="1" t="s">
        <v>26</v>
      </c>
      <c r="BB15" s="1" t="s">
        <v>26</v>
      </c>
    </row>
    <row r="16" spans="1:54" s="7" customFormat="1">
      <c r="A16" s="3" t="s">
        <v>33</v>
      </c>
      <c r="B16" s="31" t="s">
        <v>29</v>
      </c>
      <c r="C16" s="2">
        <v>1261878133.79</v>
      </c>
      <c r="D16" s="1">
        <v>0.54288128416757997</v>
      </c>
      <c r="E16" s="1" t="s">
        <v>26</v>
      </c>
      <c r="F16" s="1" t="s">
        <v>26</v>
      </c>
      <c r="G16" s="2">
        <v>25576594955.580002</v>
      </c>
      <c r="H16" s="1">
        <v>0.56793109171407996</v>
      </c>
      <c r="I16" s="1" t="s">
        <v>26</v>
      </c>
      <c r="J16" s="1" t="s">
        <v>26</v>
      </c>
      <c r="K16" s="2">
        <v>634648160.57000005</v>
      </c>
      <c r="L16" s="1">
        <v>0.68807349702889997</v>
      </c>
      <c r="M16" s="1" t="s">
        <v>26</v>
      </c>
      <c r="N16" s="1" t="s">
        <v>26</v>
      </c>
      <c r="O16" s="2">
        <v>55208587661.720001</v>
      </c>
      <c r="P16" s="1">
        <v>0.69368233223238995</v>
      </c>
      <c r="Q16" s="1" t="s">
        <v>26</v>
      </c>
      <c r="R16" s="1" t="s">
        <v>26</v>
      </c>
      <c r="S16" s="2">
        <v>15295068515.459999</v>
      </c>
      <c r="T16" s="1">
        <v>0.56118777922054996</v>
      </c>
      <c r="U16" s="1" t="s">
        <v>26</v>
      </c>
      <c r="V16" s="1" t="s">
        <v>26</v>
      </c>
      <c r="W16" s="2">
        <v>1553612609.47</v>
      </c>
      <c r="X16" s="1">
        <v>0.53482036046008996</v>
      </c>
      <c r="Y16" s="1" t="s">
        <v>26</v>
      </c>
      <c r="Z16" s="1" t="s">
        <v>26</v>
      </c>
      <c r="AA16" s="2">
        <v>18438543065.419998</v>
      </c>
      <c r="AB16" s="1">
        <v>0.47676426906800001</v>
      </c>
      <c r="AC16" s="1" t="s">
        <v>26</v>
      </c>
      <c r="AD16" s="1" t="s">
        <v>26</v>
      </c>
      <c r="AE16" s="2">
        <v>117968933102.00999</v>
      </c>
      <c r="AF16" s="1">
        <v>0.59973053185136005</v>
      </c>
      <c r="AG16" s="1" t="s">
        <v>26</v>
      </c>
      <c r="AH16" s="1" t="s">
        <v>26</v>
      </c>
      <c r="AI16" s="2">
        <v>4821144705.8800001</v>
      </c>
      <c r="AJ16" s="1">
        <v>0.73541264453292998</v>
      </c>
      <c r="AK16" s="1" t="s">
        <v>26</v>
      </c>
      <c r="AL16" s="1" t="s">
        <v>26</v>
      </c>
      <c r="AM16" s="2">
        <v>4509033933.7399998</v>
      </c>
      <c r="AN16" s="1">
        <v>0.39637563225777001</v>
      </c>
      <c r="AO16" s="1" t="s">
        <v>26</v>
      </c>
      <c r="AP16" s="1" t="s">
        <v>26</v>
      </c>
      <c r="AQ16" s="2">
        <v>9330178639.6200008</v>
      </c>
      <c r="AR16" s="1">
        <v>0.52032747441259997</v>
      </c>
      <c r="AS16" s="1" t="s">
        <v>26</v>
      </c>
      <c r="AT16" s="1" t="s">
        <v>26</v>
      </c>
      <c r="AU16" s="2">
        <v>6277937009.5799999</v>
      </c>
      <c r="AV16" s="1">
        <v>0.44177457782861002</v>
      </c>
      <c r="AW16" s="1" t="s">
        <v>26</v>
      </c>
      <c r="AX16" s="1" t="s">
        <v>26</v>
      </c>
      <c r="AY16" s="2">
        <v>133577048751.21001</v>
      </c>
      <c r="AZ16" s="1">
        <v>0.58370016942733005</v>
      </c>
      <c r="BA16" s="1" t="s">
        <v>26</v>
      </c>
      <c r="BB16" s="1" t="s">
        <v>26</v>
      </c>
    </row>
    <row r="17" spans="1:56" s="7" customFormat="1">
      <c r="A17" s="13" t="s">
        <v>34</v>
      </c>
      <c r="B17" s="25" t="s">
        <v>25</v>
      </c>
      <c r="C17" s="55">
        <v>240231119.68000001</v>
      </c>
      <c r="D17" s="56">
        <v>4.3887672172549998E-2</v>
      </c>
      <c r="E17" s="56" t="s">
        <v>26</v>
      </c>
      <c r="F17" s="56" t="s">
        <v>26</v>
      </c>
      <c r="G17" s="55">
        <v>9632576969.4599991</v>
      </c>
      <c r="H17" s="56">
        <v>6.9007941284470006E-2</v>
      </c>
      <c r="I17" s="56" t="s">
        <v>26</v>
      </c>
      <c r="J17" s="56" t="s">
        <v>26</v>
      </c>
      <c r="K17" s="55">
        <v>128069618.44</v>
      </c>
      <c r="L17" s="56">
        <v>4.8495549153310002E-2</v>
      </c>
      <c r="M17" s="56" t="s">
        <v>26</v>
      </c>
      <c r="N17" s="56" t="s">
        <v>26</v>
      </c>
      <c r="O17" s="55">
        <v>18856932455.220001</v>
      </c>
      <c r="P17" s="56">
        <v>9.0585104434120003E-2</v>
      </c>
      <c r="Q17" s="56" t="s">
        <v>26</v>
      </c>
      <c r="R17" s="56" t="s">
        <v>26</v>
      </c>
      <c r="S17" s="55">
        <v>15005078455.959999</v>
      </c>
      <c r="T17" s="56">
        <v>0.14376746659353001</v>
      </c>
      <c r="U17" s="56" t="s">
        <v>26</v>
      </c>
      <c r="V17" s="56" t="s">
        <v>26</v>
      </c>
      <c r="W17" s="55">
        <v>1244233735.1199999</v>
      </c>
      <c r="X17" s="56">
        <v>0.21221905411889</v>
      </c>
      <c r="Y17" s="56" t="s">
        <v>26</v>
      </c>
      <c r="Z17" s="56" t="s">
        <v>26</v>
      </c>
      <c r="AA17" s="55">
        <v>11804395147.940001</v>
      </c>
      <c r="AB17" s="56">
        <v>9.2026761819280004E-2</v>
      </c>
      <c r="AC17" s="56" t="s">
        <v>26</v>
      </c>
      <c r="AD17" s="56" t="s">
        <v>26</v>
      </c>
      <c r="AE17" s="55">
        <v>56911517501.82</v>
      </c>
      <c r="AF17" s="56">
        <v>9.5750342785390005E-2</v>
      </c>
      <c r="AG17" s="56" t="s">
        <v>26</v>
      </c>
      <c r="AH17" s="56" t="s">
        <v>26</v>
      </c>
      <c r="AI17" s="55">
        <v>2016040136.5899999</v>
      </c>
      <c r="AJ17" s="56">
        <v>0.12516041457519</v>
      </c>
      <c r="AK17" s="56" t="s">
        <v>26</v>
      </c>
      <c r="AL17" s="56" t="s">
        <v>26</v>
      </c>
      <c r="AM17" s="55">
        <v>4293796511.9899998</v>
      </c>
      <c r="AN17" s="56">
        <v>0.18471834447231</v>
      </c>
      <c r="AO17" s="56" t="s">
        <v>26</v>
      </c>
      <c r="AP17" s="56" t="s">
        <v>26</v>
      </c>
      <c r="AQ17" s="55">
        <v>6309836648.5799999</v>
      </c>
      <c r="AR17" s="56">
        <v>0.16034042249725</v>
      </c>
      <c r="AS17" s="56" t="s">
        <v>26</v>
      </c>
      <c r="AT17" s="56" t="s">
        <v>26</v>
      </c>
      <c r="AU17" s="55">
        <v>4376963338.2700005</v>
      </c>
      <c r="AV17" s="56">
        <v>0.10484952231689</v>
      </c>
      <c r="AW17" s="56" t="s">
        <v>26</v>
      </c>
      <c r="AX17" s="56" t="s">
        <v>26</v>
      </c>
      <c r="AY17" s="55">
        <v>67598317488.669998</v>
      </c>
      <c r="AZ17" s="56">
        <v>0.10007568030897</v>
      </c>
      <c r="BA17" s="56" t="s">
        <v>26</v>
      </c>
      <c r="BB17" s="56" t="s">
        <v>26</v>
      </c>
      <c r="BD17" s="19"/>
    </row>
    <row r="18" spans="1:56" s="7" customFormat="1">
      <c r="A18" s="5" t="s">
        <v>35</v>
      </c>
      <c r="B18" s="24" t="s">
        <v>25</v>
      </c>
      <c r="C18" s="10" t="s">
        <v>26</v>
      </c>
      <c r="D18" s="11" t="s">
        <v>26</v>
      </c>
      <c r="E18" s="11" t="s">
        <v>26</v>
      </c>
      <c r="F18" s="11" t="s">
        <v>26</v>
      </c>
      <c r="G18" s="10">
        <v>5038393111.7700005</v>
      </c>
      <c r="H18" s="11">
        <v>3.60951318767E-2</v>
      </c>
      <c r="I18" s="11">
        <v>0.15</v>
      </c>
      <c r="J18" s="11">
        <v>0.1139</v>
      </c>
      <c r="K18" s="10" t="s">
        <v>26</v>
      </c>
      <c r="L18" s="11" t="s">
        <v>26</v>
      </c>
      <c r="M18" s="11" t="s">
        <v>26</v>
      </c>
      <c r="N18" s="11" t="s">
        <v>26</v>
      </c>
      <c r="O18" s="10">
        <v>4997481016.25</v>
      </c>
      <c r="P18" s="11">
        <v>2.4006944970480001E-2</v>
      </c>
      <c r="Q18" s="11">
        <v>0.13750000000000001</v>
      </c>
      <c r="R18" s="11">
        <v>0.1135</v>
      </c>
      <c r="S18" s="10">
        <v>3276509711.3499999</v>
      </c>
      <c r="T18" s="11">
        <v>3.1393071475929998E-2</v>
      </c>
      <c r="U18" s="11">
        <v>0.05</v>
      </c>
      <c r="V18" s="11">
        <v>1.8599999999999998E-2</v>
      </c>
      <c r="W18" s="10">
        <v>244080745.47999999</v>
      </c>
      <c r="X18" s="11">
        <v>4.1630911839409999E-2</v>
      </c>
      <c r="Y18" s="11">
        <v>0.15</v>
      </c>
      <c r="Z18" s="11">
        <v>0.1084</v>
      </c>
      <c r="AA18" s="10">
        <v>4860857280.8299999</v>
      </c>
      <c r="AB18" s="11">
        <v>3.789511869217E-2</v>
      </c>
      <c r="AC18" s="11">
        <v>0.13719999999999999</v>
      </c>
      <c r="AD18" s="11">
        <v>9.9299999999999999E-2</v>
      </c>
      <c r="AE18" s="10">
        <v>18417321865.68</v>
      </c>
      <c r="AF18" s="11">
        <v>3.0986080836300001E-2</v>
      </c>
      <c r="AG18" s="11">
        <v>0.1424</v>
      </c>
      <c r="AH18" s="11">
        <v>0.1114</v>
      </c>
      <c r="AI18" s="10">
        <v>788946656.30999994</v>
      </c>
      <c r="AJ18" s="11">
        <v>4.8979625350359997E-2</v>
      </c>
      <c r="AK18" s="11">
        <v>0.05</v>
      </c>
      <c r="AL18" s="11">
        <v>1E-3</v>
      </c>
      <c r="AM18" s="10">
        <v>1220980218.8599999</v>
      </c>
      <c r="AN18" s="11">
        <v>5.2526346796239999E-2</v>
      </c>
      <c r="AO18" s="11">
        <v>0.15</v>
      </c>
      <c r="AP18" s="11">
        <v>9.7500000000000003E-2</v>
      </c>
      <c r="AQ18" s="10">
        <v>2009926875.1700001</v>
      </c>
      <c r="AR18" s="11">
        <v>5.1074622419239997E-2</v>
      </c>
      <c r="AS18" s="11">
        <v>0.1472</v>
      </c>
      <c r="AT18" s="11">
        <v>9.6100000000000005E-2</v>
      </c>
      <c r="AU18" s="10">
        <v>1505210302.5599999</v>
      </c>
      <c r="AV18" s="11">
        <v>3.6057094613969998E-2</v>
      </c>
      <c r="AW18" s="11">
        <v>0.1434</v>
      </c>
      <c r="AX18" s="11">
        <v>0.10730000000000001</v>
      </c>
      <c r="AY18" s="10">
        <v>21932459043.41</v>
      </c>
      <c r="AZ18" s="11">
        <v>3.2469828261420003E-2</v>
      </c>
      <c r="BA18" s="11">
        <v>0.1429</v>
      </c>
      <c r="BB18" s="11">
        <v>0.1104</v>
      </c>
    </row>
    <row r="19" spans="1:56" s="7" customFormat="1">
      <c r="A19" s="3" t="s">
        <v>36</v>
      </c>
      <c r="B19" s="31" t="s">
        <v>37</v>
      </c>
      <c r="C19" s="2" t="s">
        <v>26</v>
      </c>
      <c r="D19" s="1" t="s">
        <v>26</v>
      </c>
      <c r="E19" s="1" t="s">
        <v>26</v>
      </c>
      <c r="F19" s="1" t="s">
        <v>26</v>
      </c>
      <c r="G19" s="2" t="s">
        <v>26</v>
      </c>
      <c r="H19" s="1" t="s">
        <v>26</v>
      </c>
      <c r="I19" s="1" t="s">
        <v>26</v>
      </c>
      <c r="J19" s="1" t="s">
        <v>26</v>
      </c>
      <c r="K19" s="2" t="s">
        <v>26</v>
      </c>
      <c r="L19" s="1" t="s">
        <v>26</v>
      </c>
      <c r="M19" s="1" t="s">
        <v>26</v>
      </c>
      <c r="N19" s="1" t="s">
        <v>26</v>
      </c>
      <c r="O19" s="2">
        <v>4150352240</v>
      </c>
      <c r="P19" s="1">
        <v>0.83048884558131997</v>
      </c>
      <c r="Q19" s="1" t="s">
        <v>26</v>
      </c>
      <c r="R19" s="1" t="s">
        <v>26</v>
      </c>
      <c r="S19" s="2">
        <v>1023061827.16</v>
      </c>
      <c r="T19" s="1">
        <v>0.31224135354033999</v>
      </c>
      <c r="U19" s="1" t="s">
        <v>26</v>
      </c>
      <c r="V19" s="1" t="s">
        <v>26</v>
      </c>
      <c r="W19" s="2" t="s">
        <v>26</v>
      </c>
      <c r="X19" s="1" t="s">
        <v>26</v>
      </c>
      <c r="Y19" s="1" t="s">
        <v>26</v>
      </c>
      <c r="Z19" s="1" t="s">
        <v>26</v>
      </c>
      <c r="AA19" s="2">
        <v>4150352240</v>
      </c>
      <c r="AB19" s="1">
        <v>0.85383133061074001</v>
      </c>
      <c r="AC19" s="1" t="s">
        <v>26</v>
      </c>
      <c r="AD19" s="1" t="s">
        <v>26</v>
      </c>
      <c r="AE19" s="2">
        <v>9323766307.1599998</v>
      </c>
      <c r="AF19" s="1">
        <v>0.50624984322691002</v>
      </c>
      <c r="AG19" s="1" t="s">
        <v>26</v>
      </c>
      <c r="AH19" s="1" t="s">
        <v>26</v>
      </c>
      <c r="AI19" s="2">
        <v>371456525.48000002</v>
      </c>
      <c r="AJ19" s="1">
        <v>0.47082590756812998</v>
      </c>
      <c r="AK19" s="1" t="s">
        <v>26</v>
      </c>
      <c r="AL19" s="1" t="s">
        <v>26</v>
      </c>
      <c r="AM19" s="2" t="s">
        <v>26</v>
      </c>
      <c r="AN19" s="1" t="s">
        <v>26</v>
      </c>
      <c r="AO19" s="1" t="s">
        <v>26</v>
      </c>
      <c r="AP19" s="1" t="s">
        <v>26</v>
      </c>
      <c r="AQ19" s="2">
        <v>371456525.48000002</v>
      </c>
      <c r="AR19" s="1">
        <v>0.18481096504995001</v>
      </c>
      <c r="AS19" s="1" t="s">
        <v>26</v>
      </c>
      <c r="AT19" s="1" t="s">
        <v>26</v>
      </c>
      <c r="AU19" s="2">
        <v>663018770.34000003</v>
      </c>
      <c r="AV19" s="1">
        <v>0.44048248222349001</v>
      </c>
      <c r="AW19" s="1" t="s">
        <v>26</v>
      </c>
      <c r="AX19" s="1" t="s">
        <v>26</v>
      </c>
      <c r="AY19" s="2">
        <v>10358241602.98</v>
      </c>
      <c r="AZ19" s="1">
        <v>0.47227908108609001</v>
      </c>
      <c r="BA19" s="1" t="s">
        <v>26</v>
      </c>
      <c r="BB19" s="1" t="s">
        <v>26</v>
      </c>
      <c r="BD19" s="20"/>
    </row>
    <row r="20" spans="1:56" s="7" customFormat="1">
      <c r="A20" s="3" t="s">
        <v>38</v>
      </c>
      <c r="B20" s="31" t="s">
        <v>39</v>
      </c>
      <c r="C20" s="2" t="s">
        <v>26</v>
      </c>
      <c r="D20" s="1" t="s">
        <v>26</v>
      </c>
      <c r="E20" s="1" t="s">
        <v>26</v>
      </c>
      <c r="F20" s="1" t="s">
        <v>26</v>
      </c>
      <c r="G20" s="2">
        <v>5038393111.7700005</v>
      </c>
      <c r="H20" s="1">
        <v>1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847128776.25</v>
      </c>
      <c r="P20" s="1">
        <v>0.16951115441868</v>
      </c>
      <c r="Q20" s="1" t="s">
        <v>26</v>
      </c>
      <c r="R20" s="1" t="s">
        <v>26</v>
      </c>
      <c r="S20" s="2">
        <v>2253447884.1900001</v>
      </c>
      <c r="T20" s="1">
        <v>0.68775864645966001</v>
      </c>
      <c r="U20" s="1" t="s">
        <v>26</v>
      </c>
      <c r="V20" s="1" t="s">
        <v>26</v>
      </c>
      <c r="W20" s="2">
        <v>244080745.47999999</v>
      </c>
      <c r="X20" s="1">
        <v>1</v>
      </c>
      <c r="Y20" s="1" t="s">
        <v>26</v>
      </c>
      <c r="Z20" s="1" t="s">
        <v>26</v>
      </c>
      <c r="AA20" s="2">
        <v>710505040.83000004</v>
      </c>
      <c r="AB20" s="1">
        <v>0.14616866938925999</v>
      </c>
      <c r="AC20" s="1" t="s">
        <v>26</v>
      </c>
      <c r="AD20" s="1" t="s">
        <v>26</v>
      </c>
      <c r="AE20" s="2">
        <v>9093555558.5200005</v>
      </c>
      <c r="AF20" s="1">
        <v>0.49375015677308998</v>
      </c>
      <c r="AG20" s="1" t="s">
        <v>26</v>
      </c>
      <c r="AH20" s="1" t="s">
        <v>26</v>
      </c>
      <c r="AI20" s="2">
        <v>417490130.82999998</v>
      </c>
      <c r="AJ20" s="1">
        <v>0.52917409243186997</v>
      </c>
      <c r="AK20" s="1" t="s">
        <v>26</v>
      </c>
      <c r="AL20" s="1" t="s">
        <v>26</v>
      </c>
      <c r="AM20" s="2">
        <v>1220980218.8599999</v>
      </c>
      <c r="AN20" s="1">
        <v>1</v>
      </c>
      <c r="AO20" s="1" t="s">
        <v>26</v>
      </c>
      <c r="AP20" s="1" t="s">
        <v>26</v>
      </c>
      <c r="AQ20" s="2">
        <v>1638470349.6900001</v>
      </c>
      <c r="AR20" s="1">
        <v>0.81518903495005002</v>
      </c>
      <c r="AS20" s="1" t="s">
        <v>26</v>
      </c>
      <c r="AT20" s="1" t="s">
        <v>26</v>
      </c>
      <c r="AU20" s="2">
        <v>842191532.22000003</v>
      </c>
      <c r="AV20" s="1">
        <v>0.55951751777651004</v>
      </c>
      <c r="AW20" s="1" t="s">
        <v>26</v>
      </c>
      <c r="AX20" s="1" t="s">
        <v>26</v>
      </c>
      <c r="AY20" s="2">
        <v>11574217440.43</v>
      </c>
      <c r="AZ20" s="1">
        <v>0.52772091891391004</v>
      </c>
      <c r="BA20" s="1" t="s">
        <v>26</v>
      </c>
      <c r="BB20" s="1" t="s">
        <v>26</v>
      </c>
    </row>
    <row r="21" spans="1:56" s="7" customFormat="1">
      <c r="A21" s="5" t="s">
        <v>40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 t="s">
        <v>26</v>
      </c>
      <c r="H21" s="11" t="s">
        <v>26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10" t="s">
        <v>26</v>
      </c>
      <c r="P21" s="11" t="s">
        <v>26</v>
      </c>
      <c r="Q21" s="11" t="s">
        <v>26</v>
      </c>
      <c r="R21" s="11" t="s">
        <v>26</v>
      </c>
      <c r="S21" s="10" t="s">
        <v>26</v>
      </c>
      <c r="T21" s="11" t="s">
        <v>26</v>
      </c>
      <c r="U21" s="11" t="s">
        <v>26</v>
      </c>
      <c r="V21" s="11" t="s">
        <v>26</v>
      </c>
      <c r="W21" s="10">
        <v>101743975.43000001</v>
      </c>
      <c r="X21" s="11">
        <v>1.7353660826409999E-2</v>
      </c>
      <c r="Y21" s="11">
        <v>0.15</v>
      </c>
      <c r="Z21" s="11">
        <v>0.1326</v>
      </c>
      <c r="AA21" s="10" t="s">
        <v>26</v>
      </c>
      <c r="AB21" s="11" t="s">
        <v>26</v>
      </c>
      <c r="AC21" s="11" t="s">
        <v>26</v>
      </c>
      <c r="AD21" s="11" t="s">
        <v>26</v>
      </c>
      <c r="AE21" s="10">
        <v>101743975.43000001</v>
      </c>
      <c r="AF21" s="11">
        <v>1.7117836513999999E-4</v>
      </c>
      <c r="AG21" s="11">
        <v>0.15</v>
      </c>
      <c r="AH21" s="11">
        <v>0.14979999999999999</v>
      </c>
      <c r="AI21" s="10" t="s">
        <v>26</v>
      </c>
      <c r="AJ21" s="11" t="s">
        <v>26</v>
      </c>
      <c r="AK21" s="11" t="s">
        <v>26</v>
      </c>
      <c r="AL21" s="11" t="s">
        <v>26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 t="s">
        <v>26</v>
      </c>
      <c r="AR21" s="11" t="s">
        <v>26</v>
      </c>
      <c r="AS21" s="11" t="s">
        <v>26</v>
      </c>
      <c r="AT21" s="11" t="s">
        <v>26</v>
      </c>
      <c r="AU21" s="10" t="s">
        <v>26</v>
      </c>
      <c r="AV21" s="11" t="s">
        <v>26</v>
      </c>
      <c r="AW21" s="11" t="s">
        <v>26</v>
      </c>
      <c r="AX21" s="11" t="s">
        <v>26</v>
      </c>
      <c r="AY21" s="10">
        <v>101743975.43000001</v>
      </c>
      <c r="AZ21" s="11">
        <v>1.5062649392000001E-4</v>
      </c>
      <c r="BA21" s="11">
        <v>0.15</v>
      </c>
      <c r="BB21" s="11">
        <v>0.14979999999999999</v>
      </c>
    </row>
    <row r="22" spans="1:56" s="7" customFormat="1">
      <c r="A22" s="3" t="s">
        <v>38</v>
      </c>
      <c r="B22" s="31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2" t="s">
        <v>26</v>
      </c>
      <c r="T22" s="1" t="s">
        <v>26</v>
      </c>
      <c r="U22" s="1" t="s">
        <v>26</v>
      </c>
      <c r="V22" s="1" t="s">
        <v>26</v>
      </c>
      <c r="W22" s="2">
        <v>101743975.43000001</v>
      </c>
      <c r="X22" s="1">
        <v>1</v>
      </c>
      <c r="Y22" s="1" t="s">
        <v>26</v>
      </c>
      <c r="Z22" s="1" t="s">
        <v>26</v>
      </c>
      <c r="AA22" s="2" t="s">
        <v>26</v>
      </c>
      <c r="AB22" s="1" t="s">
        <v>26</v>
      </c>
      <c r="AC22" s="1" t="s">
        <v>26</v>
      </c>
      <c r="AD22" s="1" t="s">
        <v>26</v>
      </c>
      <c r="AE22" s="2">
        <v>101743975.43000001</v>
      </c>
      <c r="AF22" s="1">
        <v>1</v>
      </c>
      <c r="AG22" s="1" t="s">
        <v>26</v>
      </c>
      <c r="AH22" s="1" t="s">
        <v>26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2" t="s">
        <v>26</v>
      </c>
      <c r="AV22" s="1" t="s">
        <v>26</v>
      </c>
      <c r="AW22" s="1" t="s">
        <v>26</v>
      </c>
      <c r="AX22" s="1" t="s">
        <v>26</v>
      </c>
      <c r="AY22" s="2">
        <v>101743975.43000001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41</v>
      </c>
      <c r="B23" s="24" t="s">
        <v>25</v>
      </c>
      <c r="C23" s="10" t="s">
        <v>26</v>
      </c>
      <c r="D23" s="11" t="s">
        <v>26</v>
      </c>
      <c r="E23" s="11" t="s">
        <v>26</v>
      </c>
      <c r="F23" s="11" t="s">
        <v>26</v>
      </c>
      <c r="G23" s="10">
        <v>30396678.84</v>
      </c>
      <c r="H23" s="11">
        <v>2.1776231170999999E-4</v>
      </c>
      <c r="I23" s="11">
        <v>0.15</v>
      </c>
      <c r="J23" s="11">
        <v>0.14979999999999999</v>
      </c>
      <c r="K23" s="10">
        <v>39406659.710000001</v>
      </c>
      <c r="L23" s="11">
        <v>1.492194344148E-2</v>
      </c>
      <c r="M23" s="11">
        <v>0.15</v>
      </c>
      <c r="N23" s="11">
        <v>0.1351</v>
      </c>
      <c r="O23" s="10">
        <v>582477356.21000004</v>
      </c>
      <c r="P23" s="11">
        <v>2.7981100461599998E-3</v>
      </c>
      <c r="Q23" s="11">
        <v>0.15</v>
      </c>
      <c r="R23" s="11">
        <v>0.1472</v>
      </c>
      <c r="S23" s="10">
        <v>327081582.00999999</v>
      </c>
      <c r="T23" s="11">
        <v>3.1338516858099999E-3</v>
      </c>
      <c r="U23" s="11">
        <v>0.15</v>
      </c>
      <c r="V23" s="11">
        <v>0.1469</v>
      </c>
      <c r="W23" s="10">
        <v>134226068.03</v>
      </c>
      <c r="X23" s="11">
        <v>2.2893873065320001E-2</v>
      </c>
      <c r="Y23" s="11">
        <v>0.15</v>
      </c>
      <c r="Z23" s="11">
        <v>0.12709999999999999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1113588344.8</v>
      </c>
      <c r="AF23" s="11">
        <v>1.8735481044400001E-3</v>
      </c>
      <c r="AG23" s="11">
        <v>0.15</v>
      </c>
      <c r="AH23" s="11">
        <v>0.14810000000000001</v>
      </c>
      <c r="AI23" s="10">
        <v>8409850.3100000005</v>
      </c>
      <c r="AJ23" s="11">
        <v>5.2210287493999999E-4</v>
      </c>
      <c r="AK23" s="11">
        <v>0.15</v>
      </c>
      <c r="AL23" s="11">
        <v>0.14949999999999999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>
        <v>8409850.3100000005</v>
      </c>
      <c r="AR23" s="11">
        <v>2.1370425685000001E-4</v>
      </c>
      <c r="AS23" s="11">
        <v>0.15</v>
      </c>
      <c r="AT23" s="11">
        <v>0.14979999999999999</v>
      </c>
      <c r="AU23" s="10">
        <v>181401105.13999999</v>
      </c>
      <c r="AV23" s="11">
        <v>4.3454371791000002E-3</v>
      </c>
      <c r="AW23" s="11">
        <v>0.15</v>
      </c>
      <c r="AX23" s="11">
        <v>0.1457</v>
      </c>
      <c r="AY23" s="10">
        <v>1303399300.25</v>
      </c>
      <c r="AZ23" s="11">
        <v>1.92961269648E-3</v>
      </c>
      <c r="BA23" s="11">
        <v>0.15</v>
      </c>
      <c r="BB23" s="11">
        <v>0.14810000000000001</v>
      </c>
    </row>
    <row r="24" spans="1:56" s="7" customFormat="1">
      <c r="A24" s="3" t="s">
        <v>38</v>
      </c>
      <c r="B24" s="31" t="s">
        <v>39</v>
      </c>
      <c r="C24" s="2" t="s">
        <v>26</v>
      </c>
      <c r="D24" s="1" t="s">
        <v>26</v>
      </c>
      <c r="E24" s="1" t="s">
        <v>26</v>
      </c>
      <c r="F24" s="1" t="s">
        <v>26</v>
      </c>
      <c r="G24" s="2">
        <v>30396678.84</v>
      </c>
      <c r="H24" s="1">
        <v>1</v>
      </c>
      <c r="I24" s="1" t="s">
        <v>26</v>
      </c>
      <c r="J24" s="1" t="s">
        <v>26</v>
      </c>
      <c r="K24" s="2">
        <v>39406659.710000001</v>
      </c>
      <c r="L24" s="1">
        <v>1</v>
      </c>
      <c r="M24" s="1" t="s">
        <v>26</v>
      </c>
      <c r="N24" s="1" t="s">
        <v>26</v>
      </c>
      <c r="O24" s="2">
        <v>582477356.21000004</v>
      </c>
      <c r="P24" s="1">
        <v>1</v>
      </c>
      <c r="Q24" s="1" t="s">
        <v>26</v>
      </c>
      <c r="R24" s="1" t="s">
        <v>26</v>
      </c>
      <c r="S24" s="2">
        <v>327081582.00999999</v>
      </c>
      <c r="T24" s="1">
        <v>1</v>
      </c>
      <c r="U24" s="1" t="s">
        <v>26</v>
      </c>
      <c r="V24" s="1" t="s">
        <v>26</v>
      </c>
      <c r="W24" s="2">
        <v>134226068.03</v>
      </c>
      <c r="X24" s="1">
        <v>1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1113588344.8</v>
      </c>
      <c r="AF24" s="1">
        <v>1</v>
      </c>
      <c r="AG24" s="1" t="s">
        <v>26</v>
      </c>
      <c r="AH24" s="1" t="s">
        <v>26</v>
      </c>
      <c r="AI24" s="2">
        <v>8409850.3100000005</v>
      </c>
      <c r="AJ24" s="1">
        <v>1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>
        <v>8409850.3100000005</v>
      </c>
      <c r="AR24" s="1">
        <v>1</v>
      </c>
      <c r="AS24" s="1" t="s">
        <v>26</v>
      </c>
      <c r="AT24" s="1" t="s">
        <v>26</v>
      </c>
      <c r="AU24" s="2">
        <v>181401105.13999999</v>
      </c>
      <c r="AV24" s="1">
        <v>1</v>
      </c>
      <c r="AW24" s="1" t="s">
        <v>26</v>
      </c>
      <c r="AX24" s="1" t="s">
        <v>26</v>
      </c>
      <c r="AY24" s="2">
        <v>1303399300.25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42</v>
      </c>
      <c r="B25" s="24" t="s">
        <v>25</v>
      </c>
      <c r="C25" s="10">
        <v>153461086.03</v>
      </c>
      <c r="D25" s="11">
        <v>2.803570929486E-2</v>
      </c>
      <c r="E25" s="11">
        <v>0.13500000000000001</v>
      </c>
      <c r="F25" s="11">
        <v>0.107</v>
      </c>
      <c r="G25" s="10" t="s">
        <v>26</v>
      </c>
      <c r="H25" s="11" t="s">
        <v>26</v>
      </c>
      <c r="I25" s="11" t="s">
        <v>26</v>
      </c>
      <c r="J25" s="11" t="s">
        <v>26</v>
      </c>
      <c r="K25" s="10">
        <v>15619006.43</v>
      </c>
      <c r="L25" s="11">
        <v>5.9143792515200001E-3</v>
      </c>
      <c r="M25" s="11">
        <v>0.13500000000000001</v>
      </c>
      <c r="N25" s="11">
        <v>0.12909999999999999</v>
      </c>
      <c r="O25" s="10" t="s">
        <v>26</v>
      </c>
      <c r="P25" s="11" t="s">
        <v>26</v>
      </c>
      <c r="Q25" s="11" t="s">
        <v>26</v>
      </c>
      <c r="R25" s="11" t="s">
        <v>26</v>
      </c>
      <c r="S25" s="10" t="s">
        <v>26</v>
      </c>
      <c r="T25" s="11" t="s">
        <v>26</v>
      </c>
      <c r="U25" s="11" t="s">
        <v>26</v>
      </c>
      <c r="V25" s="11" t="s">
        <v>26</v>
      </c>
      <c r="W25" s="10" t="s">
        <v>26</v>
      </c>
      <c r="X25" s="11" t="s">
        <v>26</v>
      </c>
      <c r="Y25" s="11" t="s">
        <v>26</v>
      </c>
      <c r="Z25" s="11" t="s">
        <v>26</v>
      </c>
      <c r="AA25" s="10" t="s">
        <v>26</v>
      </c>
      <c r="AB25" s="11" t="s">
        <v>26</v>
      </c>
      <c r="AC25" s="11" t="s">
        <v>26</v>
      </c>
      <c r="AD25" s="11" t="s">
        <v>26</v>
      </c>
      <c r="AE25" s="10">
        <v>169080092.46000001</v>
      </c>
      <c r="AF25" s="11">
        <v>2.8446749483999998E-4</v>
      </c>
      <c r="AG25" s="11">
        <v>0.13500000000000001</v>
      </c>
      <c r="AH25" s="11">
        <v>0.13469999999999999</v>
      </c>
      <c r="AI25" s="10" t="s">
        <v>26</v>
      </c>
      <c r="AJ25" s="11" t="s">
        <v>26</v>
      </c>
      <c r="AK25" s="11" t="s">
        <v>26</v>
      </c>
      <c r="AL25" s="11" t="s">
        <v>26</v>
      </c>
      <c r="AM25" s="10" t="s">
        <v>26</v>
      </c>
      <c r="AN25" s="11" t="s">
        <v>26</v>
      </c>
      <c r="AO25" s="11" t="s">
        <v>26</v>
      </c>
      <c r="AP25" s="11" t="s">
        <v>26</v>
      </c>
      <c r="AQ25" s="10" t="s">
        <v>26</v>
      </c>
      <c r="AR25" s="11" t="s">
        <v>26</v>
      </c>
      <c r="AS25" s="11" t="s">
        <v>26</v>
      </c>
      <c r="AT25" s="11" t="s">
        <v>26</v>
      </c>
      <c r="AU25" s="10" t="s">
        <v>26</v>
      </c>
      <c r="AV25" s="11" t="s">
        <v>26</v>
      </c>
      <c r="AW25" s="11" t="s">
        <v>26</v>
      </c>
      <c r="AX25" s="11" t="s">
        <v>26</v>
      </c>
      <c r="AY25" s="10">
        <v>169080092.46000001</v>
      </c>
      <c r="AZ25" s="11">
        <v>2.5031400053E-4</v>
      </c>
      <c r="BA25" s="11">
        <v>0.13500000000000001</v>
      </c>
      <c r="BB25" s="11">
        <v>0.13469999999999999</v>
      </c>
    </row>
    <row r="26" spans="1:56" s="7" customFormat="1">
      <c r="A26" s="3" t="s">
        <v>38</v>
      </c>
      <c r="B26" s="31" t="s">
        <v>43</v>
      </c>
      <c r="C26" s="2">
        <v>153461086.03</v>
      </c>
      <c r="D26" s="1">
        <v>1</v>
      </c>
      <c r="E26" s="1" t="s">
        <v>26</v>
      </c>
      <c r="F26" s="1" t="s">
        <v>26</v>
      </c>
      <c r="G26" s="2" t="s">
        <v>26</v>
      </c>
      <c r="H26" s="1" t="s">
        <v>26</v>
      </c>
      <c r="I26" s="1" t="s">
        <v>26</v>
      </c>
      <c r="J26" s="1" t="s">
        <v>26</v>
      </c>
      <c r="K26" s="2">
        <v>15619006.43</v>
      </c>
      <c r="L26" s="1">
        <v>1</v>
      </c>
      <c r="M26" s="1" t="s">
        <v>26</v>
      </c>
      <c r="N26" s="1" t="s">
        <v>26</v>
      </c>
      <c r="O26" s="2" t="s">
        <v>26</v>
      </c>
      <c r="P26" s="1" t="s">
        <v>26</v>
      </c>
      <c r="Q26" s="1" t="s">
        <v>26</v>
      </c>
      <c r="R26" s="1" t="s">
        <v>26</v>
      </c>
      <c r="S26" s="2" t="s">
        <v>26</v>
      </c>
      <c r="T26" s="1" t="s">
        <v>26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 t="s">
        <v>26</v>
      </c>
      <c r="AB26" s="1" t="s">
        <v>26</v>
      </c>
      <c r="AC26" s="1" t="s">
        <v>26</v>
      </c>
      <c r="AD26" s="1" t="s">
        <v>26</v>
      </c>
      <c r="AE26" s="2">
        <v>169080092.46000001</v>
      </c>
      <c r="AF26" s="1">
        <v>1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 t="s">
        <v>26</v>
      </c>
      <c r="AV26" s="1" t="s">
        <v>26</v>
      </c>
      <c r="AW26" s="1" t="s">
        <v>26</v>
      </c>
      <c r="AX26" s="1" t="s">
        <v>26</v>
      </c>
      <c r="AY26" s="2">
        <v>169080092.46000001</v>
      </c>
      <c r="AZ26" s="1">
        <v>1</v>
      </c>
      <c r="BA26" s="1" t="s">
        <v>26</v>
      </c>
      <c r="BB26" s="1" t="s">
        <v>26</v>
      </c>
    </row>
    <row r="27" spans="1:56" s="7" customFormat="1">
      <c r="A27" s="5" t="s">
        <v>44</v>
      </c>
      <c r="B27" s="24" t="s">
        <v>25</v>
      </c>
      <c r="C27" s="10">
        <v>20627901.199999999</v>
      </c>
      <c r="D27" s="11">
        <v>3.7684982973000001E-3</v>
      </c>
      <c r="E27" s="11">
        <v>0.13500000000000001</v>
      </c>
      <c r="F27" s="11">
        <v>0.13120000000000001</v>
      </c>
      <c r="G27" s="10">
        <v>1289243825</v>
      </c>
      <c r="H27" s="11">
        <v>9.2361641603300008E-3</v>
      </c>
      <c r="I27" s="11">
        <v>0.13500000000000001</v>
      </c>
      <c r="J27" s="11">
        <v>0.1258</v>
      </c>
      <c r="K27" s="10" t="s">
        <v>26</v>
      </c>
      <c r="L27" s="11" t="s">
        <v>26</v>
      </c>
      <c r="M27" s="11" t="s">
        <v>26</v>
      </c>
      <c r="N27" s="11" t="s">
        <v>26</v>
      </c>
      <c r="O27" s="10">
        <v>4349713405.8199997</v>
      </c>
      <c r="P27" s="11">
        <v>2.08951930045E-2</v>
      </c>
      <c r="Q27" s="11">
        <v>0.14560000000000001</v>
      </c>
      <c r="R27" s="11">
        <v>0.12470000000000001</v>
      </c>
      <c r="S27" s="10">
        <v>1868568270.3499999</v>
      </c>
      <c r="T27" s="11">
        <v>1.7903227042349999E-2</v>
      </c>
      <c r="U27" s="11">
        <v>0.14419999999999999</v>
      </c>
      <c r="V27" s="11">
        <v>0.1263</v>
      </c>
      <c r="W27" s="10">
        <v>191192801.28999999</v>
      </c>
      <c r="X27" s="11">
        <v>3.2610235761040003E-2</v>
      </c>
      <c r="Y27" s="11">
        <v>0.15</v>
      </c>
      <c r="Z27" s="11">
        <v>0.1174</v>
      </c>
      <c r="AA27" s="10">
        <v>2143850266.7</v>
      </c>
      <c r="AB27" s="11">
        <v>1.6713401694640001E-2</v>
      </c>
      <c r="AC27" s="11">
        <v>0.05</v>
      </c>
      <c r="AD27" s="11">
        <v>3.3300000000000003E-2</v>
      </c>
      <c r="AE27" s="10">
        <v>9863196470.3600006</v>
      </c>
      <c r="AF27" s="11">
        <v>1.6594258674730002E-2</v>
      </c>
      <c r="AG27" s="11">
        <v>0.14319999999999999</v>
      </c>
      <c r="AH27" s="11">
        <v>0.12659999999999999</v>
      </c>
      <c r="AI27" s="10">
        <v>113030720.79000001</v>
      </c>
      <c r="AJ27" s="11">
        <v>7.0172074538799997E-3</v>
      </c>
      <c r="AK27" s="11">
        <v>0.15</v>
      </c>
      <c r="AL27" s="11">
        <v>0.14299999999999999</v>
      </c>
      <c r="AM27" s="10">
        <v>264696218.81</v>
      </c>
      <c r="AN27" s="11">
        <v>1.1387183158339999E-2</v>
      </c>
      <c r="AO27" s="11">
        <v>0.15</v>
      </c>
      <c r="AP27" s="11">
        <v>0.1386</v>
      </c>
      <c r="AQ27" s="10">
        <v>377726939.60000002</v>
      </c>
      <c r="AR27" s="11">
        <v>9.5984889082199997E-3</v>
      </c>
      <c r="AS27" s="11">
        <v>0.15</v>
      </c>
      <c r="AT27" s="11">
        <v>0.1404</v>
      </c>
      <c r="AU27" s="10">
        <v>579017259.20000005</v>
      </c>
      <c r="AV27" s="11">
        <v>1.387027451419E-2</v>
      </c>
      <c r="AW27" s="11">
        <v>0.1353</v>
      </c>
      <c r="AX27" s="11">
        <v>0.12139999999999999</v>
      </c>
      <c r="AY27" s="10">
        <v>10819940669.16</v>
      </c>
      <c r="AZ27" s="11">
        <v>1.601834133742E-2</v>
      </c>
      <c r="BA27" s="11">
        <v>0.14299999999999999</v>
      </c>
      <c r="BB27" s="11">
        <v>0.127</v>
      </c>
    </row>
    <row r="28" spans="1:56" s="7" customFormat="1">
      <c r="A28" s="3" t="s">
        <v>36</v>
      </c>
      <c r="B28" s="31" t="s">
        <v>37</v>
      </c>
      <c r="C28" s="2">
        <v>20627901.199999999</v>
      </c>
      <c r="D28" s="1">
        <v>1</v>
      </c>
      <c r="E28" s="1" t="s">
        <v>26</v>
      </c>
      <c r="F28" s="1" t="s">
        <v>26</v>
      </c>
      <c r="G28" s="2">
        <v>1289243825</v>
      </c>
      <c r="H28" s="1">
        <v>1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>
        <v>1289243825</v>
      </c>
      <c r="P28" s="1">
        <v>0.29639741856899998</v>
      </c>
      <c r="Q28" s="1" t="s">
        <v>26</v>
      </c>
      <c r="R28" s="1" t="s">
        <v>26</v>
      </c>
      <c r="S28" s="2">
        <v>721976542</v>
      </c>
      <c r="T28" s="1">
        <v>0.38637953638417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1159288047.4400001</v>
      </c>
      <c r="AB28" s="1">
        <v>0.54075047378400998</v>
      </c>
      <c r="AC28" s="1" t="s">
        <v>26</v>
      </c>
      <c r="AD28" s="1" t="s">
        <v>26</v>
      </c>
      <c r="AE28" s="2">
        <v>4480380140.6400003</v>
      </c>
      <c r="AF28" s="1">
        <v>0.45425234649883001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>
        <v>567267283</v>
      </c>
      <c r="AV28" s="1">
        <v>0.97970703633905998</v>
      </c>
      <c r="AW28" s="1" t="s">
        <v>26</v>
      </c>
      <c r="AX28" s="1" t="s">
        <v>26</v>
      </c>
      <c r="AY28" s="2">
        <v>5047647423.6400003</v>
      </c>
      <c r="AZ28" s="1">
        <v>0.46651341056123002</v>
      </c>
      <c r="BA28" s="1" t="s">
        <v>26</v>
      </c>
      <c r="BB28" s="1" t="s">
        <v>26</v>
      </c>
    </row>
    <row r="29" spans="1:56" s="7" customFormat="1">
      <c r="A29" s="3" t="s">
        <v>38</v>
      </c>
      <c r="B29" s="31" t="s">
        <v>39</v>
      </c>
      <c r="C29" s="2" t="s">
        <v>26</v>
      </c>
      <c r="D29" s="1" t="s">
        <v>26</v>
      </c>
      <c r="E29" s="1" t="s">
        <v>26</v>
      </c>
      <c r="F29" s="1" t="s">
        <v>26</v>
      </c>
      <c r="G29" s="2" t="s">
        <v>26</v>
      </c>
      <c r="H29" s="1" t="s">
        <v>26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>
        <v>3060469580.8200002</v>
      </c>
      <c r="P29" s="1">
        <v>0.70360258143100995</v>
      </c>
      <c r="Q29" s="1" t="s">
        <v>26</v>
      </c>
      <c r="R29" s="1" t="s">
        <v>26</v>
      </c>
      <c r="S29" s="2">
        <v>1146591728.3499999</v>
      </c>
      <c r="T29" s="1">
        <v>0.61362046361583</v>
      </c>
      <c r="U29" s="1" t="s">
        <v>26</v>
      </c>
      <c r="V29" s="1" t="s">
        <v>26</v>
      </c>
      <c r="W29" s="2">
        <v>191192801.28999999</v>
      </c>
      <c r="X29" s="1">
        <v>1</v>
      </c>
      <c r="Y29" s="1" t="s">
        <v>26</v>
      </c>
      <c r="Z29" s="1" t="s">
        <v>26</v>
      </c>
      <c r="AA29" s="2">
        <v>984562219.25999999</v>
      </c>
      <c r="AB29" s="1">
        <v>0.45924952621599002</v>
      </c>
      <c r="AC29" s="1" t="s">
        <v>26</v>
      </c>
      <c r="AD29" s="1" t="s">
        <v>26</v>
      </c>
      <c r="AE29" s="2">
        <v>5382816329.7200003</v>
      </c>
      <c r="AF29" s="1">
        <v>0.54574765350117005</v>
      </c>
      <c r="AG29" s="1" t="s">
        <v>26</v>
      </c>
      <c r="AH29" s="1" t="s">
        <v>26</v>
      </c>
      <c r="AI29" s="2">
        <v>113030720.79000001</v>
      </c>
      <c r="AJ29" s="1">
        <v>1</v>
      </c>
      <c r="AK29" s="1" t="s">
        <v>26</v>
      </c>
      <c r="AL29" s="1" t="s">
        <v>26</v>
      </c>
      <c r="AM29" s="2">
        <v>264696218.81</v>
      </c>
      <c r="AN29" s="1">
        <v>1</v>
      </c>
      <c r="AO29" s="1" t="s">
        <v>26</v>
      </c>
      <c r="AP29" s="1" t="s">
        <v>26</v>
      </c>
      <c r="AQ29" s="2">
        <v>377726939.60000002</v>
      </c>
      <c r="AR29" s="1">
        <v>1</v>
      </c>
      <c r="AS29" s="1" t="s">
        <v>26</v>
      </c>
      <c r="AT29" s="1" t="s">
        <v>26</v>
      </c>
      <c r="AU29" s="2">
        <v>11749976.199999999</v>
      </c>
      <c r="AV29" s="1">
        <v>2.0292963660940001E-2</v>
      </c>
      <c r="AW29" s="1" t="s">
        <v>26</v>
      </c>
      <c r="AX29" s="1" t="s">
        <v>26</v>
      </c>
      <c r="AY29" s="2">
        <v>5772293245.5200005</v>
      </c>
      <c r="AZ29" s="1">
        <v>0.53348658943877003</v>
      </c>
      <c r="BA29" s="1" t="s">
        <v>26</v>
      </c>
      <c r="BB29" s="1" t="s">
        <v>26</v>
      </c>
    </row>
    <row r="30" spans="1:56" s="7" customFormat="1">
      <c r="A30" s="5" t="s">
        <v>45</v>
      </c>
      <c r="B30" s="24" t="s">
        <v>25</v>
      </c>
      <c r="C30" s="10">
        <v>32771479</v>
      </c>
      <c r="D30" s="11">
        <v>5.98700088847E-3</v>
      </c>
      <c r="E30" s="11">
        <v>0.09</v>
      </c>
      <c r="F30" s="11">
        <v>8.4000000000000005E-2</v>
      </c>
      <c r="G30" s="10">
        <v>39829951.399999999</v>
      </c>
      <c r="H30" s="11">
        <v>2.8534243289999998E-4</v>
      </c>
      <c r="I30" s="11">
        <v>0.09</v>
      </c>
      <c r="J30" s="11">
        <v>8.9700000000000002E-2</v>
      </c>
      <c r="K30" s="10" t="s">
        <v>26</v>
      </c>
      <c r="L30" s="11" t="s">
        <v>26</v>
      </c>
      <c r="M30" s="11" t="s">
        <v>26</v>
      </c>
      <c r="N30" s="11" t="s">
        <v>26</v>
      </c>
      <c r="O30" s="10" t="s">
        <v>26</v>
      </c>
      <c r="P30" s="11" t="s">
        <v>26</v>
      </c>
      <c r="Q30" s="11" t="s">
        <v>26</v>
      </c>
      <c r="R30" s="11" t="s">
        <v>26</v>
      </c>
      <c r="S30" s="10">
        <v>52456012.909999996</v>
      </c>
      <c r="T30" s="11">
        <v>5.0259437867999999E-4</v>
      </c>
      <c r="U30" s="11">
        <v>0.1134</v>
      </c>
      <c r="V30" s="11">
        <v>0.1129</v>
      </c>
      <c r="W30" s="10" t="s">
        <v>26</v>
      </c>
      <c r="X30" s="11" t="s">
        <v>26</v>
      </c>
      <c r="Y30" s="11" t="s">
        <v>26</v>
      </c>
      <c r="Z30" s="11" t="s">
        <v>26</v>
      </c>
      <c r="AA30" s="10">
        <v>35292362</v>
      </c>
      <c r="AB30" s="11">
        <v>2.7513834899000001E-4</v>
      </c>
      <c r="AC30" s="11">
        <v>0.09</v>
      </c>
      <c r="AD30" s="11">
        <v>8.9700000000000002E-2</v>
      </c>
      <c r="AE30" s="10">
        <v>160349805.31</v>
      </c>
      <c r="AF30" s="11">
        <v>2.6977929069E-4</v>
      </c>
      <c r="AG30" s="11">
        <v>9.7600000000000006E-2</v>
      </c>
      <c r="AH30" s="11">
        <v>9.7299999999999998E-2</v>
      </c>
      <c r="AI30" s="10" t="s">
        <v>26</v>
      </c>
      <c r="AJ30" s="11" t="s">
        <v>26</v>
      </c>
      <c r="AK30" s="11" t="s">
        <v>26</v>
      </c>
      <c r="AL30" s="11" t="s">
        <v>26</v>
      </c>
      <c r="AM30" s="10">
        <v>213157721.18000001</v>
      </c>
      <c r="AN30" s="11">
        <v>9.1700063703300007E-3</v>
      </c>
      <c r="AO30" s="11">
        <v>0.13500000000000001</v>
      </c>
      <c r="AP30" s="11">
        <v>0.1258</v>
      </c>
      <c r="AQ30" s="10">
        <v>213157721.18000001</v>
      </c>
      <c r="AR30" s="11">
        <v>5.41659015535E-3</v>
      </c>
      <c r="AS30" s="11">
        <v>0.13500000000000001</v>
      </c>
      <c r="AT30" s="11">
        <v>0.12959999999999999</v>
      </c>
      <c r="AU30" s="10" t="s">
        <v>26</v>
      </c>
      <c r="AV30" s="11" t="s">
        <v>26</v>
      </c>
      <c r="AW30" s="11" t="s">
        <v>26</v>
      </c>
      <c r="AX30" s="11" t="s">
        <v>26</v>
      </c>
      <c r="AY30" s="10">
        <v>373507526.49000001</v>
      </c>
      <c r="AZ30" s="11">
        <v>5.5295784277999995E-4</v>
      </c>
      <c r="BA30" s="11">
        <v>0.11899999999999999</v>
      </c>
      <c r="BB30" s="11">
        <v>0.11840000000000001</v>
      </c>
    </row>
    <row r="31" spans="1:56" s="7" customFormat="1">
      <c r="A31" s="3" t="s">
        <v>36</v>
      </c>
      <c r="B31" s="31" t="s">
        <v>46</v>
      </c>
      <c r="C31" s="2">
        <v>32771479</v>
      </c>
      <c r="D31" s="1">
        <v>1</v>
      </c>
      <c r="E31" s="1" t="s">
        <v>26</v>
      </c>
      <c r="F31" s="1" t="s">
        <v>26</v>
      </c>
      <c r="G31" s="2">
        <v>39829951.399999999</v>
      </c>
      <c r="H31" s="1">
        <v>1</v>
      </c>
      <c r="I31" s="1" t="s">
        <v>26</v>
      </c>
      <c r="J31" s="1" t="s">
        <v>26</v>
      </c>
      <c r="K31" s="2" t="s">
        <v>26</v>
      </c>
      <c r="L31" s="1" t="s">
        <v>26</v>
      </c>
      <c r="M31" s="1" t="s">
        <v>26</v>
      </c>
      <c r="N31" s="1" t="s">
        <v>26</v>
      </c>
      <c r="O31" s="2" t="s">
        <v>26</v>
      </c>
      <c r="P31" s="1" t="s">
        <v>26</v>
      </c>
      <c r="Q31" s="1" t="s">
        <v>26</v>
      </c>
      <c r="R31" s="1" t="s">
        <v>26</v>
      </c>
      <c r="S31" s="2">
        <v>25208830</v>
      </c>
      <c r="T31" s="1">
        <v>0.48057083643110998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>
        <v>35292362</v>
      </c>
      <c r="AB31" s="1">
        <v>1</v>
      </c>
      <c r="AC31" s="1" t="s">
        <v>26</v>
      </c>
      <c r="AD31" s="1" t="s">
        <v>26</v>
      </c>
      <c r="AE31" s="2">
        <v>133102622.40000001</v>
      </c>
      <c r="AF31" s="1">
        <v>0.83007660746875001</v>
      </c>
      <c r="AG31" s="1" t="s">
        <v>26</v>
      </c>
      <c r="AH31" s="1" t="s">
        <v>26</v>
      </c>
      <c r="AI31" s="2" t="s">
        <v>26</v>
      </c>
      <c r="AJ31" s="1" t="s">
        <v>26</v>
      </c>
      <c r="AK31" s="1" t="s">
        <v>26</v>
      </c>
      <c r="AL31" s="1" t="s">
        <v>26</v>
      </c>
      <c r="AM31" s="2" t="s">
        <v>26</v>
      </c>
      <c r="AN31" s="1" t="s">
        <v>26</v>
      </c>
      <c r="AO31" s="1" t="s">
        <v>26</v>
      </c>
      <c r="AP31" s="1" t="s">
        <v>26</v>
      </c>
      <c r="AQ31" s="2" t="s">
        <v>26</v>
      </c>
      <c r="AR31" s="1" t="s">
        <v>26</v>
      </c>
      <c r="AS31" s="1" t="s">
        <v>26</v>
      </c>
      <c r="AT31" s="1" t="s">
        <v>26</v>
      </c>
      <c r="AU31" s="2" t="s">
        <v>26</v>
      </c>
      <c r="AV31" s="1" t="s">
        <v>26</v>
      </c>
      <c r="AW31" s="1" t="s">
        <v>26</v>
      </c>
      <c r="AX31" s="1" t="s">
        <v>26</v>
      </c>
      <c r="AY31" s="2">
        <v>133102622.40000001</v>
      </c>
      <c r="AZ31" s="1">
        <v>0.35635860848861001</v>
      </c>
      <c r="BA31" s="1" t="s">
        <v>26</v>
      </c>
      <c r="BB31" s="1" t="s">
        <v>26</v>
      </c>
    </row>
    <row r="32" spans="1:56" s="7" customFormat="1">
      <c r="A32" s="3" t="s">
        <v>38</v>
      </c>
      <c r="B32" s="31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 t="s">
        <v>26</v>
      </c>
      <c r="L32" s="1" t="s">
        <v>26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>
        <v>27247182.91</v>
      </c>
      <c r="T32" s="1">
        <v>0.51942916356889002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27247182.91</v>
      </c>
      <c r="AF32" s="1">
        <v>0.16992339253124999</v>
      </c>
      <c r="AG32" s="1" t="s">
        <v>26</v>
      </c>
      <c r="AH32" s="1" t="s">
        <v>26</v>
      </c>
      <c r="AI32" s="2" t="s">
        <v>26</v>
      </c>
      <c r="AJ32" s="1" t="s">
        <v>26</v>
      </c>
      <c r="AK32" s="1" t="s">
        <v>26</v>
      </c>
      <c r="AL32" s="1" t="s">
        <v>26</v>
      </c>
      <c r="AM32" s="2">
        <v>213157721.18000001</v>
      </c>
      <c r="AN32" s="1">
        <v>1</v>
      </c>
      <c r="AO32" s="1" t="s">
        <v>26</v>
      </c>
      <c r="AP32" s="1" t="s">
        <v>26</v>
      </c>
      <c r="AQ32" s="2">
        <v>213157721.18000001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240404904.09</v>
      </c>
      <c r="AZ32" s="1">
        <v>0.64364139151138999</v>
      </c>
      <c r="BA32" s="1" t="s">
        <v>26</v>
      </c>
      <c r="BB32" s="1" t="s">
        <v>26</v>
      </c>
    </row>
    <row r="33" spans="1:54" s="7" customFormat="1">
      <c r="A33" s="5" t="s">
        <v>47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22066551.98</v>
      </c>
      <c r="L33" s="11">
        <v>8.3558424646299999E-3</v>
      </c>
      <c r="M33" s="11">
        <v>0.13500000000000001</v>
      </c>
      <c r="N33" s="11">
        <v>0.12659999999999999</v>
      </c>
      <c r="O33" s="10" t="s">
        <v>26</v>
      </c>
      <c r="P33" s="11" t="s">
        <v>26</v>
      </c>
      <c r="Q33" s="11" t="s">
        <v>26</v>
      </c>
      <c r="R33" s="11" t="s">
        <v>26</v>
      </c>
      <c r="S33" s="10" t="s">
        <v>26</v>
      </c>
      <c r="T33" s="11" t="s">
        <v>26</v>
      </c>
      <c r="U33" s="11" t="s">
        <v>26</v>
      </c>
      <c r="V33" s="11" t="s">
        <v>26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>
        <v>5408466.6799999997</v>
      </c>
      <c r="AB33" s="11">
        <v>4.216426752E-5</v>
      </c>
      <c r="AC33" s="11">
        <v>0.13500000000000001</v>
      </c>
      <c r="AD33" s="11">
        <v>0.13500000000000001</v>
      </c>
      <c r="AE33" s="10">
        <v>27475018.66</v>
      </c>
      <c r="AF33" s="11">
        <v>4.6225132810000003E-5</v>
      </c>
      <c r="AG33" s="11">
        <v>0.13500000000000001</v>
      </c>
      <c r="AH33" s="11">
        <v>0.13500000000000001</v>
      </c>
      <c r="AI33" s="10">
        <v>3038558.01</v>
      </c>
      <c r="AJ33" s="11">
        <v>1.8864067899E-4</v>
      </c>
      <c r="AK33" s="11">
        <v>0.13500000000000001</v>
      </c>
      <c r="AL33" s="11">
        <v>0.1348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>
        <v>3038558.01</v>
      </c>
      <c r="AR33" s="11">
        <v>7.7213357850000006E-5</v>
      </c>
      <c r="AS33" s="11">
        <v>0.13500000000000001</v>
      </c>
      <c r="AT33" s="11">
        <v>0.13489999999999999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30513576.670000002</v>
      </c>
      <c r="AZ33" s="11">
        <v>4.5173712270000002E-5</v>
      </c>
      <c r="BA33" s="11">
        <v>0.13500000000000001</v>
      </c>
      <c r="BB33" s="11">
        <v>0.13500000000000001</v>
      </c>
    </row>
    <row r="34" spans="1:54" s="7" customFormat="1">
      <c r="A34" s="3" t="s">
        <v>38</v>
      </c>
      <c r="B34" s="31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22066551.98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5408466.6799999997</v>
      </c>
      <c r="AB34" s="1">
        <v>1</v>
      </c>
      <c r="AC34" s="1" t="s">
        <v>26</v>
      </c>
      <c r="AD34" s="1" t="s">
        <v>26</v>
      </c>
      <c r="AE34" s="2">
        <v>27475018.66</v>
      </c>
      <c r="AF34" s="1">
        <v>1</v>
      </c>
      <c r="AG34" s="1" t="s">
        <v>26</v>
      </c>
      <c r="AH34" s="1" t="s">
        <v>26</v>
      </c>
      <c r="AI34" s="2">
        <v>3038558.01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3038558.01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30513576.670000002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48</v>
      </c>
      <c r="B35" s="24" t="s">
        <v>25</v>
      </c>
      <c r="C35" s="10" t="s">
        <v>26</v>
      </c>
      <c r="D35" s="11" t="s">
        <v>26</v>
      </c>
      <c r="E35" s="11" t="s">
        <v>26</v>
      </c>
      <c r="F35" s="11" t="s">
        <v>26</v>
      </c>
      <c r="G35" s="10" t="s">
        <v>26</v>
      </c>
      <c r="H35" s="11" t="s">
        <v>26</v>
      </c>
      <c r="I35" s="11" t="s">
        <v>26</v>
      </c>
      <c r="J35" s="11" t="s">
        <v>26</v>
      </c>
      <c r="K35" s="10" t="s">
        <v>26</v>
      </c>
      <c r="L35" s="11" t="s">
        <v>26</v>
      </c>
      <c r="M35" s="11" t="s">
        <v>26</v>
      </c>
      <c r="N35" s="11" t="s">
        <v>26</v>
      </c>
      <c r="O35" s="10" t="s">
        <v>26</v>
      </c>
      <c r="P35" s="11" t="s">
        <v>26</v>
      </c>
      <c r="Q35" s="11" t="s">
        <v>26</v>
      </c>
      <c r="R35" s="11" t="s">
        <v>26</v>
      </c>
      <c r="S35" s="10">
        <v>104184840.28</v>
      </c>
      <c r="T35" s="11">
        <v>9.9822140806999997E-4</v>
      </c>
      <c r="U35" s="11">
        <v>0.13500000000000001</v>
      </c>
      <c r="V35" s="11">
        <v>0.13400000000000001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70259385.349999994</v>
      </c>
      <c r="AB35" s="11">
        <v>5.4774036621000005E-4</v>
      </c>
      <c r="AC35" s="11">
        <v>0.13500000000000001</v>
      </c>
      <c r="AD35" s="11">
        <v>0.13450000000000001</v>
      </c>
      <c r="AE35" s="10">
        <v>174444225.63</v>
      </c>
      <c r="AF35" s="11">
        <v>2.9349233923000001E-4</v>
      </c>
      <c r="AG35" s="11">
        <v>0.13500000000000001</v>
      </c>
      <c r="AH35" s="11">
        <v>0.13469999999999999</v>
      </c>
      <c r="AI35" s="10" t="s">
        <v>26</v>
      </c>
      <c r="AJ35" s="11" t="s">
        <v>26</v>
      </c>
      <c r="AK35" s="11" t="s">
        <v>26</v>
      </c>
      <c r="AL35" s="11" t="s">
        <v>26</v>
      </c>
      <c r="AM35" s="10" t="s">
        <v>26</v>
      </c>
      <c r="AN35" s="11" t="s">
        <v>26</v>
      </c>
      <c r="AO35" s="11" t="s">
        <v>26</v>
      </c>
      <c r="AP35" s="11" t="s">
        <v>26</v>
      </c>
      <c r="AQ35" s="10" t="s">
        <v>26</v>
      </c>
      <c r="AR35" s="11" t="s">
        <v>26</v>
      </c>
      <c r="AS35" s="11" t="s">
        <v>26</v>
      </c>
      <c r="AT35" s="11" t="s">
        <v>26</v>
      </c>
      <c r="AU35" s="10" t="s">
        <v>26</v>
      </c>
      <c r="AV35" s="11" t="s">
        <v>26</v>
      </c>
      <c r="AW35" s="11" t="s">
        <v>26</v>
      </c>
      <c r="AX35" s="11" t="s">
        <v>26</v>
      </c>
      <c r="AY35" s="10">
        <v>174444225.63</v>
      </c>
      <c r="AZ35" s="11">
        <v>2.5825531174000001E-4</v>
      </c>
      <c r="BA35" s="11">
        <v>0.13500000000000001</v>
      </c>
      <c r="BB35" s="11">
        <v>0.13469999999999999</v>
      </c>
    </row>
    <row r="36" spans="1:54" s="7" customFormat="1">
      <c r="A36" s="3" t="s">
        <v>38</v>
      </c>
      <c r="B36" s="31" t="s">
        <v>43</v>
      </c>
      <c r="C36" s="2" t="s">
        <v>26</v>
      </c>
      <c r="D36" s="1" t="s">
        <v>26</v>
      </c>
      <c r="E36" s="1" t="s">
        <v>26</v>
      </c>
      <c r="F36" s="1" t="s">
        <v>26</v>
      </c>
      <c r="G36" s="2" t="s">
        <v>26</v>
      </c>
      <c r="H36" s="1" t="s">
        <v>26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 t="s">
        <v>26</v>
      </c>
      <c r="P36" s="1" t="s">
        <v>26</v>
      </c>
      <c r="Q36" s="1" t="s">
        <v>26</v>
      </c>
      <c r="R36" s="1" t="s">
        <v>26</v>
      </c>
      <c r="S36" s="2">
        <v>104184840.28</v>
      </c>
      <c r="T36" s="1">
        <v>1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70259385.349999994</v>
      </c>
      <c r="AB36" s="1">
        <v>1</v>
      </c>
      <c r="AC36" s="1" t="s">
        <v>26</v>
      </c>
      <c r="AD36" s="1" t="s">
        <v>26</v>
      </c>
      <c r="AE36" s="2">
        <v>174444225.63</v>
      </c>
      <c r="AF36" s="1">
        <v>1</v>
      </c>
      <c r="AG36" s="1" t="s">
        <v>26</v>
      </c>
      <c r="AH36" s="1" t="s">
        <v>26</v>
      </c>
      <c r="AI36" s="2" t="s">
        <v>26</v>
      </c>
      <c r="AJ36" s="1" t="s">
        <v>26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 t="s">
        <v>26</v>
      </c>
      <c r="AR36" s="1" t="s">
        <v>26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174444225.63</v>
      </c>
      <c r="AZ36" s="1">
        <v>1</v>
      </c>
      <c r="BA36" s="1" t="s">
        <v>26</v>
      </c>
      <c r="BB36" s="1" t="s">
        <v>26</v>
      </c>
    </row>
    <row r="37" spans="1:54" s="7" customFormat="1">
      <c r="A37" s="5" t="s">
        <v>49</v>
      </c>
      <c r="B37" s="24" t="s">
        <v>25</v>
      </c>
      <c r="C37" s="10">
        <v>8734970.6600000001</v>
      </c>
      <c r="D37" s="11">
        <v>1.59578629644E-3</v>
      </c>
      <c r="E37" s="11">
        <v>0.13500000000000001</v>
      </c>
      <c r="F37" s="11">
        <v>0.13339999999999999</v>
      </c>
      <c r="G37" s="10">
        <v>484454668.75999999</v>
      </c>
      <c r="H37" s="11">
        <v>3.47064128766E-3</v>
      </c>
      <c r="I37" s="11">
        <v>0.11070000000000001</v>
      </c>
      <c r="J37" s="11">
        <v>0.1072</v>
      </c>
      <c r="K37" s="10">
        <v>50977400.32</v>
      </c>
      <c r="L37" s="11">
        <v>1.9303383995670002E-2</v>
      </c>
      <c r="M37" s="11">
        <v>0.13500000000000001</v>
      </c>
      <c r="N37" s="11">
        <v>0.1157</v>
      </c>
      <c r="O37" s="10">
        <v>1689726456.3</v>
      </c>
      <c r="P37" s="11">
        <v>8.1171233907000005E-3</v>
      </c>
      <c r="Q37" s="11">
        <v>0.1202</v>
      </c>
      <c r="R37" s="11">
        <v>0.11210000000000001</v>
      </c>
      <c r="S37" s="10">
        <v>1007082045.29</v>
      </c>
      <c r="T37" s="11">
        <v>9.6491087819400006E-3</v>
      </c>
      <c r="U37" s="11">
        <v>0.13500000000000001</v>
      </c>
      <c r="V37" s="11">
        <v>0.12540000000000001</v>
      </c>
      <c r="W37" s="10" t="s">
        <v>26</v>
      </c>
      <c r="X37" s="11" t="s">
        <v>26</v>
      </c>
      <c r="Y37" s="11" t="s">
        <v>26</v>
      </c>
      <c r="Z37" s="11" t="s">
        <v>26</v>
      </c>
      <c r="AA37" s="10">
        <v>554158956.75999999</v>
      </c>
      <c r="AB37" s="11">
        <v>4.3202090140699997E-3</v>
      </c>
      <c r="AC37" s="11">
        <v>0.09</v>
      </c>
      <c r="AD37" s="11">
        <v>8.5699999999999998E-2</v>
      </c>
      <c r="AE37" s="10">
        <v>3795134498.0900002</v>
      </c>
      <c r="AF37" s="11">
        <v>6.3850947059599997E-3</v>
      </c>
      <c r="AG37" s="11">
        <v>0.1188</v>
      </c>
      <c r="AH37" s="11">
        <v>0.1124</v>
      </c>
      <c r="AI37" s="10">
        <v>51155472</v>
      </c>
      <c r="AJ37" s="11">
        <v>3.1758495116800001E-3</v>
      </c>
      <c r="AK37" s="11">
        <v>0.09</v>
      </c>
      <c r="AL37" s="11">
        <v>8.6800000000000002E-2</v>
      </c>
      <c r="AM37" s="10">
        <v>2220350558.5300002</v>
      </c>
      <c r="AN37" s="11">
        <v>9.5519076922849999E-2</v>
      </c>
      <c r="AO37" s="11">
        <v>0.13500000000000001</v>
      </c>
      <c r="AP37" s="11">
        <v>3.95E-2</v>
      </c>
      <c r="AQ37" s="10">
        <v>2271506030.5300002</v>
      </c>
      <c r="AR37" s="11">
        <v>5.772165856658E-2</v>
      </c>
      <c r="AS37" s="11">
        <v>0.13400000000000001</v>
      </c>
      <c r="AT37" s="11">
        <v>7.6300000000000007E-2</v>
      </c>
      <c r="AU37" s="10">
        <v>226592135.00999999</v>
      </c>
      <c r="AV37" s="11">
        <v>5.4279817490900002E-3</v>
      </c>
      <c r="AW37" s="11">
        <v>0.13500000000000001</v>
      </c>
      <c r="AX37" s="11">
        <v>0.12959999999999999</v>
      </c>
      <c r="AY37" s="10">
        <v>6293232663.6300001</v>
      </c>
      <c r="AZ37" s="11">
        <v>9.3167931326200003E-3</v>
      </c>
      <c r="BA37" s="11">
        <v>0.12479999999999999</v>
      </c>
      <c r="BB37" s="11">
        <v>0.11550000000000001</v>
      </c>
    </row>
    <row r="38" spans="1:54" s="7" customFormat="1">
      <c r="A38" s="3" t="s">
        <v>36</v>
      </c>
      <c r="B38" s="31" t="s">
        <v>46</v>
      </c>
      <c r="C38" s="2" t="s">
        <v>26</v>
      </c>
      <c r="D38" s="1" t="s">
        <v>26</v>
      </c>
      <c r="E38" s="1" t="s">
        <v>26</v>
      </c>
      <c r="F38" s="1" t="s">
        <v>26</v>
      </c>
      <c r="G38" s="2">
        <v>262152802.06999999</v>
      </c>
      <c r="H38" s="1">
        <v>0.54112968451929999</v>
      </c>
      <c r="I38" s="1" t="s">
        <v>26</v>
      </c>
      <c r="J38" s="1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2">
        <v>554158956.75999999</v>
      </c>
      <c r="P38" s="1">
        <v>0.32795779144835002</v>
      </c>
      <c r="Q38" s="1" t="s">
        <v>26</v>
      </c>
      <c r="R38" s="1" t="s">
        <v>26</v>
      </c>
      <c r="S38" s="2" t="s">
        <v>26</v>
      </c>
      <c r="T38" s="1" t="s">
        <v>26</v>
      </c>
      <c r="U38" s="1" t="s">
        <v>26</v>
      </c>
      <c r="V38" s="1" t="s">
        <v>26</v>
      </c>
      <c r="W38" s="2" t="s">
        <v>26</v>
      </c>
      <c r="X38" s="1" t="s">
        <v>26</v>
      </c>
      <c r="Y38" s="1" t="s">
        <v>26</v>
      </c>
      <c r="Z38" s="1" t="s">
        <v>26</v>
      </c>
      <c r="AA38" s="2">
        <v>554158956.75999999</v>
      </c>
      <c r="AB38" s="1">
        <v>1</v>
      </c>
      <c r="AC38" s="1" t="s">
        <v>26</v>
      </c>
      <c r="AD38" s="1" t="s">
        <v>26</v>
      </c>
      <c r="AE38" s="2">
        <v>1370470715.5899999</v>
      </c>
      <c r="AF38" s="1">
        <v>0.36111255510962997</v>
      </c>
      <c r="AG38" s="1" t="s">
        <v>26</v>
      </c>
      <c r="AH38" s="1" t="s">
        <v>26</v>
      </c>
      <c r="AI38" s="2">
        <v>51155472</v>
      </c>
      <c r="AJ38" s="1">
        <v>1</v>
      </c>
      <c r="AK38" s="1" t="s">
        <v>26</v>
      </c>
      <c r="AL38" s="1" t="s">
        <v>26</v>
      </c>
      <c r="AM38" s="2" t="s">
        <v>26</v>
      </c>
      <c r="AN38" s="1" t="s">
        <v>26</v>
      </c>
      <c r="AO38" s="1" t="s">
        <v>26</v>
      </c>
      <c r="AP38" s="1" t="s">
        <v>26</v>
      </c>
      <c r="AQ38" s="2">
        <v>51155472</v>
      </c>
      <c r="AR38" s="1">
        <v>2.2520508998190001E-2</v>
      </c>
      <c r="AS38" s="1" t="s">
        <v>26</v>
      </c>
      <c r="AT38" s="1" t="s">
        <v>26</v>
      </c>
      <c r="AU38" s="2" t="s">
        <v>26</v>
      </c>
      <c r="AV38" s="1" t="s">
        <v>26</v>
      </c>
      <c r="AW38" s="1" t="s">
        <v>26</v>
      </c>
      <c r="AX38" s="1" t="s">
        <v>26</v>
      </c>
      <c r="AY38" s="2">
        <v>1421626187.5899999</v>
      </c>
      <c r="AZ38" s="1">
        <v>0.22589760518563001</v>
      </c>
      <c r="BA38" s="1" t="s">
        <v>26</v>
      </c>
      <c r="BB38" s="1" t="s">
        <v>26</v>
      </c>
    </row>
    <row r="39" spans="1:54" s="7" customFormat="1">
      <c r="A39" s="3" t="s">
        <v>38</v>
      </c>
      <c r="B39" s="31" t="s">
        <v>43</v>
      </c>
      <c r="C39" s="2">
        <v>8734970.6600000001</v>
      </c>
      <c r="D39" s="1">
        <v>1</v>
      </c>
      <c r="E39" s="1" t="s">
        <v>26</v>
      </c>
      <c r="F39" s="1" t="s">
        <v>26</v>
      </c>
      <c r="G39" s="2">
        <v>222301866.69</v>
      </c>
      <c r="H39" s="1">
        <v>0.45887031548070001</v>
      </c>
      <c r="I39" s="1" t="s">
        <v>26</v>
      </c>
      <c r="J39" s="1" t="s">
        <v>26</v>
      </c>
      <c r="K39" s="2">
        <v>50977400.32</v>
      </c>
      <c r="L39" s="1">
        <v>1</v>
      </c>
      <c r="M39" s="1" t="s">
        <v>26</v>
      </c>
      <c r="N39" s="1" t="s">
        <v>26</v>
      </c>
      <c r="O39" s="2">
        <v>1135567499.54</v>
      </c>
      <c r="P39" s="1">
        <v>0.67204220855164998</v>
      </c>
      <c r="Q39" s="1" t="s">
        <v>26</v>
      </c>
      <c r="R39" s="1" t="s">
        <v>26</v>
      </c>
      <c r="S39" s="2">
        <v>1007082045.29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2424663782.5</v>
      </c>
      <c r="AF39" s="1">
        <v>0.63888744489036997</v>
      </c>
      <c r="AG39" s="1" t="s">
        <v>26</v>
      </c>
      <c r="AH39" s="1" t="s">
        <v>26</v>
      </c>
      <c r="AI39" s="2" t="s">
        <v>26</v>
      </c>
      <c r="AJ39" s="1" t="s">
        <v>26</v>
      </c>
      <c r="AK39" s="1" t="s">
        <v>26</v>
      </c>
      <c r="AL39" s="1" t="s">
        <v>26</v>
      </c>
      <c r="AM39" s="2">
        <v>2220350558.5300002</v>
      </c>
      <c r="AN39" s="1">
        <v>1</v>
      </c>
      <c r="AO39" s="1" t="s">
        <v>26</v>
      </c>
      <c r="AP39" s="1" t="s">
        <v>26</v>
      </c>
      <c r="AQ39" s="2">
        <v>2220350558.5300002</v>
      </c>
      <c r="AR39" s="1">
        <v>0.97747949100180997</v>
      </c>
      <c r="AS39" s="1" t="s">
        <v>26</v>
      </c>
      <c r="AT39" s="1" t="s">
        <v>26</v>
      </c>
      <c r="AU39" s="2">
        <v>226592135.00999999</v>
      </c>
      <c r="AV39" s="1">
        <v>1</v>
      </c>
      <c r="AW39" s="1" t="s">
        <v>26</v>
      </c>
      <c r="AX39" s="1" t="s">
        <v>26</v>
      </c>
      <c r="AY39" s="2">
        <v>4871606476.04</v>
      </c>
      <c r="AZ39" s="1">
        <v>0.77410239481437004</v>
      </c>
      <c r="BA39" s="1" t="s">
        <v>26</v>
      </c>
      <c r="BB39" s="1" t="s">
        <v>26</v>
      </c>
    </row>
    <row r="40" spans="1:54" s="7" customFormat="1">
      <c r="A40" s="5" t="s">
        <v>50</v>
      </c>
      <c r="B40" s="24" t="s">
        <v>25</v>
      </c>
      <c r="C40" s="10" t="s">
        <v>26</v>
      </c>
      <c r="D40" s="11" t="s">
        <v>26</v>
      </c>
      <c r="E40" s="11" t="s">
        <v>26</v>
      </c>
      <c r="F40" s="11" t="s">
        <v>26</v>
      </c>
      <c r="G40" s="10" t="s">
        <v>26</v>
      </c>
      <c r="H40" s="11" t="s">
        <v>26</v>
      </c>
      <c r="I40" s="11" t="s">
        <v>26</v>
      </c>
      <c r="J40" s="11" t="s">
        <v>26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102324996.16</v>
      </c>
      <c r="P40" s="11">
        <v>4.9154975154999995E-4</v>
      </c>
      <c r="Q40" s="11">
        <v>0.13500000000000001</v>
      </c>
      <c r="R40" s="11">
        <v>0.13450000000000001</v>
      </c>
      <c r="S40" s="10">
        <v>48409271.969999999</v>
      </c>
      <c r="T40" s="11">
        <v>4.6382152623999998E-4</v>
      </c>
      <c r="U40" s="11">
        <v>0.13500000000000001</v>
      </c>
      <c r="V40" s="11">
        <v>0.13450000000000001</v>
      </c>
      <c r="W40" s="10" t="s">
        <v>26</v>
      </c>
      <c r="X40" s="11" t="s">
        <v>26</v>
      </c>
      <c r="Y40" s="11" t="s">
        <v>26</v>
      </c>
      <c r="Z40" s="11" t="s">
        <v>26</v>
      </c>
      <c r="AA40" s="10" t="s">
        <v>26</v>
      </c>
      <c r="AB40" s="11" t="s">
        <v>26</v>
      </c>
      <c r="AC40" s="11" t="s">
        <v>26</v>
      </c>
      <c r="AD40" s="11" t="s">
        <v>26</v>
      </c>
      <c r="AE40" s="10">
        <v>150734268.13</v>
      </c>
      <c r="AF40" s="11">
        <v>2.5360170448E-4</v>
      </c>
      <c r="AG40" s="11">
        <v>0.13500000000000001</v>
      </c>
      <c r="AH40" s="11">
        <v>0.13469999999999999</v>
      </c>
      <c r="AI40" s="10">
        <v>77581830.079999998</v>
      </c>
      <c r="AJ40" s="11">
        <v>4.8164586806E-3</v>
      </c>
      <c r="AK40" s="11">
        <v>0.13500000000000001</v>
      </c>
      <c r="AL40" s="11">
        <v>0.13020000000000001</v>
      </c>
      <c r="AM40" s="10" t="s">
        <v>26</v>
      </c>
      <c r="AN40" s="11" t="s">
        <v>26</v>
      </c>
      <c r="AO40" s="11" t="s">
        <v>26</v>
      </c>
      <c r="AP40" s="11" t="s">
        <v>26</v>
      </c>
      <c r="AQ40" s="10">
        <v>77581830.079999998</v>
      </c>
      <c r="AR40" s="11">
        <v>1.9714461888499998E-3</v>
      </c>
      <c r="AS40" s="11">
        <v>0.13500000000000001</v>
      </c>
      <c r="AT40" s="11">
        <v>0.13300000000000001</v>
      </c>
      <c r="AU40" s="10">
        <v>52464147.270000003</v>
      </c>
      <c r="AV40" s="11">
        <v>1.25677104305E-3</v>
      </c>
      <c r="AW40" s="11">
        <v>0.13500000000000001</v>
      </c>
      <c r="AX40" s="11">
        <v>0.13370000000000001</v>
      </c>
      <c r="AY40" s="10">
        <v>280780245.48000002</v>
      </c>
      <c r="AZ40" s="11">
        <v>4.1568008092000001E-4</v>
      </c>
      <c r="BA40" s="11">
        <v>0.13500000000000001</v>
      </c>
      <c r="BB40" s="11">
        <v>0.1346</v>
      </c>
    </row>
    <row r="41" spans="1:54" s="7" customFormat="1">
      <c r="A41" s="3" t="s">
        <v>38</v>
      </c>
      <c r="B41" s="31" t="s">
        <v>43</v>
      </c>
      <c r="C41" s="2" t="s">
        <v>26</v>
      </c>
      <c r="D41" s="1" t="s">
        <v>26</v>
      </c>
      <c r="E41" s="1" t="s">
        <v>26</v>
      </c>
      <c r="F41" s="1" t="s">
        <v>26</v>
      </c>
      <c r="G41" s="2" t="s">
        <v>26</v>
      </c>
      <c r="H41" s="1" t="s">
        <v>26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102324996.16</v>
      </c>
      <c r="P41" s="1">
        <v>1</v>
      </c>
      <c r="Q41" s="1" t="s">
        <v>26</v>
      </c>
      <c r="R41" s="1" t="s">
        <v>26</v>
      </c>
      <c r="S41" s="2">
        <v>48409271.969999999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 t="s">
        <v>26</v>
      </c>
      <c r="AB41" s="1" t="s">
        <v>26</v>
      </c>
      <c r="AC41" s="1" t="s">
        <v>26</v>
      </c>
      <c r="AD41" s="1" t="s">
        <v>26</v>
      </c>
      <c r="AE41" s="2">
        <v>150734268.13</v>
      </c>
      <c r="AF41" s="1">
        <v>1</v>
      </c>
      <c r="AG41" s="1" t="s">
        <v>26</v>
      </c>
      <c r="AH41" s="1" t="s">
        <v>26</v>
      </c>
      <c r="AI41" s="2">
        <v>77581830.079999998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77581830.079999998</v>
      </c>
      <c r="AR41" s="1">
        <v>1</v>
      </c>
      <c r="AS41" s="1" t="s">
        <v>26</v>
      </c>
      <c r="AT41" s="1" t="s">
        <v>26</v>
      </c>
      <c r="AU41" s="2">
        <v>52464147.270000003</v>
      </c>
      <c r="AV41" s="1">
        <v>1</v>
      </c>
      <c r="AW41" s="1" t="s">
        <v>26</v>
      </c>
      <c r="AX41" s="1" t="s">
        <v>26</v>
      </c>
      <c r="AY41" s="2">
        <v>280780245.48000002</v>
      </c>
      <c r="AZ41" s="1">
        <v>1</v>
      </c>
      <c r="BA41" s="1" t="s">
        <v>26</v>
      </c>
      <c r="BB41" s="1" t="s">
        <v>26</v>
      </c>
    </row>
    <row r="42" spans="1:54" s="7" customFormat="1">
      <c r="A42" s="5" t="s">
        <v>51</v>
      </c>
      <c r="B42" s="24" t="s">
        <v>25</v>
      </c>
      <c r="C42" s="10">
        <v>24635682.789999999</v>
      </c>
      <c r="D42" s="11">
        <v>4.5006773954800001E-3</v>
      </c>
      <c r="E42" s="11">
        <v>0.13500000000000001</v>
      </c>
      <c r="F42" s="11">
        <v>0.1305</v>
      </c>
      <c r="G42" s="10">
        <v>2703630900</v>
      </c>
      <c r="H42" s="11">
        <v>1.9368856640709999E-2</v>
      </c>
      <c r="I42" s="11">
        <v>0.13500000000000001</v>
      </c>
      <c r="J42" s="11">
        <v>0.11559999999999999</v>
      </c>
      <c r="K42" s="10" t="s">
        <v>26</v>
      </c>
      <c r="L42" s="11" t="s">
        <v>26</v>
      </c>
      <c r="M42" s="11" t="s">
        <v>26</v>
      </c>
      <c r="N42" s="11" t="s">
        <v>26</v>
      </c>
      <c r="O42" s="10">
        <v>4868282188.2399998</v>
      </c>
      <c r="P42" s="11">
        <v>2.338629845993E-2</v>
      </c>
      <c r="Q42" s="11">
        <v>0.05</v>
      </c>
      <c r="R42" s="11">
        <v>2.6599999999999999E-2</v>
      </c>
      <c r="S42" s="10">
        <v>7620470700.7600002</v>
      </c>
      <c r="T42" s="11">
        <v>7.3013664681189999E-2</v>
      </c>
      <c r="U42" s="11">
        <v>0.1457</v>
      </c>
      <c r="V42" s="11">
        <v>7.2700000000000001E-2</v>
      </c>
      <c r="W42" s="10">
        <v>572990144.88999999</v>
      </c>
      <c r="X42" s="11">
        <v>9.7730372626709999E-2</v>
      </c>
      <c r="Y42" s="11">
        <v>0.15</v>
      </c>
      <c r="Z42" s="11">
        <v>5.2299999999999999E-2</v>
      </c>
      <c r="AA42" s="10">
        <v>3953861161.5</v>
      </c>
      <c r="AB42" s="11">
        <v>3.082420020812E-2</v>
      </c>
      <c r="AC42" s="11">
        <v>0.13500000000000001</v>
      </c>
      <c r="AD42" s="11">
        <v>0.1042</v>
      </c>
      <c r="AE42" s="10">
        <v>19743870778.18</v>
      </c>
      <c r="AF42" s="11">
        <v>3.3217922802020003E-2</v>
      </c>
      <c r="AG42" s="11">
        <v>0.13969999999999999</v>
      </c>
      <c r="AH42" s="11">
        <v>0.1065</v>
      </c>
      <c r="AI42" s="10">
        <v>861511014.10000002</v>
      </c>
      <c r="AJ42" s="11">
        <v>5.3484587796070002E-2</v>
      </c>
      <c r="AK42" s="11">
        <v>0.14580000000000001</v>
      </c>
      <c r="AL42" s="11">
        <v>9.2299999999999993E-2</v>
      </c>
      <c r="AM42" s="10">
        <v>255240490.02000001</v>
      </c>
      <c r="AN42" s="11">
        <v>1.0980399426739999E-2</v>
      </c>
      <c r="AO42" s="11">
        <v>0.15</v>
      </c>
      <c r="AP42" s="11">
        <v>0.13900000000000001</v>
      </c>
      <c r="AQ42" s="10">
        <v>1116751504.1199999</v>
      </c>
      <c r="AR42" s="11">
        <v>2.837797838005E-2</v>
      </c>
      <c r="AS42" s="11">
        <v>0.14680000000000001</v>
      </c>
      <c r="AT42" s="11">
        <v>0.11840000000000001</v>
      </c>
      <c r="AU42" s="10">
        <v>1832278389.0899999</v>
      </c>
      <c r="AV42" s="11">
        <v>4.3891963217489997E-2</v>
      </c>
      <c r="AW42" s="11">
        <v>0.1409</v>
      </c>
      <c r="AX42" s="11">
        <v>9.7000000000000003E-2</v>
      </c>
      <c r="AY42" s="10">
        <v>22692900671.389999</v>
      </c>
      <c r="AZ42" s="11">
        <v>3.3595621270510002E-2</v>
      </c>
      <c r="BA42" s="11">
        <v>0.14019999999999999</v>
      </c>
      <c r="BB42" s="11">
        <v>0.1066</v>
      </c>
    </row>
    <row r="43" spans="1:54" s="7" customFormat="1">
      <c r="A43" s="3" t="s">
        <v>36</v>
      </c>
      <c r="B43" s="31" t="s">
        <v>37</v>
      </c>
      <c r="C43" s="2">
        <v>24635682.789999999</v>
      </c>
      <c r="D43" s="1">
        <v>1</v>
      </c>
      <c r="E43" s="1" t="s">
        <v>26</v>
      </c>
      <c r="F43" s="1" t="s">
        <v>26</v>
      </c>
      <c r="G43" s="2">
        <v>2703630900</v>
      </c>
      <c r="H43" s="1">
        <v>1</v>
      </c>
      <c r="I43" s="1" t="s">
        <v>26</v>
      </c>
      <c r="J43" s="1" t="s">
        <v>26</v>
      </c>
      <c r="K43" s="2" t="s">
        <v>26</v>
      </c>
      <c r="L43" s="1" t="s">
        <v>26</v>
      </c>
      <c r="M43" s="1" t="s">
        <v>26</v>
      </c>
      <c r="N43" s="1" t="s">
        <v>26</v>
      </c>
      <c r="O43" s="2">
        <v>4697239257.0500002</v>
      </c>
      <c r="P43" s="1">
        <v>0.96486585522852997</v>
      </c>
      <c r="Q43" s="1" t="s">
        <v>26</v>
      </c>
      <c r="R43" s="1" t="s">
        <v>26</v>
      </c>
      <c r="S43" s="2">
        <v>2163472778.8299999</v>
      </c>
      <c r="T43" s="1">
        <v>0.28390277501024003</v>
      </c>
      <c r="U43" s="1" t="s">
        <v>26</v>
      </c>
      <c r="V43" s="1" t="s">
        <v>26</v>
      </c>
      <c r="W43" s="2" t="s">
        <v>26</v>
      </c>
      <c r="X43" s="1" t="s">
        <v>26</v>
      </c>
      <c r="Y43" s="1" t="s">
        <v>26</v>
      </c>
      <c r="Z43" s="1" t="s">
        <v>26</v>
      </c>
      <c r="AA43" s="2">
        <v>3953861161.5</v>
      </c>
      <c r="AB43" s="1">
        <v>1</v>
      </c>
      <c r="AC43" s="1" t="s">
        <v>26</v>
      </c>
      <c r="AD43" s="1" t="s">
        <v>26</v>
      </c>
      <c r="AE43" s="2">
        <v>13542839780.17</v>
      </c>
      <c r="AF43" s="1">
        <v>0.68592627718860999</v>
      </c>
      <c r="AG43" s="1" t="s">
        <v>26</v>
      </c>
      <c r="AH43" s="1" t="s">
        <v>26</v>
      </c>
      <c r="AI43" s="2">
        <v>240014369.40000001</v>
      </c>
      <c r="AJ43" s="1">
        <v>0.27859698305857999</v>
      </c>
      <c r="AK43" s="1" t="s">
        <v>26</v>
      </c>
      <c r="AL43" s="1" t="s">
        <v>26</v>
      </c>
      <c r="AM43" s="2" t="s">
        <v>26</v>
      </c>
      <c r="AN43" s="1" t="s">
        <v>26</v>
      </c>
      <c r="AO43" s="1" t="s">
        <v>26</v>
      </c>
      <c r="AP43" s="1" t="s">
        <v>26</v>
      </c>
      <c r="AQ43" s="2">
        <v>240014369.40000001</v>
      </c>
      <c r="AR43" s="1">
        <v>0.21492191281097001</v>
      </c>
      <c r="AS43" s="1" t="s">
        <v>26</v>
      </c>
      <c r="AT43" s="1" t="s">
        <v>26</v>
      </c>
      <c r="AU43" s="2">
        <v>1109708162.8699999</v>
      </c>
      <c r="AV43" s="1">
        <v>0.60564386366043998</v>
      </c>
      <c r="AW43" s="1" t="s">
        <v>26</v>
      </c>
      <c r="AX43" s="1" t="s">
        <v>26</v>
      </c>
      <c r="AY43" s="2">
        <v>14892562312.440001</v>
      </c>
      <c r="AZ43" s="1">
        <v>0.65626525793663004</v>
      </c>
      <c r="BA43" s="1" t="s">
        <v>26</v>
      </c>
      <c r="BB43" s="1" t="s">
        <v>26</v>
      </c>
    </row>
    <row r="44" spans="1:54" s="7" customFormat="1">
      <c r="A44" s="3" t="s">
        <v>38</v>
      </c>
      <c r="B44" s="31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 t="s">
        <v>26</v>
      </c>
      <c r="L44" s="1" t="s">
        <v>26</v>
      </c>
      <c r="M44" s="1" t="s">
        <v>26</v>
      </c>
      <c r="N44" s="1" t="s">
        <v>26</v>
      </c>
      <c r="O44" s="2">
        <v>171042931.19</v>
      </c>
      <c r="P44" s="1">
        <v>3.5134144771469998E-2</v>
      </c>
      <c r="Q44" s="1" t="s">
        <v>26</v>
      </c>
      <c r="R44" s="1" t="s">
        <v>26</v>
      </c>
      <c r="S44" s="2">
        <v>5456997921.9300003</v>
      </c>
      <c r="T44" s="1">
        <v>0.71609722498976003</v>
      </c>
      <c r="U44" s="1" t="s">
        <v>26</v>
      </c>
      <c r="V44" s="1" t="s">
        <v>26</v>
      </c>
      <c r="W44" s="2">
        <v>572990144.88999999</v>
      </c>
      <c r="X44" s="1">
        <v>1</v>
      </c>
      <c r="Y44" s="1" t="s">
        <v>26</v>
      </c>
      <c r="Z44" s="1" t="s">
        <v>26</v>
      </c>
      <c r="AA44" s="2" t="s">
        <v>26</v>
      </c>
      <c r="AB44" s="1" t="s">
        <v>26</v>
      </c>
      <c r="AC44" s="1" t="s">
        <v>26</v>
      </c>
      <c r="AD44" s="1" t="s">
        <v>26</v>
      </c>
      <c r="AE44" s="2">
        <v>6201030998.0100002</v>
      </c>
      <c r="AF44" s="1">
        <v>0.31407372281139001</v>
      </c>
      <c r="AG44" s="1" t="s">
        <v>26</v>
      </c>
      <c r="AH44" s="1" t="s">
        <v>26</v>
      </c>
      <c r="AI44" s="2">
        <v>621496644.70000005</v>
      </c>
      <c r="AJ44" s="1">
        <v>0.72140301694141995</v>
      </c>
      <c r="AK44" s="1" t="s">
        <v>26</v>
      </c>
      <c r="AL44" s="1" t="s">
        <v>26</v>
      </c>
      <c r="AM44" s="2">
        <v>255240490.02000001</v>
      </c>
      <c r="AN44" s="1">
        <v>1</v>
      </c>
      <c r="AO44" s="1" t="s">
        <v>26</v>
      </c>
      <c r="AP44" s="1" t="s">
        <v>26</v>
      </c>
      <c r="AQ44" s="2">
        <v>876737134.72000003</v>
      </c>
      <c r="AR44" s="1">
        <v>0.78507808718903005</v>
      </c>
      <c r="AS44" s="1" t="s">
        <v>26</v>
      </c>
      <c r="AT44" s="1" t="s">
        <v>26</v>
      </c>
      <c r="AU44" s="2">
        <v>722570226.22000003</v>
      </c>
      <c r="AV44" s="1">
        <v>0.39435613633956002</v>
      </c>
      <c r="AW44" s="1" t="s">
        <v>26</v>
      </c>
      <c r="AX44" s="1" t="s">
        <v>26</v>
      </c>
      <c r="AY44" s="2">
        <v>7800338358.9499998</v>
      </c>
      <c r="AZ44" s="1">
        <v>0.34373474206337001</v>
      </c>
      <c r="BA44" s="1" t="s">
        <v>26</v>
      </c>
      <c r="BB44" s="1" t="s">
        <v>26</v>
      </c>
    </row>
    <row r="45" spans="1:54" s="7" customFormat="1">
      <c r="A45" s="5" t="s">
        <v>52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 t="s">
        <v>26</v>
      </c>
      <c r="P45" s="11" t="s">
        <v>26</v>
      </c>
      <c r="Q45" s="11" t="s">
        <v>26</v>
      </c>
      <c r="R45" s="11" t="s">
        <v>26</v>
      </c>
      <c r="S45" s="10" t="s">
        <v>26</v>
      </c>
      <c r="T45" s="11" t="s">
        <v>26</v>
      </c>
      <c r="U45" s="11" t="s">
        <v>26</v>
      </c>
      <c r="V45" s="11" t="s">
        <v>26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>
        <v>180707268.12</v>
      </c>
      <c r="AB45" s="11">
        <v>1.4087892275600001E-3</v>
      </c>
      <c r="AC45" s="11">
        <v>0.15</v>
      </c>
      <c r="AD45" s="11">
        <v>0.14860000000000001</v>
      </c>
      <c r="AE45" s="10">
        <v>180707268.12</v>
      </c>
      <c r="AF45" s="11">
        <v>3.0402954667E-4</v>
      </c>
      <c r="AG45" s="11">
        <v>0.15</v>
      </c>
      <c r="AH45" s="11">
        <v>0.1497</v>
      </c>
      <c r="AI45" s="10" t="s">
        <v>26</v>
      </c>
      <c r="AJ45" s="11" t="s">
        <v>26</v>
      </c>
      <c r="AK45" s="11" t="s">
        <v>26</v>
      </c>
      <c r="AL45" s="11" t="s">
        <v>26</v>
      </c>
      <c r="AM45" s="10">
        <v>119371304.59</v>
      </c>
      <c r="AN45" s="11">
        <v>5.1353317978100003E-3</v>
      </c>
      <c r="AO45" s="11">
        <v>0.15</v>
      </c>
      <c r="AP45" s="11">
        <v>0.1449</v>
      </c>
      <c r="AQ45" s="10">
        <v>119371304.59</v>
      </c>
      <c r="AR45" s="11">
        <v>3.0333662308500002E-3</v>
      </c>
      <c r="AS45" s="11">
        <v>0.15</v>
      </c>
      <c r="AT45" s="11">
        <v>0.14699999999999999</v>
      </c>
      <c r="AU45" s="10" t="s">
        <v>26</v>
      </c>
      <c r="AV45" s="11" t="s">
        <v>26</v>
      </c>
      <c r="AW45" s="11" t="s">
        <v>26</v>
      </c>
      <c r="AX45" s="11" t="s">
        <v>26</v>
      </c>
      <c r="AY45" s="10">
        <v>300078572.70999998</v>
      </c>
      <c r="AZ45" s="11">
        <v>4.4425021842999998E-4</v>
      </c>
      <c r="BA45" s="11">
        <v>0.15</v>
      </c>
      <c r="BB45" s="11">
        <v>0.14960000000000001</v>
      </c>
    </row>
    <row r="46" spans="1:54" s="7" customFormat="1">
      <c r="A46" s="3" t="s">
        <v>38</v>
      </c>
      <c r="B46" s="31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 t="s">
        <v>26</v>
      </c>
      <c r="P46" s="1" t="s">
        <v>26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>
        <v>180707268.12</v>
      </c>
      <c r="AB46" s="1">
        <v>1</v>
      </c>
      <c r="AC46" s="1" t="s">
        <v>26</v>
      </c>
      <c r="AD46" s="1" t="s">
        <v>26</v>
      </c>
      <c r="AE46" s="2">
        <v>180707268.12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>
        <v>119371304.59</v>
      </c>
      <c r="AN46" s="1">
        <v>1</v>
      </c>
      <c r="AO46" s="1" t="s">
        <v>26</v>
      </c>
      <c r="AP46" s="1" t="s">
        <v>26</v>
      </c>
      <c r="AQ46" s="2">
        <v>119371304.59</v>
      </c>
      <c r="AR46" s="1">
        <v>1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300078572.70999998</v>
      </c>
      <c r="AZ46" s="1">
        <v>1</v>
      </c>
      <c r="BA46" s="1" t="s">
        <v>26</v>
      </c>
      <c r="BB46" s="1" t="s">
        <v>26</v>
      </c>
    </row>
    <row r="47" spans="1:54" s="7" customFormat="1">
      <c r="A47" s="5" t="s">
        <v>53</v>
      </c>
      <c r="B47" s="24" t="s">
        <v>25</v>
      </c>
      <c r="C47" s="10" t="s">
        <v>26</v>
      </c>
      <c r="D47" s="11" t="s">
        <v>26</v>
      </c>
      <c r="E47" s="11" t="s">
        <v>26</v>
      </c>
      <c r="F47" s="11" t="s">
        <v>26</v>
      </c>
      <c r="G47" s="10" t="s">
        <v>26</v>
      </c>
      <c r="H47" s="11" t="s">
        <v>26</v>
      </c>
      <c r="I47" s="11" t="s">
        <v>26</v>
      </c>
      <c r="J47" s="11" t="s">
        <v>26</v>
      </c>
      <c r="K47" s="10" t="s">
        <v>26</v>
      </c>
      <c r="L47" s="11" t="s">
        <v>26</v>
      </c>
      <c r="M47" s="11" t="s">
        <v>26</v>
      </c>
      <c r="N47" s="11" t="s">
        <v>26</v>
      </c>
      <c r="O47" s="10">
        <v>2266927036.2399998</v>
      </c>
      <c r="P47" s="11">
        <v>1.0889884810800001E-2</v>
      </c>
      <c r="Q47" s="11">
        <v>0.15</v>
      </c>
      <c r="R47" s="11">
        <v>0.1391</v>
      </c>
      <c r="S47" s="10">
        <v>700316021.03999996</v>
      </c>
      <c r="T47" s="11">
        <v>6.7099056133100004E-3</v>
      </c>
      <c r="U47" s="11">
        <v>0.15</v>
      </c>
      <c r="V47" s="11">
        <v>0.14330000000000001</v>
      </c>
      <c r="W47" s="10" t="s">
        <v>26</v>
      </c>
      <c r="X47" s="11" t="s">
        <v>26</v>
      </c>
      <c r="Y47" s="11" t="s">
        <v>26</v>
      </c>
      <c r="Z47" s="11" t="s">
        <v>26</v>
      </c>
      <c r="AA47" s="10" t="s">
        <v>26</v>
      </c>
      <c r="AB47" s="11" t="s">
        <v>26</v>
      </c>
      <c r="AC47" s="11" t="s">
        <v>26</v>
      </c>
      <c r="AD47" s="11" t="s">
        <v>26</v>
      </c>
      <c r="AE47" s="10">
        <v>2967243057.2800002</v>
      </c>
      <c r="AF47" s="11">
        <v>4.9922151496500002E-3</v>
      </c>
      <c r="AG47" s="11">
        <v>0.15</v>
      </c>
      <c r="AH47" s="11">
        <v>0.14499999999999999</v>
      </c>
      <c r="AI47" s="10">
        <v>112366034.98999999</v>
      </c>
      <c r="AJ47" s="11">
        <v>6.9759422286600004E-3</v>
      </c>
      <c r="AK47" s="11">
        <v>0.15</v>
      </c>
      <c r="AL47" s="11">
        <v>0.14299999999999999</v>
      </c>
      <c r="AM47" s="10" t="s">
        <v>26</v>
      </c>
      <c r="AN47" s="11" t="s">
        <v>26</v>
      </c>
      <c r="AO47" s="11" t="s">
        <v>26</v>
      </c>
      <c r="AP47" s="11" t="s">
        <v>26</v>
      </c>
      <c r="AQ47" s="10">
        <v>112366034.98999999</v>
      </c>
      <c r="AR47" s="11">
        <v>2.8553540333999998E-3</v>
      </c>
      <c r="AS47" s="11">
        <v>0.15</v>
      </c>
      <c r="AT47" s="11">
        <v>0.14710000000000001</v>
      </c>
      <c r="AU47" s="10" t="s">
        <v>26</v>
      </c>
      <c r="AV47" s="11" t="s">
        <v>26</v>
      </c>
      <c r="AW47" s="11" t="s">
        <v>26</v>
      </c>
      <c r="AX47" s="11" t="s">
        <v>26</v>
      </c>
      <c r="AY47" s="10">
        <v>3079609092.27</v>
      </c>
      <c r="AZ47" s="11">
        <v>4.5591959451699998E-3</v>
      </c>
      <c r="BA47" s="11">
        <v>0.15</v>
      </c>
      <c r="BB47" s="11">
        <v>0.1454</v>
      </c>
    </row>
    <row r="48" spans="1:54" s="7" customFormat="1">
      <c r="A48" s="3" t="s">
        <v>38</v>
      </c>
      <c r="B48" s="31" t="s">
        <v>39</v>
      </c>
      <c r="C48" s="2" t="s">
        <v>26</v>
      </c>
      <c r="D48" s="1" t="s">
        <v>26</v>
      </c>
      <c r="E48" s="1" t="s">
        <v>26</v>
      </c>
      <c r="F48" s="1" t="s">
        <v>26</v>
      </c>
      <c r="G48" s="2" t="s">
        <v>26</v>
      </c>
      <c r="H48" s="1" t="s">
        <v>26</v>
      </c>
      <c r="I48" s="1" t="s">
        <v>26</v>
      </c>
      <c r="J48" s="1" t="s">
        <v>26</v>
      </c>
      <c r="K48" s="2" t="s">
        <v>26</v>
      </c>
      <c r="L48" s="1" t="s">
        <v>26</v>
      </c>
      <c r="M48" s="1" t="s">
        <v>26</v>
      </c>
      <c r="N48" s="1" t="s">
        <v>26</v>
      </c>
      <c r="O48" s="2">
        <v>2266927036.2399998</v>
      </c>
      <c r="P48" s="1">
        <v>1</v>
      </c>
      <c r="Q48" s="1" t="s">
        <v>26</v>
      </c>
      <c r="R48" s="1" t="s">
        <v>26</v>
      </c>
      <c r="S48" s="2">
        <v>700316021.03999996</v>
      </c>
      <c r="T48" s="1">
        <v>1</v>
      </c>
      <c r="U48" s="1" t="s">
        <v>26</v>
      </c>
      <c r="V48" s="1" t="s">
        <v>26</v>
      </c>
      <c r="W48" s="2" t="s">
        <v>26</v>
      </c>
      <c r="X48" s="1" t="s">
        <v>26</v>
      </c>
      <c r="Y48" s="1" t="s">
        <v>26</v>
      </c>
      <c r="Z48" s="1" t="s">
        <v>26</v>
      </c>
      <c r="AA48" s="2" t="s">
        <v>26</v>
      </c>
      <c r="AB48" s="1" t="s">
        <v>26</v>
      </c>
      <c r="AC48" s="1" t="s">
        <v>26</v>
      </c>
      <c r="AD48" s="1" t="s">
        <v>26</v>
      </c>
      <c r="AE48" s="2">
        <v>2967243057.2800002</v>
      </c>
      <c r="AF48" s="1">
        <v>1</v>
      </c>
      <c r="AG48" s="1" t="s">
        <v>26</v>
      </c>
      <c r="AH48" s="1" t="s">
        <v>26</v>
      </c>
      <c r="AI48" s="2">
        <v>112366034.98999999</v>
      </c>
      <c r="AJ48" s="1">
        <v>1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>
        <v>112366034.98999999</v>
      </c>
      <c r="AR48" s="1">
        <v>1</v>
      </c>
      <c r="AS48" s="1" t="s">
        <v>26</v>
      </c>
      <c r="AT48" s="1" t="s">
        <v>26</v>
      </c>
      <c r="AU48" s="2" t="s">
        <v>26</v>
      </c>
      <c r="AV48" s="1" t="s">
        <v>26</v>
      </c>
      <c r="AW48" s="1" t="s">
        <v>26</v>
      </c>
      <c r="AX48" s="1" t="s">
        <v>26</v>
      </c>
      <c r="AY48" s="2">
        <v>3079609092.27</v>
      </c>
      <c r="AZ48" s="1">
        <v>1</v>
      </c>
      <c r="BA48" s="1" t="s">
        <v>26</v>
      </c>
      <c r="BB48" s="1" t="s">
        <v>26</v>
      </c>
    </row>
    <row r="49" spans="1:54" s="7" customFormat="1">
      <c r="A49" s="5" t="s">
        <v>110</v>
      </c>
      <c r="B49" s="24" t="s">
        <v>25</v>
      </c>
      <c r="C49" s="10" t="s">
        <v>26</v>
      </c>
      <c r="D49" s="11" t="s">
        <v>26</v>
      </c>
      <c r="E49" s="11" t="s">
        <v>26</v>
      </c>
      <c r="F49" s="11" t="s">
        <v>26</v>
      </c>
      <c r="G49" s="10">
        <v>46627833.689999998</v>
      </c>
      <c r="H49" s="11">
        <v>3.3404257444999999E-4</v>
      </c>
      <c r="I49" s="11">
        <v>0.05</v>
      </c>
      <c r="J49" s="11">
        <v>4.9700000000000001E-2</v>
      </c>
      <c r="K49" s="10" t="s">
        <v>26</v>
      </c>
      <c r="L49" s="11" t="s">
        <v>26</v>
      </c>
      <c r="M49" s="11" t="s">
        <v>26</v>
      </c>
      <c r="N49" s="11" t="s">
        <v>26</v>
      </c>
      <c r="O49" s="10" t="s">
        <v>26</v>
      </c>
      <c r="P49" s="11" t="s">
        <v>26</v>
      </c>
      <c r="Q49" s="11" t="s">
        <v>26</v>
      </c>
      <c r="R49" s="11" t="s">
        <v>26</v>
      </c>
      <c r="S49" s="10" t="s">
        <v>26</v>
      </c>
      <c r="T49" s="11" t="s">
        <v>26</v>
      </c>
      <c r="U49" s="11" t="s">
        <v>26</v>
      </c>
      <c r="V49" s="11" t="s">
        <v>26</v>
      </c>
      <c r="W49" s="10" t="s">
        <v>26</v>
      </c>
      <c r="X49" s="11" t="s">
        <v>26</v>
      </c>
      <c r="Y49" s="11" t="s">
        <v>26</v>
      </c>
      <c r="Z49" s="11" t="s">
        <v>26</v>
      </c>
      <c r="AA49" s="10" t="s">
        <v>26</v>
      </c>
      <c r="AB49" s="11" t="s">
        <v>26</v>
      </c>
      <c r="AC49" s="11" t="s">
        <v>26</v>
      </c>
      <c r="AD49" s="11" t="s">
        <v>26</v>
      </c>
      <c r="AE49" s="10">
        <v>46627833.689999998</v>
      </c>
      <c r="AF49" s="11">
        <v>7.8448638430000006E-5</v>
      </c>
      <c r="AG49" s="11">
        <v>0.15</v>
      </c>
      <c r="AH49" s="11">
        <v>0.14990000000000001</v>
      </c>
      <c r="AI49" s="10" t="s">
        <v>26</v>
      </c>
      <c r="AJ49" s="11" t="s">
        <v>26</v>
      </c>
      <c r="AK49" s="11" t="s">
        <v>26</v>
      </c>
      <c r="AL49" s="11" t="s">
        <v>26</v>
      </c>
      <c r="AM49" s="10" t="s">
        <v>26</v>
      </c>
      <c r="AN49" s="11" t="s">
        <v>26</v>
      </c>
      <c r="AO49" s="11" t="s">
        <v>26</v>
      </c>
      <c r="AP49" s="11" t="s">
        <v>26</v>
      </c>
      <c r="AQ49" s="10" t="s">
        <v>26</v>
      </c>
      <c r="AR49" s="11" t="s">
        <v>26</v>
      </c>
      <c r="AS49" s="11" t="s">
        <v>26</v>
      </c>
      <c r="AT49" s="11" t="s">
        <v>26</v>
      </c>
      <c r="AU49" s="10" t="s">
        <v>26</v>
      </c>
      <c r="AV49" s="11" t="s">
        <v>26</v>
      </c>
      <c r="AW49" s="11" t="s">
        <v>26</v>
      </c>
      <c r="AX49" s="11" t="s">
        <v>26</v>
      </c>
      <c r="AY49" s="10">
        <v>46627833.689999998</v>
      </c>
      <c r="AZ49" s="11">
        <v>6.9030004760000006E-5</v>
      </c>
      <c r="BA49" s="11">
        <v>0.15</v>
      </c>
      <c r="BB49" s="11">
        <v>0.14990000000000001</v>
      </c>
    </row>
    <row r="50" spans="1:54" s="8" customFormat="1">
      <c r="A50" s="3" t="s">
        <v>38</v>
      </c>
      <c r="B50" s="31" t="s">
        <v>39</v>
      </c>
      <c r="C50" s="2" t="s">
        <v>26</v>
      </c>
      <c r="D50" s="1" t="s">
        <v>26</v>
      </c>
      <c r="E50" s="1" t="s">
        <v>26</v>
      </c>
      <c r="F50" s="1" t="s">
        <v>26</v>
      </c>
      <c r="G50" s="2">
        <v>46627833.689999998</v>
      </c>
      <c r="H50" s="1">
        <v>1</v>
      </c>
      <c r="I50" s="1" t="s">
        <v>26</v>
      </c>
      <c r="J50" s="1" t="s">
        <v>26</v>
      </c>
      <c r="K50" s="2" t="s">
        <v>26</v>
      </c>
      <c r="L50" s="1" t="s">
        <v>26</v>
      </c>
      <c r="M50" s="1" t="s">
        <v>26</v>
      </c>
      <c r="N50" s="1" t="s">
        <v>26</v>
      </c>
      <c r="O50" s="2" t="s">
        <v>26</v>
      </c>
      <c r="P50" s="1" t="s">
        <v>26</v>
      </c>
      <c r="Q50" s="1" t="s">
        <v>26</v>
      </c>
      <c r="R50" s="1" t="s">
        <v>26</v>
      </c>
      <c r="S50" s="2" t="s">
        <v>26</v>
      </c>
      <c r="T50" s="1" t="s">
        <v>26</v>
      </c>
      <c r="U50" s="1" t="s">
        <v>26</v>
      </c>
      <c r="V50" s="1" t="s">
        <v>26</v>
      </c>
      <c r="W50" s="2" t="s">
        <v>26</v>
      </c>
      <c r="X50" s="1" t="s">
        <v>26</v>
      </c>
      <c r="Y50" s="1" t="s">
        <v>26</v>
      </c>
      <c r="Z50" s="1" t="s">
        <v>26</v>
      </c>
      <c r="AA50" s="2" t="s">
        <v>26</v>
      </c>
      <c r="AB50" s="1" t="s">
        <v>26</v>
      </c>
      <c r="AC50" s="1" t="s">
        <v>26</v>
      </c>
      <c r="AD50" s="1" t="s">
        <v>26</v>
      </c>
      <c r="AE50" s="2">
        <v>46627833.689999998</v>
      </c>
      <c r="AF50" s="1">
        <v>1</v>
      </c>
      <c r="AG50" s="1" t="s">
        <v>26</v>
      </c>
      <c r="AH50" s="1" t="s">
        <v>26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2" t="s">
        <v>26</v>
      </c>
      <c r="AV50" s="1" t="s">
        <v>26</v>
      </c>
      <c r="AW50" s="1" t="s">
        <v>26</v>
      </c>
      <c r="AX50" s="1" t="s">
        <v>26</v>
      </c>
      <c r="AY50" s="2">
        <v>46627833.689999998</v>
      </c>
      <c r="AZ50" s="1">
        <v>1</v>
      </c>
      <c r="BA50" s="1" t="s">
        <v>26</v>
      </c>
      <c r="BB50" s="1" t="s">
        <v>26</v>
      </c>
    </row>
    <row r="51" spans="1:54" s="8" customFormat="1">
      <c r="A51" s="13" t="s">
        <v>54</v>
      </c>
      <c r="B51" s="25" t="s">
        <v>25</v>
      </c>
      <c r="C51" s="55">
        <v>72974299.819999993</v>
      </c>
      <c r="D51" s="56">
        <v>1.3331628940450001E-2</v>
      </c>
      <c r="E51" s="56" t="s">
        <v>26</v>
      </c>
      <c r="F51" s="56" t="s">
        <v>26</v>
      </c>
      <c r="G51" s="55">
        <v>503493196.05000001</v>
      </c>
      <c r="H51" s="56">
        <v>3.6070336131600001E-3</v>
      </c>
      <c r="I51" s="56" t="s">
        <v>26</v>
      </c>
      <c r="J51" s="56" t="s">
        <v>26</v>
      </c>
      <c r="K51" s="55">
        <v>96724229.420000002</v>
      </c>
      <c r="L51" s="56">
        <v>3.662613100039E-2</v>
      </c>
      <c r="M51" s="56" t="s">
        <v>26</v>
      </c>
      <c r="N51" s="56" t="s">
        <v>26</v>
      </c>
      <c r="O51" s="55">
        <v>3674879362.6900001</v>
      </c>
      <c r="P51" s="56">
        <v>1.7653419061799999E-2</v>
      </c>
      <c r="Q51" s="56" t="s">
        <v>26</v>
      </c>
      <c r="R51" s="56" t="s">
        <v>26</v>
      </c>
      <c r="S51" s="55">
        <v>1982944755.51</v>
      </c>
      <c r="T51" s="56">
        <v>1.8999097187749999E-2</v>
      </c>
      <c r="U51" s="56" t="s">
        <v>26</v>
      </c>
      <c r="V51" s="56" t="s">
        <v>26</v>
      </c>
      <c r="W51" s="55">
        <v>115771736.56999999</v>
      </c>
      <c r="X51" s="56">
        <v>1.9746264496049999E-2</v>
      </c>
      <c r="Y51" s="56" t="s">
        <v>26</v>
      </c>
      <c r="Z51" s="56" t="s">
        <v>26</v>
      </c>
      <c r="AA51" s="55">
        <v>2564096614.9899998</v>
      </c>
      <c r="AB51" s="56">
        <v>1.9989631447609998E-2</v>
      </c>
      <c r="AC51" s="56" t="s">
        <v>26</v>
      </c>
      <c r="AD51" s="56" t="s">
        <v>26</v>
      </c>
      <c r="AE51" s="55">
        <v>9010884195.0499992</v>
      </c>
      <c r="AF51" s="56">
        <v>1.5160292474149999E-2</v>
      </c>
      <c r="AG51" s="56" t="s">
        <v>26</v>
      </c>
      <c r="AH51" s="56" t="s">
        <v>26</v>
      </c>
      <c r="AI51" s="55">
        <v>203432328.72</v>
      </c>
      <c r="AJ51" s="56">
        <v>1.262954746707E-2</v>
      </c>
      <c r="AK51" s="56" t="s">
        <v>26</v>
      </c>
      <c r="AL51" s="56" t="s">
        <v>26</v>
      </c>
      <c r="AM51" s="55">
        <v>230251224.91999999</v>
      </c>
      <c r="AN51" s="56">
        <v>9.9053657902000002E-3</v>
      </c>
      <c r="AO51" s="56" t="s">
        <v>26</v>
      </c>
      <c r="AP51" s="56" t="s">
        <v>26</v>
      </c>
      <c r="AQ51" s="55">
        <v>433683553.63999999</v>
      </c>
      <c r="AR51" s="56">
        <v>1.102041274498E-2</v>
      </c>
      <c r="AS51" s="56" t="s">
        <v>26</v>
      </c>
      <c r="AT51" s="56" t="s">
        <v>26</v>
      </c>
      <c r="AU51" s="55">
        <v>713271402.41999996</v>
      </c>
      <c r="AV51" s="56">
        <v>1.7086313054560001E-2</v>
      </c>
      <c r="AW51" s="56" t="s">
        <v>26</v>
      </c>
      <c r="AX51" s="56" t="s">
        <v>26</v>
      </c>
      <c r="AY51" s="55">
        <v>10157839151.110001</v>
      </c>
      <c r="AZ51" s="56">
        <v>1.5038135582099999E-2</v>
      </c>
      <c r="BA51" s="56" t="s">
        <v>26</v>
      </c>
      <c r="BB51" s="56" t="s">
        <v>26</v>
      </c>
    </row>
    <row r="52" spans="1:54" s="7" customFormat="1">
      <c r="A52" s="3" t="s">
        <v>55</v>
      </c>
      <c r="B52" s="31" t="s">
        <v>25</v>
      </c>
      <c r="C52" s="2">
        <v>35137382.350000001</v>
      </c>
      <c r="D52" s="1">
        <v>6.4192262835600002E-3</v>
      </c>
      <c r="E52" s="1">
        <v>0.12</v>
      </c>
      <c r="F52" s="1">
        <v>0.11360000000000001</v>
      </c>
      <c r="G52" s="2" t="s">
        <v>26</v>
      </c>
      <c r="H52" s="1" t="s">
        <v>26</v>
      </c>
      <c r="I52" s="1" t="s">
        <v>26</v>
      </c>
      <c r="J52" s="1" t="s">
        <v>26</v>
      </c>
      <c r="K52" s="2">
        <v>30117756.300000001</v>
      </c>
      <c r="L52" s="1">
        <v>1.1404555965929999E-2</v>
      </c>
      <c r="M52" s="1">
        <v>0.12</v>
      </c>
      <c r="N52" s="1">
        <v>0.1086</v>
      </c>
      <c r="O52" s="2">
        <v>806151943.63</v>
      </c>
      <c r="P52" s="1">
        <v>3.87260007305E-3</v>
      </c>
      <c r="Q52" s="1">
        <v>0.12</v>
      </c>
      <c r="R52" s="1">
        <v>0.11609999999999999</v>
      </c>
      <c r="S52" s="2">
        <v>301177563</v>
      </c>
      <c r="T52" s="1">
        <v>2.8856587024499998E-3</v>
      </c>
      <c r="U52" s="1">
        <v>0.12</v>
      </c>
      <c r="V52" s="1">
        <v>0.1171</v>
      </c>
      <c r="W52" s="2" t="s">
        <v>26</v>
      </c>
      <c r="X52" s="1" t="s">
        <v>26</v>
      </c>
      <c r="Y52" s="1" t="s">
        <v>26</v>
      </c>
      <c r="Z52" s="1" t="s">
        <v>26</v>
      </c>
      <c r="AA52" s="2">
        <v>883454184.79999995</v>
      </c>
      <c r="AB52" s="1">
        <v>6.8873861662500004E-3</v>
      </c>
      <c r="AC52" s="1">
        <v>0.12</v>
      </c>
      <c r="AD52" s="1">
        <v>0.11310000000000001</v>
      </c>
      <c r="AE52" s="2">
        <v>2056038830.0799999</v>
      </c>
      <c r="AF52" s="1">
        <v>3.4591666397599998E-3</v>
      </c>
      <c r="AG52" s="1">
        <v>0.12</v>
      </c>
      <c r="AH52" s="1">
        <v>0.11650000000000001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>
        <v>200785042</v>
      </c>
      <c r="AV52" s="1">
        <v>4.8097765768300004E-3</v>
      </c>
      <c r="AW52" s="1">
        <v>0.12</v>
      </c>
      <c r="AX52" s="1">
        <v>0.1152</v>
      </c>
      <c r="AY52" s="2">
        <v>2256823872.0799999</v>
      </c>
      <c r="AZ52" s="1">
        <v>3.3411065944599998E-3</v>
      </c>
      <c r="BA52" s="1">
        <v>0.12</v>
      </c>
      <c r="BB52" s="1">
        <v>0.1167</v>
      </c>
    </row>
    <row r="53" spans="1:54" s="7" customFormat="1">
      <c r="A53" s="3" t="s">
        <v>36</v>
      </c>
      <c r="B53" s="31" t="s">
        <v>56</v>
      </c>
      <c r="C53" s="2">
        <v>35137382.350000001</v>
      </c>
      <c r="D53" s="1">
        <v>1</v>
      </c>
      <c r="E53" s="1" t="s">
        <v>26</v>
      </c>
      <c r="F53" s="1" t="s">
        <v>26</v>
      </c>
      <c r="G53" s="2" t="s">
        <v>26</v>
      </c>
      <c r="H53" s="1" t="s">
        <v>26</v>
      </c>
      <c r="I53" s="1" t="s">
        <v>26</v>
      </c>
      <c r="J53" s="1" t="s">
        <v>26</v>
      </c>
      <c r="K53" s="2">
        <v>30117756.300000001</v>
      </c>
      <c r="L53" s="1">
        <v>1</v>
      </c>
      <c r="M53" s="1" t="s">
        <v>26</v>
      </c>
      <c r="N53" s="1" t="s">
        <v>26</v>
      </c>
      <c r="O53" s="2">
        <v>806151943.63</v>
      </c>
      <c r="P53" s="1">
        <v>1</v>
      </c>
      <c r="Q53" s="1" t="s">
        <v>26</v>
      </c>
      <c r="R53" s="1" t="s">
        <v>26</v>
      </c>
      <c r="S53" s="2">
        <v>301177563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883454184.79999995</v>
      </c>
      <c r="AB53" s="1">
        <v>1</v>
      </c>
      <c r="AC53" s="1" t="s">
        <v>26</v>
      </c>
      <c r="AD53" s="1" t="s">
        <v>26</v>
      </c>
      <c r="AE53" s="2">
        <v>2056038830.0799999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>
        <v>200785042</v>
      </c>
      <c r="AV53" s="1">
        <v>1</v>
      </c>
      <c r="AW53" s="1" t="s">
        <v>26</v>
      </c>
      <c r="AX53" s="1" t="s">
        <v>26</v>
      </c>
      <c r="AY53" s="2">
        <v>2256823872.0799999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57</v>
      </c>
      <c r="B54" s="24" t="s">
        <v>25</v>
      </c>
      <c r="C54" s="10">
        <v>32827934.969999999</v>
      </c>
      <c r="D54" s="11">
        <v>5.9973147941199999E-3</v>
      </c>
      <c r="E54" s="11">
        <v>0.09</v>
      </c>
      <c r="F54" s="11">
        <v>8.4000000000000005E-2</v>
      </c>
      <c r="G54" s="10" t="s">
        <v>26</v>
      </c>
      <c r="H54" s="11" t="s">
        <v>26</v>
      </c>
      <c r="I54" s="11" t="s">
        <v>26</v>
      </c>
      <c r="J54" s="11" t="s">
        <v>26</v>
      </c>
      <c r="K54" s="10">
        <v>16284850.119999999</v>
      </c>
      <c r="L54" s="11">
        <v>6.1665113011900004E-3</v>
      </c>
      <c r="M54" s="11">
        <v>0.09</v>
      </c>
      <c r="N54" s="11">
        <v>8.3799999999999999E-2</v>
      </c>
      <c r="O54" s="10">
        <v>379878269.86000001</v>
      </c>
      <c r="P54" s="11">
        <v>1.8248627038999999E-3</v>
      </c>
      <c r="Q54" s="11">
        <v>0.09</v>
      </c>
      <c r="R54" s="11">
        <v>8.8200000000000001E-2</v>
      </c>
      <c r="S54" s="10">
        <v>287553227.37</v>
      </c>
      <c r="T54" s="11">
        <v>2.7551204834499999E-3</v>
      </c>
      <c r="U54" s="11">
        <v>0.09</v>
      </c>
      <c r="V54" s="11">
        <v>8.72E-2</v>
      </c>
      <c r="W54" s="10" t="s">
        <v>26</v>
      </c>
      <c r="X54" s="11" t="s">
        <v>26</v>
      </c>
      <c r="Y54" s="11" t="s">
        <v>26</v>
      </c>
      <c r="Z54" s="11" t="s">
        <v>26</v>
      </c>
      <c r="AA54" s="10">
        <v>103895637.42</v>
      </c>
      <c r="AB54" s="11">
        <v>8.0996772465999995E-4</v>
      </c>
      <c r="AC54" s="11">
        <v>0.09</v>
      </c>
      <c r="AD54" s="11">
        <v>8.9200000000000002E-2</v>
      </c>
      <c r="AE54" s="10">
        <v>820439919.74000001</v>
      </c>
      <c r="AF54" s="11">
        <v>1.3803428022699999E-3</v>
      </c>
      <c r="AG54" s="11">
        <v>0.09</v>
      </c>
      <c r="AH54" s="11">
        <v>8.8599999999999998E-2</v>
      </c>
      <c r="AI54" s="10" t="s">
        <v>26</v>
      </c>
      <c r="AJ54" s="11" t="s">
        <v>26</v>
      </c>
      <c r="AK54" s="11" t="s">
        <v>26</v>
      </c>
      <c r="AL54" s="11" t="s">
        <v>26</v>
      </c>
      <c r="AM54" s="10" t="s">
        <v>26</v>
      </c>
      <c r="AN54" s="11" t="s">
        <v>26</v>
      </c>
      <c r="AO54" s="11" t="s">
        <v>26</v>
      </c>
      <c r="AP54" s="11" t="s">
        <v>26</v>
      </c>
      <c r="AQ54" s="10" t="s">
        <v>26</v>
      </c>
      <c r="AR54" s="11" t="s">
        <v>26</v>
      </c>
      <c r="AS54" s="11" t="s">
        <v>26</v>
      </c>
      <c r="AT54" s="11" t="s">
        <v>26</v>
      </c>
      <c r="AU54" s="10" t="s">
        <v>26</v>
      </c>
      <c r="AV54" s="11" t="s">
        <v>26</v>
      </c>
      <c r="AW54" s="11" t="s">
        <v>26</v>
      </c>
      <c r="AX54" s="11" t="s">
        <v>26</v>
      </c>
      <c r="AY54" s="10">
        <v>820439919.74000001</v>
      </c>
      <c r="AZ54" s="11">
        <v>1.2146172592899999E-3</v>
      </c>
      <c r="BA54" s="11">
        <v>0.09</v>
      </c>
      <c r="BB54" s="11">
        <v>8.8800000000000004E-2</v>
      </c>
    </row>
    <row r="55" spans="1:54" s="7" customFormat="1">
      <c r="A55" s="3" t="s">
        <v>36</v>
      </c>
      <c r="B55" s="31" t="s">
        <v>46</v>
      </c>
      <c r="C55" s="2">
        <v>32827934.969999999</v>
      </c>
      <c r="D55" s="1">
        <v>1</v>
      </c>
      <c r="E55" s="1" t="s">
        <v>26</v>
      </c>
      <c r="F55" s="1" t="s">
        <v>26</v>
      </c>
      <c r="G55" s="2" t="s">
        <v>26</v>
      </c>
      <c r="H55" s="1" t="s">
        <v>26</v>
      </c>
      <c r="I55" s="1" t="s">
        <v>26</v>
      </c>
      <c r="J55" s="1" t="s">
        <v>26</v>
      </c>
      <c r="K55" s="2">
        <v>16284850.119999999</v>
      </c>
      <c r="L55" s="1">
        <v>1</v>
      </c>
      <c r="M55" s="1" t="s">
        <v>26</v>
      </c>
      <c r="N55" s="1" t="s">
        <v>26</v>
      </c>
      <c r="O55" s="2">
        <v>379878269.86000001</v>
      </c>
      <c r="P55" s="1">
        <v>1</v>
      </c>
      <c r="Q55" s="1" t="s">
        <v>26</v>
      </c>
      <c r="R55" s="1" t="s">
        <v>26</v>
      </c>
      <c r="S55" s="2">
        <v>287553227.37</v>
      </c>
      <c r="T55" s="1">
        <v>1</v>
      </c>
      <c r="U55" s="1" t="s">
        <v>26</v>
      </c>
      <c r="V55" s="1" t="s">
        <v>26</v>
      </c>
      <c r="W55" s="2" t="s">
        <v>26</v>
      </c>
      <c r="X55" s="1" t="s">
        <v>26</v>
      </c>
      <c r="Y55" s="1" t="s">
        <v>26</v>
      </c>
      <c r="Z55" s="1" t="s">
        <v>26</v>
      </c>
      <c r="AA55" s="2">
        <v>103895637.42</v>
      </c>
      <c r="AB55" s="1">
        <v>1</v>
      </c>
      <c r="AC55" s="1" t="s">
        <v>26</v>
      </c>
      <c r="AD55" s="1" t="s">
        <v>26</v>
      </c>
      <c r="AE55" s="2">
        <v>820439919.74000001</v>
      </c>
      <c r="AF55" s="1">
        <v>1</v>
      </c>
      <c r="AG55" s="1" t="s">
        <v>26</v>
      </c>
      <c r="AH55" s="1" t="s">
        <v>26</v>
      </c>
      <c r="AI55" s="2" t="s">
        <v>26</v>
      </c>
      <c r="AJ55" s="1" t="s">
        <v>26</v>
      </c>
      <c r="AK55" s="1" t="s">
        <v>26</v>
      </c>
      <c r="AL55" s="1" t="s">
        <v>26</v>
      </c>
      <c r="AM55" s="2" t="s">
        <v>26</v>
      </c>
      <c r="AN55" s="1" t="s">
        <v>26</v>
      </c>
      <c r="AO55" s="1" t="s">
        <v>26</v>
      </c>
      <c r="AP55" s="1" t="s">
        <v>26</v>
      </c>
      <c r="AQ55" s="2" t="s">
        <v>26</v>
      </c>
      <c r="AR55" s="1" t="s">
        <v>26</v>
      </c>
      <c r="AS55" s="1" t="s">
        <v>26</v>
      </c>
      <c r="AT55" s="1" t="s">
        <v>26</v>
      </c>
      <c r="AU55" s="2" t="s">
        <v>26</v>
      </c>
      <c r="AV55" s="1" t="s">
        <v>26</v>
      </c>
      <c r="AW55" s="1" t="s">
        <v>26</v>
      </c>
      <c r="AX55" s="1" t="s">
        <v>26</v>
      </c>
      <c r="AY55" s="2">
        <v>820439919.74000001</v>
      </c>
      <c r="AZ55" s="1">
        <v>1</v>
      </c>
      <c r="BA55" s="1" t="s">
        <v>26</v>
      </c>
      <c r="BB55" s="1" t="s">
        <v>26</v>
      </c>
    </row>
    <row r="56" spans="1:54" s="7" customFormat="1">
      <c r="A56" s="5" t="s">
        <v>58</v>
      </c>
      <c r="B56" s="24" t="s">
        <v>25</v>
      </c>
      <c r="C56" s="10">
        <v>5008982.5</v>
      </c>
      <c r="D56" s="11">
        <v>9.1508786276999995E-4</v>
      </c>
      <c r="E56" s="11">
        <v>0.12</v>
      </c>
      <c r="F56" s="11">
        <v>0.1191</v>
      </c>
      <c r="G56" s="10">
        <v>80143713.599999994</v>
      </c>
      <c r="H56" s="11">
        <v>5.7415089439999997E-4</v>
      </c>
      <c r="I56" s="11">
        <v>0.12</v>
      </c>
      <c r="J56" s="11">
        <v>0.11940000000000001</v>
      </c>
      <c r="K56" s="10" t="s">
        <v>26</v>
      </c>
      <c r="L56" s="11" t="s">
        <v>26</v>
      </c>
      <c r="M56" s="11" t="s">
        <v>26</v>
      </c>
      <c r="N56" s="11" t="s">
        <v>26</v>
      </c>
      <c r="O56" s="10">
        <v>260467069.19999999</v>
      </c>
      <c r="P56" s="11">
        <v>1.25123408705E-3</v>
      </c>
      <c r="Q56" s="11">
        <v>0.12</v>
      </c>
      <c r="R56" s="11">
        <v>0.1187</v>
      </c>
      <c r="S56" s="10">
        <v>139249706.78</v>
      </c>
      <c r="T56" s="11">
        <v>1.33418679725E-3</v>
      </c>
      <c r="U56" s="11">
        <v>0.12</v>
      </c>
      <c r="V56" s="11">
        <v>0.1187</v>
      </c>
      <c r="W56" s="10" t="s">
        <v>26</v>
      </c>
      <c r="X56" s="11" t="s">
        <v>26</v>
      </c>
      <c r="Y56" s="11" t="s">
        <v>26</v>
      </c>
      <c r="Z56" s="11" t="s">
        <v>26</v>
      </c>
      <c r="AA56" s="10">
        <v>133539466.79000001</v>
      </c>
      <c r="AB56" s="11">
        <v>1.0410702581300001E-3</v>
      </c>
      <c r="AC56" s="11">
        <v>0.12</v>
      </c>
      <c r="AD56" s="11">
        <v>0.11899999999999999</v>
      </c>
      <c r="AE56" s="10">
        <v>618408938.87</v>
      </c>
      <c r="AF56" s="11">
        <v>1.04043733988E-3</v>
      </c>
      <c r="AG56" s="11">
        <v>0.12</v>
      </c>
      <c r="AH56" s="11">
        <v>0.11899999999999999</v>
      </c>
      <c r="AI56" s="10" t="s">
        <v>26</v>
      </c>
      <c r="AJ56" s="11" t="s">
        <v>26</v>
      </c>
      <c r="AK56" s="11" t="s">
        <v>26</v>
      </c>
      <c r="AL56" s="11" t="s">
        <v>26</v>
      </c>
      <c r="AM56" s="10" t="s">
        <v>26</v>
      </c>
      <c r="AN56" s="11" t="s">
        <v>26</v>
      </c>
      <c r="AO56" s="11" t="s">
        <v>26</v>
      </c>
      <c r="AP56" s="11" t="s">
        <v>26</v>
      </c>
      <c r="AQ56" s="10" t="s">
        <v>26</v>
      </c>
      <c r="AR56" s="11" t="s">
        <v>26</v>
      </c>
      <c r="AS56" s="11" t="s">
        <v>26</v>
      </c>
      <c r="AT56" s="11" t="s">
        <v>26</v>
      </c>
      <c r="AU56" s="10" t="s">
        <v>26</v>
      </c>
      <c r="AV56" s="11" t="s">
        <v>26</v>
      </c>
      <c r="AW56" s="11" t="s">
        <v>26</v>
      </c>
      <c r="AX56" s="11" t="s">
        <v>26</v>
      </c>
      <c r="AY56" s="10">
        <v>618408938.87</v>
      </c>
      <c r="AZ56" s="11">
        <v>9.1552123730000005E-4</v>
      </c>
      <c r="BA56" s="11">
        <v>0.12</v>
      </c>
      <c r="BB56" s="11">
        <v>0.1191</v>
      </c>
    </row>
    <row r="57" spans="1:54" s="7" customFormat="1">
      <c r="A57" s="3" t="s">
        <v>36</v>
      </c>
      <c r="B57" s="31" t="s">
        <v>56</v>
      </c>
      <c r="C57" s="2">
        <v>5008982.5</v>
      </c>
      <c r="D57" s="1">
        <v>1</v>
      </c>
      <c r="E57" s="1" t="s">
        <v>26</v>
      </c>
      <c r="F57" s="1" t="s">
        <v>26</v>
      </c>
      <c r="G57" s="2">
        <v>80143713.599999994</v>
      </c>
      <c r="H57" s="1">
        <v>1</v>
      </c>
      <c r="I57" s="1" t="s">
        <v>26</v>
      </c>
      <c r="J57" s="1" t="s">
        <v>26</v>
      </c>
      <c r="K57" s="2" t="s">
        <v>26</v>
      </c>
      <c r="L57" s="1" t="s">
        <v>26</v>
      </c>
      <c r="M57" s="1" t="s">
        <v>26</v>
      </c>
      <c r="N57" s="1" t="s">
        <v>26</v>
      </c>
      <c r="O57" s="2">
        <v>260467069.19999999</v>
      </c>
      <c r="P57" s="1">
        <v>1</v>
      </c>
      <c r="Q57" s="1" t="s">
        <v>26</v>
      </c>
      <c r="R57" s="1" t="s">
        <v>26</v>
      </c>
      <c r="S57" s="2">
        <v>139249706.78</v>
      </c>
      <c r="T57" s="1">
        <v>1</v>
      </c>
      <c r="U57" s="1" t="s">
        <v>26</v>
      </c>
      <c r="V57" s="1" t="s">
        <v>26</v>
      </c>
      <c r="W57" s="2" t="s">
        <v>26</v>
      </c>
      <c r="X57" s="1" t="s">
        <v>26</v>
      </c>
      <c r="Y57" s="1" t="s">
        <v>26</v>
      </c>
      <c r="Z57" s="1" t="s">
        <v>26</v>
      </c>
      <c r="AA57" s="2">
        <v>133539466.79000001</v>
      </c>
      <c r="AB57" s="1">
        <v>1</v>
      </c>
      <c r="AC57" s="1" t="s">
        <v>26</v>
      </c>
      <c r="AD57" s="1" t="s">
        <v>26</v>
      </c>
      <c r="AE57" s="2">
        <v>618408938.87</v>
      </c>
      <c r="AF57" s="1">
        <v>1</v>
      </c>
      <c r="AG57" s="1" t="s">
        <v>26</v>
      </c>
      <c r="AH57" s="1" t="s">
        <v>26</v>
      </c>
      <c r="AI57" s="2" t="s">
        <v>26</v>
      </c>
      <c r="AJ57" s="1" t="s">
        <v>26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 t="s">
        <v>26</v>
      </c>
      <c r="AR57" s="1" t="s">
        <v>26</v>
      </c>
      <c r="AS57" s="1" t="s">
        <v>26</v>
      </c>
      <c r="AT57" s="1" t="s">
        <v>26</v>
      </c>
      <c r="AU57" s="2" t="s">
        <v>26</v>
      </c>
      <c r="AV57" s="1" t="s">
        <v>26</v>
      </c>
      <c r="AW57" s="1" t="s">
        <v>26</v>
      </c>
      <c r="AX57" s="1" t="s">
        <v>26</v>
      </c>
      <c r="AY57" s="2">
        <v>618408938.87</v>
      </c>
      <c r="AZ57" s="1">
        <v>1</v>
      </c>
      <c r="BA57" s="1" t="s">
        <v>26</v>
      </c>
      <c r="BB57" s="1" t="s">
        <v>26</v>
      </c>
    </row>
    <row r="58" spans="1:54" s="7" customFormat="1">
      <c r="A58" s="5" t="s">
        <v>59</v>
      </c>
      <c r="B58" s="24" t="s">
        <v>25</v>
      </c>
      <c r="C58" s="10" t="s">
        <v>26</v>
      </c>
      <c r="D58" s="11" t="s">
        <v>26</v>
      </c>
      <c r="E58" s="11" t="s">
        <v>26</v>
      </c>
      <c r="F58" s="11" t="s">
        <v>26</v>
      </c>
      <c r="G58" s="10">
        <v>423349482.44999999</v>
      </c>
      <c r="H58" s="11">
        <v>3.0328827187499998E-3</v>
      </c>
      <c r="I58" s="11">
        <v>0.1283</v>
      </c>
      <c r="J58" s="11">
        <v>0.12529999999999999</v>
      </c>
      <c r="K58" s="10">
        <v>50321623</v>
      </c>
      <c r="L58" s="11">
        <v>1.905506373328E-2</v>
      </c>
      <c r="M58" s="11">
        <v>0.12</v>
      </c>
      <c r="N58" s="11">
        <v>0.1009</v>
      </c>
      <c r="O58" s="10">
        <v>2228382080</v>
      </c>
      <c r="P58" s="11">
        <v>1.0704722197810001E-2</v>
      </c>
      <c r="Q58" s="11">
        <v>0.12</v>
      </c>
      <c r="R58" s="11">
        <v>0.10929999999999999</v>
      </c>
      <c r="S58" s="10">
        <v>1254964258.3599999</v>
      </c>
      <c r="T58" s="11">
        <v>1.2024131204600001E-2</v>
      </c>
      <c r="U58" s="11">
        <v>0.13700000000000001</v>
      </c>
      <c r="V58" s="11">
        <v>0.125</v>
      </c>
      <c r="W58" s="10">
        <v>115771736.56999999</v>
      </c>
      <c r="X58" s="11">
        <v>1.9746264496049999E-2</v>
      </c>
      <c r="Y58" s="11">
        <v>0.13780000000000001</v>
      </c>
      <c r="Z58" s="11">
        <v>0.1181</v>
      </c>
      <c r="AA58" s="10">
        <v>1443207325.98</v>
      </c>
      <c r="AB58" s="11">
        <v>1.125120729858E-2</v>
      </c>
      <c r="AC58" s="11">
        <v>0.12</v>
      </c>
      <c r="AD58" s="11">
        <v>0.1087</v>
      </c>
      <c r="AE58" s="10">
        <v>5515996506.3599997</v>
      </c>
      <c r="AF58" s="11">
        <v>9.2803456922400003E-3</v>
      </c>
      <c r="AG58" s="11">
        <v>0.1249</v>
      </c>
      <c r="AH58" s="11">
        <v>0.11559999999999999</v>
      </c>
      <c r="AI58" s="10">
        <v>203432328.72</v>
      </c>
      <c r="AJ58" s="11">
        <v>1.262954746707E-2</v>
      </c>
      <c r="AK58" s="11">
        <v>0.1203</v>
      </c>
      <c r="AL58" s="11">
        <v>0.1077</v>
      </c>
      <c r="AM58" s="10">
        <v>230251224.91999999</v>
      </c>
      <c r="AN58" s="11">
        <v>9.9053657902000002E-3</v>
      </c>
      <c r="AO58" s="11">
        <v>0.1216</v>
      </c>
      <c r="AP58" s="11">
        <v>0.11169999999999999</v>
      </c>
      <c r="AQ58" s="10">
        <v>433683553.63999999</v>
      </c>
      <c r="AR58" s="11">
        <v>1.102041274498E-2</v>
      </c>
      <c r="AS58" s="11">
        <v>0.121</v>
      </c>
      <c r="AT58" s="11">
        <v>0.11</v>
      </c>
      <c r="AU58" s="10">
        <v>512486360.42000002</v>
      </c>
      <c r="AV58" s="11">
        <v>1.2276536477730001E-2</v>
      </c>
      <c r="AW58" s="11">
        <v>0.1323</v>
      </c>
      <c r="AX58" s="11">
        <v>0.12</v>
      </c>
      <c r="AY58" s="10">
        <v>6462166420.4200001</v>
      </c>
      <c r="AZ58" s="11">
        <v>9.5668904910500008E-3</v>
      </c>
      <c r="BA58" s="11">
        <v>0.12520000000000001</v>
      </c>
      <c r="BB58" s="11">
        <v>0.11559999999999999</v>
      </c>
    </row>
    <row r="59" spans="1:54" s="7" customFormat="1">
      <c r="A59" s="3" t="s">
        <v>36</v>
      </c>
      <c r="B59" s="31" t="s">
        <v>56</v>
      </c>
      <c r="C59" s="2" t="s">
        <v>26</v>
      </c>
      <c r="D59" s="1" t="s">
        <v>26</v>
      </c>
      <c r="E59" s="1" t="s">
        <v>26</v>
      </c>
      <c r="F59" s="1" t="s">
        <v>26</v>
      </c>
      <c r="G59" s="2">
        <v>305746185</v>
      </c>
      <c r="H59" s="1">
        <v>0.72220753225111001</v>
      </c>
      <c r="I59" s="1" t="s">
        <v>26</v>
      </c>
      <c r="J59" s="1" t="s">
        <v>26</v>
      </c>
      <c r="K59" s="2">
        <v>50321623</v>
      </c>
      <c r="L59" s="1">
        <v>1</v>
      </c>
      <c r="M59" s="1" t="s">
        <v>26</v>
      </c>
      <c r="N59" s="1" t="s">
        <v>26</v>
      </c>
      <c r="O59" s="2">
        <v>2228382080</v>
      </c>
      <c r="P59" s="1">
        <v>1</v>
      </c>
      <c r="Q59" s="1" t="s">
        <v>26</v>
      </c>
      <c r="R59" s="1" t="s">
        <v>26</v>
      </c>
      <c r="S59" s="2">
        <v>543473528.39999998</v>
      </c>
      <c r="T59" s="1">
        <v>0.4330589694325</v>
      </c>
      <c r="U59" s="1" t="s">
        <v>26</v>
      </c>
      <c r="V59" s="1" t="s">
        <v>26</v>
      </c>
      <c r="W59" s="2">
        <v>46906951.649999999</v>
      </c>
      <c r="X59" s="1">
        <v>0.40516755677789001</v>
      </c>
      <c r="Y59" s="1" t="s">
        <v>26</v>
      </c>
      <c r="Z59" s="1" t="s">
        <v>26</v>
      </c>
      <c r="AA59" s="2">
        <v>1443207325.98</v>
      </c>
      <c r="AB59" s="1">
        <v>1</v>
      </c>
      <c r="AC59" s="1" t="s">
        <v>26</v>
      </c>
      <c r="AD59" s="1" t="s">
        <v>26</v>
      </c>
      <c r="AE59" s="2">
        <v>4618037694.0299997</v>
      </c>
      <c r="AF59" s="1">
        <v>0.83720823403447997</v>
      </c>
      <c r="AG59" s="1" t="s">
        <v>26</v>
      </c>
      <c r="AH59" s="1" t="s">
        <v>26</v>
      </c>
      <c r="AI59" s="2">
        <v>201286492</v>
      </c>
      <c r="AJ59" s="1">
        <v>0.98945184015981003</v>
      </c>
      <c r="AK59" s="1" t="s">
        <v>26</v>
      </c>
      <c r="AL59" s="1" t="s">
        <v>26</v>
      </c>
      <c r="AM59" s="2">
        <v>218093914.08000001</v>
      </c>
      <c r="AN59" s="1">
        <v>0.94719979950498001</v>
      </c>
      <c r="AO59" s="1" t="s">
        <v>26</v>
      </c>
      <c r="AP59" s="1" t="s">
        <v>26</v>
      </c>
      <c r="AQ59" s="2">
        <v>419380406.07999998</v>
      </c>
      <c r="AR59" s="1">
        <v>0.96701939135125003</v>
      </c>
      <c r="AS59" s="1" t="s">
        <v>26</v>
      </c>
      <c r="AT59" s="1" t="s">
        <v>26</v>
      </c>
      <c r="AU59" s="2">
        <v>301929738</v>
      </c>
      <c r="AV59" s="1">
        <v>0.58914687554330003</v>
      </c>
      <c r="AW59" s="1" t="s">
        <v>26</v>
      </c>
      <c r="AX59" s="1" t="s">
        <v>26</v>
      </c>
      <c r="AY59" s="2">
        <v>5339347838.1099997</v>
      </c>
      <c r="AZ59" s="1">
        <v>0.82624734349738005</v>
      </c>
      <c r="BA59" s="1" t="s">
        <v>26</v>
      </c>
      <c r="BB59" s="1" t="s">
        <v>26</v>
      </c>
    </row>
    <row r="60" spans="1:54" s="7" customFormat="1">
      <c r="A60" s="3" t="s">
        <v>38</v>
      </c>
      <c r="B60" s="31" t="s">
        <v>39</v>
      </c>
      <c r="C60" s="2" t="s">
        <v>26</v>
      </c>
      <c r="D60" s="1" t="s">
        <v>26</v>
      </c>
      <c r="E60" s="1" t="s">
        <v>26</v>
      </c>
      <c r="F60" s="1" t="s">
        <v>26</v>
      </c>
      <c r="G60" s="2">
        <v>117603297.45</v>
      </c>
      <c r="H60" s="1">
        <v>0.27779246774888999</v>
      </c>
      <c r="I60" s="1" t="s">
        <v>26</v>
      </c>
      <c r="J60" s="1" t="s">
        <v>26</v>
      </c>
      <c r="K60" s="2" t="s">
        <v>26</v>
      </c>
      <c r="L60" s="1" t="s">
        <v>26</v>
      </c>
      <c r="M60" s="1" t="s">
        <v>26</v>
      </c>
      <c r="N60" s="1" t="s">
        <v>26</v>
      </c>
      <c r="O60" s="2" t="s">
        <v>26</v>
      </c>
      <c r="P60" s="1" t="s">
        <v>26</v>
      </c>
      <c r="Q60" s="1" t="s">
        <v>26</v>
      </c>
      <c r="R60" s="1" t="s">
        <v>26</v>
      </c>
      <c r="S60" s="2">
        <v>711490729.96000004</v>
      </c>
      <c r="T60" s="1">
        <v>0.5669410305675</v>
      </c>
      <c r="U60" s="1" t="s">
        <v>26</v>
      </c>
      <c r="V60" s="1" t="s">
        <v>26</v>
      </c>
      <c r="W60" s="2">
        <v>68864784.920000002</v>
      </c>
      <c r="X60" s="1">
        <v>0.59483244322211004</v>
      </c>
      <c r="Y60" s="1" t="s">
        <v>26</v>
      </c>
      <c r="Z60" s="1" t="s">
        <v>26</v>
      </c>
      <c r="AA60" s="2" t="s">
        <v>26</v>
      </c>
      <c r="AB60" s="1" t="s">
        <v>26</v>
      </c>
      <c r="AC60" s="1" t="s">
        <v>26</v>
      </c>
      <c r="AD60" s="1" t="s">
        <v>26</v>
      </c>
      <c r="AE60" s="2">
        <v>897958812.33000004</v>
      </c>
      <c r="AF60" s="1">
        <v>0.16279176596552</v>
      </c>
      <c r="AG60" s="1" t="s">
        <v>26</v>
      </c>
      <c r="AH60" s="1" t="s">
        <v>26</v>
      </c>
      <c r="AI60" s="2">
        <v>2145836.7200000002</v>
      </c>
      <c r="AJ60" s="1">
        <v>1.0548159840190001E-2</v>
      </c>
      <c r="AK60" s="1" t="s">
        <v>26</v>
      </c>
      <c r="AL60" s="1" t="s">
        <v>26</v>
      </c>
      <c r="AM60" s="2">
        <v>12157310.84</v>
      </c>
      <c r="AN60" s="1">
        <v>5.2800200495020003E-2</v>
      </c>
      <c r="AO60" s="1" t="s">
        <v>26</v>
      </c>
      <c r="AP60" s="1" t="s">
        <v>26</v>
      </c>
      <c r="AQ60" s="2">
        <v>14303147.560000001</v>
      </c>
      <c r="AR60" s="1">
        <v>3.298060864875E-2</v>
      </c>
      <c r="AS60" s="1" t="s">
        <v>26</v>
      </c>
      <c r="AT60" s="1" t="s">
        <v>26</v>
      </c>
      <c r="AU60" s="2">
        <v>210556622.41999999</v>
      </c>
      <c r="AV60" s="1">
        <v>0.41085312445670003</v>
      </c>
      <c r="AW60" s="1" t="s">
        <v>26</v>
      </c>
      <c r="AX60" s="1" t="s">
        <v>26</v>
      </c>
      <c r="AY60" s="2">
        <v>1122818582.3099999</v>
      </c>
      <c r="AZ60" s="1">
        <v>0.17375265650262001</v>
      </c>
      <c r="BA60" s="1" t="s">
        <v>26</v>
      </c>
      <c r="BB60" s="1" t="s">
        <v>26</v>
      </c>
    </row>
    <row r="61" spans="1:54" s="7" customFormat="1">
      <c r="A61" s="13" t="s">
        <v>60</v>
      </c>
      <c r="B61" s="25" t="s">
        <v>25</v>
      </c>
      <c r="C61" s="55">
        <v>89188779.859999999</v>
      </c>
      <c r="D61" s="56">
        <v>1.6293842101640001E-2</v>
      </c>
      <c r="E61" s="56" t="s">
        <v>26</v>
      </c>
      <c r="F61" s="56" t="s">
        <v>26</v>
      </c>
      <c r="G61" s="55">
        <v>30412181.27</v>
      </c>
      <c r="H61" s="56">
        <v>2.1787337137999999E-4</v>
      </c>
      <c r="I61" s="56" t="s">
        <v>26</v>
      </c>
      <c r="J61" s="56" t="s">
        <v>26</v>
      </c>
      <c r="K61" s="55">
        <v>62016606.829999998</v>
      </c>
      <c r="L61" s="56">
        <v>2.3483550911450001E-2</v>
      </c>
      <c r="M61" s="56" t="s">
        <v>26</v>
      </c>
      <c r="N61" s="56" t="s">
        <v>26</v>
      </c>
      <c r="O61" s="55">
        <v>112790716.11</v>
      </c>
      <c r="P61" s="56">
        <v>5.4182507268000005E-4</v>
      </c>
      <c r="Q61" s="56" t="s">
        <v>26</v>
      </c>
      <c r="R61" s="56" t="s">
        <v>26</v>
      </c>
      <c r="S61" s="55">
        <v>57563182.399999999</v>
      </c>
      <c r="T61" s="56">
        <v>5.5152746631999998E-4</v>
      </c>
      <c r="U61" s="56" t="s">
        <v>26</v>
      </c>
      <c r="V61" s="56" t="s">
        <v>26</v>
      </c>
      <c r="W61" s="55" t="s">
        <v>26</v>
      </c>
      <c r="X61" s="56" t="s">
        <v>26</v>
      </c>
      <c r="Y61" s="56" t="s">
        <v>26</v>
      </c>
      <c r="Z61" s="56" t="s">
        <v>26</v>
      </c>
      <c r="AA61" s="55">
        <v>118502919.98999999</v>
      </c>
      <c r="AB61" s="56">
        <v>9.2384572493E-4</v>
      </c>
      <c r="AC61" s="56" t="s">
        <v>26</v>
      </c>
      <c r="AD61" s="56" t="s">
        <v>26</v>
      </c>
      <c r="AE61" s="55">
        <v>470474386.45999998</v>
      </c>
      <c r="AF61" s="56">
        <v>7.9154599548000003E-4</v>
      </c>
      <c r="AG61" s="56" t="s">
        <v>26</v>
      </c>
      <c r="AH61" s="56" t="s">
        <v>26</v>
      </c>
      <c r="AI61" s="55">
        <v>54566441.329999998</v>
      </c>
      <c r="AJ61" s="56">
        <v>3.38761034307E-3</v>
      </c>
      <c r="AK61" s="56" t="s">
        <v>26</v>
      </c>
      <c r="AL61" s="56" t="s">
        <v>26</v>
      </c>
      <c r="AM61" s="55" t="s">
        <v>26</v>
      </c>
      <c r="AN61" s="56" t="s">
        <v>26</v>
      </c>
      <c r="AO61" s="56" t="s">
        <v>26</v>
      </c>
      <c r="AP61" s="56" t="s">
        <v>26</v>
      </c>
      <c r="AQ61" s="55">
        <v>54566441.329999998</v>
      </c>
      <c r="AR61" s="56">
        <v>1.3865979017099999E-3</v>
      </c>
      <c r="AS61" s="56" t="s">
        <v>26</v>
      </c>
      <c r="AT61" s="56" t="s">
        <v>26</v>
      </c>
      <c r="AU61" s="55">
        <v>4907969.8</v>
      </c>
      <c r="AV61" s="56">
        <v>1.1756970514E-4</v>
      </c>
      <c r="AW61" s="56" t="s">
        <v>26</v>
      </c>
      <c r="AX61" s="56" t="s">
        <v>26</v>
      </c>
      <c r="AY61" s="55">
        <v>529948797.58999997</v>
      </c>
      <c r="AZ61" s="56">
        <v>7.8456074674999995E-4</v>
      </c>
      <c r="BA61" s="56" t="s">
        <v>26</v>
      </c>
      <c r="BB61" s="56" t="s">
        <v>26</v>
      </c>
    </row>
    <row r="62" spans="1:54" s="7" customFormat="1">
      <c r="A62" s="5" t="s">
        <v>61</v>
      </c>
      <c r="B62" s="24" t="s">
        <v>25</v>
      </c>
      <c r="C62" s="10">
        <v>49260561.439999998</v>
      </c>
      <c r="D62" s="11">
        <v>8.9993809894200003E-3</v>
      </c>
      <c r="E62" s="11">
        <v>0.09</v>
      </c>
      <c r="F62" s="11">
        <v>8.1000000000000003E-2</v>
      </c>
      <c r="G62" s="10" t="s">
        <v>26</v>
      </c>
      <c r="H62" s="11" t="s">
        <v>26</v>
      </c>
      <c r="I62" s="11" t="s">
        <v>26</v>
      </c>
      <c r="J62" s="11" t="s">
        <v>26</v>
      </c>
      <c r="K62" s="10" t="s">
        <v>26</v>
      </c>
      <c r="L62" s="11" t="s">
        <v>26</v>
      </c>
      <c r="M62" s="11" t="s">
        <v>26</v>
      </c>
      <c r="N62" s="11" t="s">
        <v>26</v>
      </c>
      <c r="O62" s="10" t="s">
        <v>26</v>
      </c>
      <c r="P62" s="11" t="s">
        <v>26</v>
      </c>
      <c r="Q62" s="11" t="s">
        <v>26</v>
      </c>
      <c r="R62" s="11" t="s">
        <v>26</v>
      </c>
      <c r="S62" s="10" t="s">
        <v>26</v>
      </c>
      <c r="T62" s="11" t="s">
        <v>26</v>
      </c>
      <c r="U62" s="11" t="s">
        <v>26</v>
      </c>
      <c r="V62" s="11" t="s">
        <v>26</v>
      </c>
      <c r="W62" s="10" t="s">
        <v>26</v>
      </c>
      <c r="X62" s="11" t="s">
        <v>26</v>
      </c>
      <c r="Y62" s="11" t="s">
        <v>26</v>
      </c>
      <c r="Z62" s="11" t="s">
        <v>26</v>
      </c>
      <c r="AA62" s="10" t="s">
        <v>26</v>
      </c>
      <c r="AB62" s="11" t="s">
        <v>26</v>
      </c>
      <c r="AC62" s="11" t="s">
        <v>26</v>
      </c>
      <c r="AD62" s="11" t="s">
        <v>26</v>
      </c>
      <c r="AE62" s="10">
        <v>49260561.439999998</v>
      </c>
      <c r="AF62" s="11">
        <v>8.2878050890000007E-5</v>
      </c>
      <c r="AG62" s="11">
        <v>0.09</v>
      </c>
      <c r="AH62" s="11">
        <v>8.9899999999999994E-2</v>
      </c>
      <c r="AI62" s="10" t="s">
        <v>26</v>
      </c>
      <c r="AJ62" s="11" t="s">
        <v>26</v>
      </c>
      <c r="AK62" s="11" t="s">
        <v>26</v>
      </c>
      <c r="AL62" s="11" t="s">
        <v>26</v>
      </c>
      <c r="AM62" s="10" t="s">
        <v>26</v>
      </c>
      <c r="AN62" s="11" t="s">
        <v>26</v>
      </c>
      <c r="AO62" s="11" t="s">
        <v>26</v>
      </c>
      <c r="AP62" s="11" t="s">
        <v>26</v>
      </c>
      <c r="AQ62" s="10" t="s">
        <v>26</v>
      </c>
      <c r="AR62" s="11" t="s">
        <v>26</v>
      </c>
      <c r="AS62" s="11" t="s">
        <v>26</v>
      </c>
      <c r="AT62" s="11" t="s">
        <v>26</v>
      </c>
      <c r="AU62" s="10" t="s">
        <v>26</v>
      </c>
      <c r="AV62" s="11" t="s">
        <v>26</v>
      </c>
      <c r="AW62" s="11" t="s">
        <v>26</v>
      </c>
      <c r="AX62" s="11" t="s">
        <v>26</v>
      </c>
      <c r="AY62" s="10">
        <v>49260561.439999998</v>
      </c>
      <c r="AZ62" s="11">
        <v>7.2927616859999998E-5</v>
      </c>
      <c r="BA62" s="11">
        <v>0.09</v>
      </c>
      <c r="BB62" s="11">
        <v>8.9899999999999994E-2</v>
      </c>
    </row>
    <row r="63" spans="1:54" s="7" customFormat="1">
      <c r="A63" s="3" t="s">
        <v>36</v>
      </c>
      <c r="B63" s="31" t="s">
        <v>46</v>
      </c>
      <c r="C63" s="2">
        <v>49260561.439999998</v>
      </c>
      <c r="D63" s="1">
        <v>1</v>
      </c>
      <c r="E63" s="1" t="s">
        <v>26</v>
      </c>
      <c r="F63" s="1" t="s">
        <v>26</v>
      </c>
      <c r="G63" s="2" t="s">
        <v>26</v>
      </c>
      <c r="H63" s="1" t="s">
        <v>26</v>
      </c>
      <c r="I63" s="1" t="s">
        <v>26</v>
      </c>
      <c r="J63" s="1" t="s">
        <v>26</v>
      </c>
      <c r="K63" s="2" t="s">
        <v>26</v>
      </c>
      <c r="L63" s="1" t="s">
        <v>26</v>
      </c>
      <c r="M63" s="1" t="s">
        <v>26</v>
      </c>
      <c r="N63" s="1" t="s">
        <v>26</v>
      </c>
      <c r="O63" s="2" t="s">
        <v>26</v>
      </c>
      <c r="P63" s="1" t="s">
        <v>26</v>
      </c>
      <c r="Q63" s="1" t="s">
        <v>26</v>
      </c>
      <c r="R63" s="1" t="s">
        <v>26</v>
      </c>
      <c r="S63" s="2" t="s">
        <v>26</v>
      </c>
      <c r="T63" s="1" t="s">
        <v>26</v>
      </c>
      <c r="U63" s="1" t="s">
        <v>26</v>
      </c>
      <c r="V63" s="1" t="s">
        <v>26</v>
      </c>
      <c r="W63" s="2" t="s">
        <v>26</v>
      </c>
      <c r="X63" s="1" t="s">
        <v>26</v>
      </c>
      <c r="Y63" s="1" t="s">
        <v>26</v>
      </c>
      <c r="Z63" s="1" t="s">
        <v>26</v>
      </c>
      <c r="AA63" s="2" t="s">
        <v>26</v>
      </c>
      <c r="AB63" s="1" t="s">
        <v>26</v>
      </c>
      <c r="AC63" s="1" t="s">
        <v>26</v>
      </c>
      <c r="AD63" s="1" t="s">
        <v>26</v>
      </c>
      <c r="AE63" s="2">
        <v>49260561.439999998</v>
      </c>
      <c r="AF63" s="1">
        <v>1</v>
      </c>
      <c r="AG63" s="1" t="s">
        <v>26</v>
      </c>
      <c r="AH63" s="1" t="s">
        <v>26</v>
      </c>
      <c r="AI63" s="2" t="s">
        <v>26</v>
      </c>
      <c r="AJ63" s="1" t="s">
        <v>26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 t="s">
        <v>26</v>
      </c>
      <c r="AR63" s="1" t="s">
        <v>26</v>
      </c>
      <c r="AS63" s="1" t="s">
        <v>26</v>
      </c>
      <c r="AT63" s="1" t="s">
        <v>26</v>
      </c>
      <c r="AU63" s="2" t="s">
        <v>26</v>
      </c>
      <c r="AV63" s="1" t="s">
        <v>26</v>
      </c>
      <c r="AW63" s="1" t="s">
        <v>26</v>
      </c>
      <c r="AX63" s="1" t="s">
        <v>26</v>
      </c>
      <c r="AY63" s="2">
        <v>49260561.439999998</v>
      </c>
      <c r="AZ63" s="1">
        <v>1</v>
      </c>
      <c r="BA63" s="1" t="s">
        <v>26</v>
      </c>
      <c r="BB63" s="1" t="s">
        <v>26</v>
      </c>
    </row>
    <row r="64" spans="1:54" s="7" customFormat="1">
      <c r="A64" s="5" t="s">
        <v>62</v>
      </c>
      <c r="B64" s="24" t="s">
        <v>25</v>
      </c>
      <c r="C64" s="10">
        <v>17858726.579999998</v>
      </c>
      <c r="D64" s="11">
        <v>3.2625995275099998E-3</v>
      </c>
      <c r="E64" s="11">
        <v>0.12</v>
      </c>
      <c r="F64" s="11">
        <v>0.1167</v>
      </c>
      <c r="G64" s="10" t="s">
        <v>26</v>
      </c>
      <c r="H64" s="11" t="s">
        <v>26</v>
      </c>
      <c r="I64" s="11" t="s">
        <v>26</v>
      </c>
      <c r="J64" s="11" t="s">
        <v>26</v>
      </c>
      <c r="K64" s="10" t="s">
        <v>26</v>
      </c>
      <c r="L64" s="11" t="s">
        <v>26</v>
      </c>
      <c r="M64" s="11" t="s">
        <v>26</v>
      </c>
      <c r="N64" s="11" t="s">
        <v>26</v>
      </c>
      <c r="O64" s="10" t="s">
        <v>26</v>
      </c>
      <c r="P64" s="11" t="s">
        <v>26</v>
      </c>
      <c r="Q64" s="11" t="s">
        <v>26</v>
      </c>
      <c r="R64" s="11" t="s">
        <v>26</v>
      </c>
      <c r="S64" s="10" t="s">
        <v>26</v>
      </c>
      <c r="T64" s="11" t="s">
        <v>26</v>
      </c>
      <c r="U64" s="11" t="s">
        <v>26</v>
      </c>
      <c r="V64" s="11" t="s">
        <v>26</v>
      </c>
      <c r="W64" s="10" t="s">
        <v>26</v>
      </c>
      <c r="X64" s="11" t="s">
        <v>26</v>
      </c>
      <c r="Y64" s="11" t="s">
        <v>26</v>
      </c>
      <c r="Z64" s="11" t="s">
        <v>26</v>
      </c>
      <c r="AA64" s="10">
        <v>88318826.790000007</v>
      </c>
      <c r="AB64" s="11">
        <v>6.8853130848999997E-4</v>
      </c>
      <c r="AC64" s="11">
        <v>0.13500000000000001</v>
      </c>
      <c r="AD64" s="11">
        <v>0.1343</v>
      </c>
      <c r="AE64" s="10">
        <v>106177553.37</v>
      </c>
      <c r="AF64" s="11">
        <v>1.7863760407999999E-4</v>
      </c>
      <c r="AG64" s="11">
        <v>0.13250000000000001</v>
      </c>
      <c r="AH64" s="11">
        <v>0.1323</v>
      </c>
      <c r="AI64" s="10" t="s">
        <v>26</v>
      </c>
      <c r="AJ64" s="11" t="s">
        <v>26</v>
      </c>
      <c r="AK64" s="11" t="s">
        <v>26</v>
      </c>
      <c r="AL64" s="11" t="s">
        <v>26</v>
      </c>
      <c r="AM64" s="10" t="s">
        <v>26</v>
      </c>
      <c r="AN64" s="11" t="s">
        <v>26</v>
      </c>
      <c r="AO64" s="11" t="s">
        <v>26</v>
      </c>
      <c r="AP64" s="11" t="s">
        <v>26</v>
      </c>
      <c r="AQ64" s="10" t="s">
        <v>26</v>
      </c>
      <c r="AR64" s="11" t="s">
        <v>26</v>
      </c>
      <c r="AS64" s="11" t="s">
        <v>26</v>
      </c>
      <c r="AT64" s="11" t="s">
        <v>26</v>
      </c>
      <c r="AU64" s="10" t="s">
        <v>26</v>
      </c>
      <c r="AV64" s="11" t="s">
        <v>26</v>
      </c>
      <c r="AW64" s="11" t="s">
        <v>26</v>
      </c>
      <c r="AX64" s="11" t="s">
        <v>26</v>
      </c>
      <c r="AY64" s="10">
        <v>106177553.37</v>
      </c>
      <c r="AZ64" s="11">
        <v>1.5719016807000001E-4</v>
      </c>
      <c r="BA64" s="11">
        <v>0.13250000000000001</v>
      </c>
      <c r="BB64" s="11">
        <v>0.1323</v>
      </c>
    </row>
    <row r="65" spans="1:54" s="7" customFormat="1">
      <c r="A65" s="3" t="s">
        <v>36</v>
      </c>
      <c r="B65" s="31" t="s">
        <v>56</v>
      </c>
      <c r="C65" s="2">
        <v>17858726.579999998</v>
      </c>
      <c r="D65" s="1">
        <v>1</v>
      </c>
      <c r="E65" s="1" t="s">
        <v>26</v>
      </c>
      <c r="F65" s="1" t="s">
        <v>26</v>
      </c>
      <c r="G65" s="2" t="s">
        <v>26</v>
      </c>
      <c r="H65" s="1" t="s">
        <v>26</v>
      </c>
      <c r="I65" s="1" t="s">
        <v>26</v>
      </c>
      <c r="J65" s="1" t="s">
        <v>26</v>
      </c>
      <c r="K65" s="2" t="s">
        <v>26</v>
      </c>
      <c r="L65" s="1" t="s">
        <v>26</v>
      </c>
      <c r="M65" s="1" t="s">
        <v>26</v>
      </c>
      <c r="N65" s="1" t="s">
        <v>26</v>
      </c>
      <c r="O65" s="2" t="s">
        <v>26</v>
      </c>
      <c r="P65" s="1" t="s">
        <v>26</v>
      </c>
      <c r="Q65" s="1" t="s">
        <v>26</v>
      </c>
      <c r="R65" s="1" t="s">
        <v>26</v>
      </c>
      <c r="S65" s="2" t="s">
        <v>26</v>
      </c>
      <c r="T65" s="1" t="s">
        <v>26</v>
      </c>
      <c r="U65" s="1" t="s">
        <v>26</v>
      </c>
      <c r="V65" s="1" t="s">
        <v>26</v>
      </c>
      <c r="W65" s="2" t="s">
        <v>26</v>
      </c>
      <c r="X65" s="1" t="s">
        <v>26</v>
      </c>
      <c r="Y65" s="1" t="s">
        <v>26</v>
      </c>
      <c r="Z65" s="1" t="s">
        <v>26</v>
      </c>
      <c r="AA65" s="2" t="s">
        <v>26</v>
      </c>
      <c r="AB65" s="1" t="s">
        <v>26</v>
      </c>
      <c r="AC65" s="1" t="s">
        <v>26</v>
      </c>
      <c r="AD65" s="1" t="s">
        <v>26</v>
      </c>
      <c r="AE65" s="2">
        <v>17858726.579999998</v>
      </c>
      <c r="AF65" s="1">
        <v>0.16819681762460001</v>
      </c>
      <c r="AG65" s="1" t="s">
        <v>26</v>
      </c>
      <c r="AH65" s="1" t="s">
        <v>26</v>
      </c>
      <c r="AI65" s="2" t="s">
        <v>26</v>
      </c>
      <c r="AJ65" s="1" t="s">
        <v>26</v>
      </c>
      <c r="AK65" s="1" t="s">
        <v>26</v>
      </c>
      <c r="AL65" s="1" t="s">
        <v>26</v>
      </c>
      <c r="AM65" s="2" t="s">
        <v>26</v>
      </c>
      <c r="AN65" s="1" t="s">
        <v>26</v>
      </c>
      <c r="AO65" s="1" t="s">
        <v>26</v>
      </c>
      <c r="AP65" s="1" t="s">
        <v>26</v>
      </c>
      <c r="AQ65" s="2" t="s">
        <v>26</v>
      </c>
      <c r="AR65" s="1" t="s">
        <v>26</v>
      </c>
      <c r="AS65" s="1" t="s">
        <v>26</v>
      </c>
      <c r="AT65" s="1" t="s">
        <v>26</v>
      </c>
      <c r="AU65" s="2" t="s">
        <v>26</v>
      </c>
      <c r="AV65" s="1" t="s">
        <v>26</v>
      </c>
      <c r="AW65" s="1" t="s">
        <v>26</v>
      </c>
      <c r="AX65" s="1" t="s">
        <v>26</v>
      </c>
      <c r="AY65" s="2">
        <v>17858726.579999998</v>
      </c>
      <c r="AZ65" s="1">
        <v>0.16819681762460001</v>
      </c>
      <c r="BA65" s="1" t="s">
        <v>26</v>
      </c>
      <c r="BB65" s="1" t="s">
        <v>26</v>
      </c>
    </row>
    <row r="66" spans="1:54" s="7" customFormat="1">
      <c r="A66" s="3" t="s">
        <v>38</v>
      </c>
      <c r="B66" s="31" t="s">
        <v>43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 t="s">
        <v>26</v>
      </c>
      <c r="P66" s="1" t="s">
        <v>26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88318826.790000007</v>
      </c>
      <c r="AB66" s="1">
        <v>1</v>
      </c>
      <c r="AC66" s="1" t="s">
        <v>26</v>
      </c>
      <c r="AD66" s="1" t="s">
        <v>26</v>
      </c>
      <c r="AE66" s="2">
        <v>88318826.790000007</v>
      </c>
      <c r="AF66" s="1">
        <v>0.83180318237539996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88318826.790000007</v>
      </c>
      <c r="AZ66" s="1">
        <v>0.83180318237539996</v>
      </c>
      <c r="BA66" s="1" t="s">
        <v>26</v>
      </c>
      <c r="BB66" s="1" t="s">
        <v>26</v>
      </c>
    </row>
    <row r="67" spans="1:54" s="7" customFormat="1">
      <c r="A67" s="5" t="s">
        <v>63</v>
      </c>
      <c r="B67" s="24" t="s">
        <v>25</v>
      </c>
      <c r="C67" s="10">
        <v>22069491.84</v>
      </c>
      <c r="D67" s="11">
        <v>4.0318615847100003E-3</v>
      </c>
      <c r="E67" s="11">
        <v>0.12</v>
      </c>
      <c r="F67" s="11">
        <v>0.11600000000000001</v>
      </c>
      <c r="G67" s="10" t="s">
        <v>26</v>
      </c>
      <c r="H67" s="11" t="s">
        <v>26</v>
      </c>
      <c r="I67" s="11" t="s">
        <v>26</v>
      </c>
      <c r="J67" s="11" t="s">
        <v>26</v>
      </c>
      <c r="K67" s="10" t="s">
        <v>26</v>
      </c>
      <c r="L67" s="11" t="s">
        <v>26</v>
      </c>
      <c r="M67" s="11" t="s">
        <v>26</v>
      </c>
      <c r="N67" s="11" t="s">
        <v>26</v>
      </c>
      <c r="O67" s="10" t="s">
        <v>26</v>
      </c>
      <c r="P67" s="11" t="s">
        <v>26</v>
      </c>
      <c r="Q67" s="11" t="s">
        <v>26</v>
      </c>
      <c r="R67" s="11" t="s">
        <v>26</v>
      </c>
      <c r="S67" s="10" t="s">
        <v>26</v>
      </c>
      <c r="T67" s="11" t="s">
        <v>26</v>
      </c>
      <c r="U67" s="11" t="s">
        <v>26</v>
      </c>
      <c r="V67" s="11" t="s">
        <v>26</v>
      </c>
      <c r="W67" s="10" t="s">
        <v>26</v>
      </c>
      <c r="X67" s="11" t="s">
        <v>26</v>
      </c>
      <c r="Y67" s="11" t="s">
        <v>26</v>
      </c>
      <c r="Z67" s="11" t="s">
        <v>26</v>
      </c>
      <c r="AA67" s="10" t="s">
        <v>26</v>
      </c>
      <c r="AB67" s="11" t="s">
        <v>26</v>
      </c>
      <c r="AC67" s="11" t="s">
        <v>26</v>
      </c>
      <c r="AD67" s="11" t="s">
        <v>26</v>
      </c>
      <c r="AE67" s="10">
        <v>22069491.84</v>
      </c>
      <c r="AF67" s="11">
        <v>3.7130645979999999E-5</v>
      </c>
      <c r="AG67" s="11">
        <v>0.12</v>
      </c>
      <c r="AH67" s="11">
        <v>0.12</v>
      </c>
      <c r="AI67" s="10" t="s">
        <v>26</v>
      </c>
      <c r="AJ67" s="11" t="s">
        <v>26</v>
      </c>
      <c r="AK67" s="11" t="s">
        <v>26</v>
      </c>
      <c r="AL67" s="11" t="s">
        <v>26</v>
      </c>
      <c r="AM67" s="10" t="s">
        <v>26</v>
      </c>
      <c r="AN67" s="11" t="s">
        <v>26</v>
      </c>
      <c r="AO67" s="11" t="s">
        <v>26</v>
      </c>
      <c r="AP67" s="11" t="s">
        <v>26</v>
      </c>
      <c r="AQ67" s="10" t="s">
        <v>26</v>
      </c>
      <c r="AR67" s="11" t="s">
        <v>26</v>
      </c>
      <c r="AS67" s="11" t="s">
        <v>26</v>
      </c>
      <c r="AT67" s="11" t="s">
        <v>26</v>
      </c>
      <c r="AU67" s="10" t="s">
        <v>26</v>
      </c>
      <c r="AV67" s="11" t="s">
        <v>26</v>
      </c>
      <c r="AW67" s="11" t="s">
        <v>26</v>
      </c>
      <c r="AX67" s="11" t="s">
        <v>26</v>
      </c>
      <c r="AY67" s="10">
        <v>22069491.84</v>
      </c>
      <c r="AZ67" s="11">
        <v>3.2672697959999998E-5</v>
      </c>
      <c r="BA67" s="11">
        <v>0.12</v>
      </c>
      <c r="BB67" s="11">
        <v>0.12</v>
      </c>
    </row>
    <row r="68" spans="1:54" s="7" customFormat="1">
      <c r="A68" s="3" t="s">
        <v>36</v>
      </c>
      <c r="B68" s="31" t="s">
        <v>56</v>
      </c>
      <c r="C68" s="2">
        <v>22069491.84</v>
      </c>
      <c r="D68" s="1">
        <v>1</v>
      </c>
      <c r="E68" s="1" t="s">
        <v>26</v>
      </c>
      <c r="F68" s="1" t="s">
        <v>26</v>
      </c>
      <c r="G68" s="2" t="s">
        <v>26</v>
      </c>
      <c r="H68" s="1" t="s">
        <v>26</v>
      </c>
      <c r="I68" s="1" t="s">
        <v>26</v>
      </c>
      <c r="J68" s="1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 t="s">
        <v>26</v>
      </c>
      <c r="P68" s="1" t="s">
        <v>26</v>
      </c>
      <c r="Q68" s="1" t="s">
        <v>26</v>
      </c>
      <c r="R68" s="1" t="s">
        <v>26</v>
      </c>
      <c r="S68" s="2" t="s">
        <v>26</v>
      </c>
      <c r="T68" s="1" t="s">
        <v>26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 t="s">
        <v>26</v>
      </c>
      <c r="AB68" s="1" t="s">
        <v>26</v>
      </c>
      <c r="AC68" s="1" t="s">
        <v>26</v>
      </c>
      <c r="AD68" s="1" t="s">
        <v>26</v>
      </c>
      <c r="AE68" s="2">
        <v>22069491.84</v>
      </c>
      <c r="AF68" s="1">
        <v>1</v>
      </c>
      <c r="AG68" s="1" t="s">
        <v>26</v>
      </c>
      <c r="AH68" s="1" t="s">
        <v>26</v>
      </c>
      <c r="AI68" s="2" t="s">
        <v>26</v>
      </c>
      <c r="AJ68" s="1" t="s">
        <v>26</v>
      </c>
      <c r="AK68" s="1" t="s">
        <v>26</v>
      </c>
      <c r="AL68" s="1" t="s">
        <v>26</v>
      </c>
      <c r="AM68" s="2" t="s">
        <v>26</v>
      </c>
      <c r="AN68" s="1" t="s">
        <v>26</v>
      </c>
      <c r="AO68" s="1" t="s">
        <v>26</v>
      </c>
      <c r="AP68" s="1" t="s">
        <v>26</v>
      </c>
      <c r="AQ68" s="2" t="s">
        <v>26</v>
      </c>
      <c r="AR68" s="1" t="s">
        <v>26</v>
      </c>
      <c r="AS68" s="1" t="s">
        <v>26</v>
      </c>
      <c r="AT68" s="1" t="s">
        <v>26</v>
      </c>
      <c r="AU68" s="2" t="s">
        <v>26</v>
      </c>
      <c r="AV68" s="1" t="s">
        <v>26</v>
      </c>
      <c r="AW68" s="1" t="s">
        <v>26</v>
      </c>
      <c r="AX68" s="1" t="s">
        <v>26</v>
      </c>
      <c r="AY68" s="2">
        <v>22069491.84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64</v>
      </c>
      <c r="B69" s="24" t="s">
        <v>25</v>
      </c>
      <c r="C69" s="10" t="s">
        <v>26</v>
      </c>
      <c r="D69" s="11" t="s">
        <v>26</v>
      </c>
      <c r="E69" s="11" t="s">
        <v>26</v>
      </c>
      <c r="F69" s="11" t="s">
        <v>26</v>
      </c>
      <c r="G69" s="10">
        <v>30412181.27</v>
      </c>
      <c r="H69" s="11">
        <v>2.1787337137999999E-4</v>
      </c>
      <c r="I69" s="11">
        <v>0.13500000000000001</v>
      </c>
      <c r="J69" s="11">
        <v>0.1348</v>
      </c>
      <c r="K69" s="10">
        <v>62016606.829999998</v>
      </c>
      <c r="L69" s="11">
        <v>2.3483550911450001E-2</v>
      </c>
      <c r="M69" s="11">
        <v>0.13500000000000001</v>
      </c>
      <c r="N69" s="11">
        <v>0.1115</v>
      </c>
      <c r="O69" s="10">
        <v>112790716.11</v>
      </c>
      <c r="P69" s="11">
        <v>5.4182507268000005E-4</v>
      </c>
      <c r="Q69" s="11">
        <v>0.13389999999999999</v>
      </c>
      <c r="R69" s="11">
        <v>0.13339999999999999</v>
      </c>
      <c r="S69" s="10">
        <v>57563182.399999999</v>
      </c>
      <c r="T69" s="11">
        <v>5.5152746631999998E-4</v>
      </c>
      <c r="U69" s="11">
        <v>0.13500000000000001</v>
      </c>
      <c r="V69" s="11">
        <v>0.13439999999999999</v>
      </c>
      <c r="W69" s="10" t="s">
        <v>26</v>
      </c>
      <c r="X69" s="11" t="s">
        <v>26</v>
      </c>
      <c r="Y69" s="11" t="s">
        <v>26</v>
      </c>
      <c r="Z69" s="11" t="s">
        <v>26</v>
      </c>
      <c r="AA69" s="10">
        <v>30184093.199999999</v>
      </c>
      <c r="AB69" s="11">
        <v>2.3531441644E-4</v>
      </c>
      <c r="AC69" s="11">
        <v>0.12</v>
      </c>
      <c r="AD69" s="11">
        <v>0.1198</v>
      </c>
      <c r="AE69" s="10">
        <v>292966779.81</v>
      </c>
      <c r="AF69" s="11">
        <v>4.9289969451999998E-4</v>
      </c>
      <c r="AG69" s="11">
        <v>0.13300000000000001</v>
      </c>
      <c r="AH69" s="11">
        <v>0.13250000000000001</v>
      </c>
      <c r="AI69" s="10">
        <v>54566441.329999998</v>
      </c>
      <c r="AJ69" s="11">
        <v>3.38761034307E-3</v>
      </c>
      <c r="AK69" s="11">
        <v>0.13500000000000001</v>
      </c>
      <c r="AL69" s="11">
        <v>0.13159999999999999</v>
      </c>
      <c r="AM69" s="10" t="s">
        <v>26</v>
      </c>
      <c r="AN69" s="11" t="s">
        <v>26</v>
      </c>
      <c r="AO69" s="11" t="s">
        <v>26</v>
      </c>
      <c r="AP69" s="11" t="s">
        <v>26</v>
      </c>
      <c r="AQ69" s="10">
        <v>54566441.329999998</v>
      </c>
      <c r="AR69" s="11">
        <v>1.3865979017099999E-3</v>
      </c>
      <c r="AS69" s="11">
        <v>0.13500000000000001</v>
      </c>
      <c r="AT69" s="11">
        <v>0.1336</v>
      </c>
      <c r="AU69" s="10">
        <v>4907969.8</v>
      </c>
      <c r="AV69" s="11">
        <v>1.1756970514E-4</v>
      </c>
      <c r="AW69" s="11">
        <v>0.13500000000000001</v>
      </c>
      <c r="AX69" s="11">
        <v>0.13489999999999999</v>
      </c>
      <c r="AY69" s="10">
        <v>352441190.94</v>
      </c>
      <c r="AZ69" s="11">
        <v>5.2177026386E-4</v>
      </c>
      <c r="BA69" s="11">
        <v>0.13339999999999999</v>
      </c>
      <c r="BB69" s="11">
        <v>0.13289999999999999</v>
      </c>
    </row>
    <row r="70" spans="1:54" s="7" customFormat="1">
      <c r="A70" s="3" t="s">
        <v>36</v>
      </c>
      <c r="B70" s="31" t="s">
        <v>56</v>
      </c>
      <c r="C70" s="2" t="s">
        <v>26</v>
      </c>
      <c r="D70" s="1" t="s">
        <v>26</v>
      </c>
      <c r="E70" s="1" t="s">
        <v>26</v>
      </c>
      <c r="F70" s="1" t="s">
        <v>26</v>
      </c>
      <c r="G70" s="2" t="s">
        <v>26</v>
      </c>
      <c r="H70" s="1" t="s">
        <v>26</v>
      </c>
      <c r="I70" s="1" t="s">
        <v>26</v>
      </c>
      <c r="J70" s="1" t="s">
        <v>26</v>
      </c>
      <c r="K70" s="2" t="s">
        <v>26</v>
      </c>
      <c r="L70" s="1" t="s">
        <v>26</v>
      </c>
      <c r="M70" s="1" t="s">
        <v>26</v>
      </c>
      <c r="N70" s="1" t="s">
        <v>26</v>
      </c>
      <c r="O70" s="2">
        <v>8191196.2199999997</v>
      </c>
      <c r="P70" s="1">
        <v>7.2622964925689995E-2</v>
      </c>
      <c r="Q70" s="1" t="s">
        <v>26</v>
      </c>
      <c r="R70" s="1" t="s">
        <v>26</v>
      </c>
      <c r="S70" s="2" t="s">
        <v>26</v>
      </c>
      <c r="T70" s="1" t="s">
        <v>26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>
        <v>30184093.199999999</v>
      </c>
      <c r="AB70" s="1">
        <v>1</v>
      </c>
      <c r="AC70" s="1" t="s">
        <v>26</v>
      </c>
      <c r="AD70" s="1" t="s">
        <v>26</v>
      </c>
      <c r="AE70" s="2">
        <v>38375289.420000002</v>
      </c>
      <c r="AF70" s="1">
        <v>0.13098853544038999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38375289.420000002</v>
      </c>
      <c r="AZ70" s="1">
        <v>0.10888423489221</v>
      </c>
      <c r="BA70" s="1" t="s">
        <v>26</v>
      </c>
      <c r="BB70" s="1" t="s">
        <v>26</v>
      </c>
    </row>
    <row r="71" spans="1:54" s="7" customFormat="1">
      <c r="A71" s="3" t="s">
        <v>38</v>
      </c>
      <c r="B71" s="31" t="s">
        <v>43</v>
      </c>
      <c r="C71" s="2" t="s">
        <v>26</v>
      </c>
      <c r="D71" s="1" t="s">
        <v>26</v>
      </c>
      <c r="E71" s="1" t="s">
        <v>26</v>
      </c>
      <c r="F71" s="1" t="s">
        <v>26</v>
      </c>
      <c r="G71" s="2">
        <v>30412181.27</v>
      </c>
      <c r="H71" s="1">
        <v>1</v>
      </c>
      <c r="I71" s="1" t="s">
        <v>26</v>
      </c>
      <c r="J71" s="1" t="s">
        <v>26</v>
      </c>
      <c r="K71" s="2">
        <v>62016606.829999998</v>
      </c>
      <c r="L71" s="1">
        <v>1</v>
      </c>
      <c r="M71" s="1" t="s">
        <v>26</v>
      </c>
      <c r="N71" s="1" t="s">
        <v>26</v>
      </c>
      <c r="O71" s="2">
        <v>104599519.89</v>
      </c>
      <c r="P71" s="1">
        <v>0.92737703507431002</v>
      </c>
      <c r="Q71" s="1" t="s">
        <v>26</v>
      </c>
      <c r="R71" s="1" t="s">
        <v>26</v>
      </c>
      <c r="S71" s="2">
        <v>57563182.399999999</v>
      </c>
      <c r="T71" s="1">
        <v>1</v>
      </c>
      <c r="U71" s="1" t="s">
        <v>26</v>
      </c>
      <c r="V71" s="1" t="s">
        <v>26</v>
      </c>
      <c r="W71" s="2" t="s">
        <v>26</v>
      </c>
      <c r="X71" s="1" t="s">
        <v>26</v>
      </c>
      <c r="Y71" s="1" t="s">
        <v>26</v>
      </c>
      <c r="Z71" s="1" t="s">
        <v>26</v>
      </c>
      <c r="AA71" s="2" t="s">
        <v>26</v>
      </c>
      <c r="AB71" s="1" t="s">
        <v>26</v>
      </c>
      <c r="AC71" s="1" t="s">
        <v>26</v>
      </c>
      <c r="AD71" s="1" t="s">
        <v>26</v>
      </c>
      <c r="AE71" s="2">
        <v>254591490.38999999</v>
      </c>
      <c r="AF71" s="1">
        <v>0.86901146455960998</v>
      </c>
      <c r="AG71" s="1" t="s">
        <v>26</v>
      </c>
      <c r="AH71" s="1" t="s">
        <v>26</v>
      </c>
      <c r="AI71" s="2">
        <v>54566441.329999998</v>
      </c>
      <c r="AJ71" s="1">
        <v>1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>
        <v>54566441.329999998</v>
      </c>
      <c r="AR71" s="1">
        <v>1</v>
      </c>
      <c r="AS71" s="1" t="s">
        <v>26</v>
      </c>
      <c r="AT71" s="1" t="s">
        <v>26</v>
      </c>
      <c r="AU71" s="2">
        <v>4907969.8</v>
      </c>
      <c r="AV71" s="1">
        <v>1</v>
      </c>
      <c r="AW71" s="1" t="s">
        <v>26</v>
      </c>
      <c r="AX71" s="1" t="s">
        <v>26</v>
      </c>
      <c r="AY71" s="2">
        <v>314065901.51999998</v>
      </c>
      <c r="AZ71" s="1">
        <v>0.89111576510779</v>
      </c>
      <c r="BA71" s="1" t="s">
        <v>26</v>
      </c>
      <c r="BB71" s="1" t="s">
        <v>26</v>
      </c>
    </row>
    <row r="72" spans="1:54" s="7" customFormat="1">
      <c r="A72" s="13" t="s">
        <v>65</v>
      </c>
      <c r="B72" s="25" t="s">
        <v>25</v>
      </c>
      <c r="C72" s="55">
        <v>590581474.49000001</v>
      </c>
      <c r="D72" s="56">
        <v>0.10789295815681001</v>
      </c>
      <c r="E72" s="56" t="s">
        <v>26</v>
      </c>
      <c r="F72" s="56" t="s">
        <v>26</v>
      </c>
      <c r="G72" s="55">
        <v>4972983758.8500004</v>
      </c>
      <c r="H72" s="56">
        <v>3.5626538186760003E-2</v>
      </c>
      <c r="I72" s="56" t="s">
        <v>26</v>
      </c>
      <c r="J72" s="56" t="s">
        <v>26</v>
      </c>
      <c r="K72" s="55">
        <v>505502312.56</v>
      </c>
      <c r="L72" s="56">
        <v>0.19141629798289</v>
      </c>
      <c r="M72" s="56" t="s">
        <v>26</v>
      </c>
      <c r="N72" s="56" t="s">
        <v>26</v>
      </c>
      <c r="O72" s="55">
        <v>10256602254.709999</v>
      </c>
      <c r="P72" s="56">
        <v>4.9270759631159997E-2</v>
      </c>
      <c r="Q72" s="56" t="s">
        <v>26</v>
      </c>
      <c r="R72" s="56" t="s">
        <v>26</v>
      </c>
      <c r="S72" s="55">
        <v>5374283335.5100002</v>
      </c>
      <c r="T72" s="56">
        <v>5.1492373210160002E-2</v>
      </c>
      <c r="U72" s="56" t="s">
        <v>26</v>
      </c>
      <c r="V72" s="56" t="s">
        <v>26</v>
      </c>
      <c r="W72" s="55" t="s">
        <v>26</v>
      </c>
      <c r="X72" s="56" t="s">
        <v>26</v>
      </c>
      <c r="Y72" s="56" t="s">
        <v>26</v>
      </c>
      <c r="Z72" s="56" t="s">
        <v>26</v>
      </c>
      <c r="AA72" s="55">
        <v>5350668662.4399996</v>
      </c>
      <c r="AB72" s="56">
        <v>4.1713675660729997E-2</v>
      </c>
      <c r="AC72" s="56" t="s">
        <v>26</v>
      </c>
      <c r="AD72" s="56" t="s">
        <v>26</v>
      </c>
      <c r="AE72" s="55">
        <v>27050621798.560001</v>
      </c>
      <c r="AF72" s="56">
        <v>4.5511109586690003E-2</v>
      </c>
      <c r="AG72" s="56" t="s">
        <v>26</v>
      </c>
      <c r="AH72" s="56" t="s">
        <v>26</v>
      </c>
      <c r="AI72" s="55">
        <v>1094032420.6800001</v>
      </c>
      <c r="AJ72" s="56">
        <v>6.7920052208190002E-2</v>
      </c>
      <c r="AK72" s="56" t="s">
        <v>26</v>
      </c>
      <c r="AL72" s="56" t="s">
        <v>26</v>
      </c>
      <c r="AM72" s="55">
        <v>2184739193.1799998</v>
      </c>
      <c r="AN72" s="56">
        <v>9.3987082466780003E-2</v>
      </c>
      <c r="AO72" s="56" t="s">
        <v>26</v>
      </c>
      <c r="AP72" s="56" t="s">
        <v>26</v>
      </c>
      <c r="AQ72" s="55">
        <v>3278771613.8600001</v>
      </c>
      <c r="AR72" s="56">
        <v>8.3317470026200005E-2</v>
      </c>
      <c r="AS72" s="56" t="s">
        <v>26</v>
      </c>
      <c r="AT72" s="56" t="s">
        <v>26</v>
      </c>
      <c r="AU72" s="55">
        <v>1358146168.6900001</v>
      </c>
      <c r="AV72" s="56">
        <v>3.2534194604409997E-2</v>
      </c>
      <c r="AW72" s="56" t="s">
        <v>26</v>
      </c>
      <c r="AX72" s="56" t="s">
        <v>26</v>
      </c>
      <c r="AY72" s="55">
        <v>31687539581.110001</v>
      </c>
      <c r="AZ72" s="56">
        <v>4.691170133678E-2</v>
      </c>
      <c r="BA72" s="56" t="s">
        <v>26</v>
      </c>
      <c r="BB72" s="56" t="s">
        <v>26</v>
      </c>
    </row>
    <row r="73" spans="1:54" s="7" customFormat="1">
      <c r="A73" s="5" t="s">
        <v>105</v>
      </c>
      <c r="B73" s="24" t="s">
        <v>25</v>
      </c>
      <c r="C73" s="10" t="s">
        <v>26</v>
      </c>
      <c r="D73" s="11" t="s">
        <v>26</v>
      </c>
      <c r="E73" s="11" t="s">
        <v>26</v>
      </c>
      <c r="F73" s="11" t="s">
        <v>26</v>
      </c>
      <c r="G73" s="10" t="s">
        <v>26</v>
      </c>
      <c r="H73" s="11" t="s">
        <v>26</v>
      </c>
      <c r="I73" s="11" t="s">
        <v>26</v>
      </c>
      <c r="J73" s="11" t="s">
        <v>26</v>
      </c>
      <c r="K73" s="10">
        <v>47151752.969999999</v>
      </c>
      <c r="L73" s="11">
        <v>1.7854743237900001E-2</v>
      </c>
      <c r="M73" s="11">
        <v>0.08</v>
      </c>
      <c r="N73" s="11">
        <v>6.2100000000000002E-2</v>
      </c>
      <c r="O73" s="10" t="s">
        <v>26</v>
      </c>
      <c r="P73" s="11" t="s">
        <v>26</v>
      </c>
      <c r="Q73" s="11" t="s">
        <v>26</v>
      </c>
      <c r="R73" s="11" t="s">
        <v>26</v>
      </c>
      <c r="S73" s="10">
        <v>86190238.930000007</v>
      </c>
      <c r="T73" s="11">
        <v>8.2581056356999998E-4</v>
      </c>
      <c r="U73" s="11">
        <v>0.08</v>
      </c>
      <c r="V73" s="11">
        <v>7.9200000000000007E-2</v>
      </c>
      <c r="W73" s="10" t="s">
        <v>26</v>
      </c>
      <c r="X73" s="11" t="s">
        <v>26</v>
      </c>
      <c r="Y73" s="11" t="s">
        <v>26</v>
      </c>
      <c r="Z73" s="11" t="s">
        <v>26</v>
      </c>
      <c r="AA73" s="10" t="s">
        <v>26</v>
      </c>
      <c r="AB73" s="11" t="s">
        <v>26</v>
      </c>
      <c r="AC73" s="11" t="s">
        <v>26</v>
      </c>
      <c r="AD73" s="11" t="s">
        <v>26</v>
      </c>
      <c r="AE73" s="10">
        <v>133341991.90000001</v>
      </c>
      <c r="AF73" s="11">
        <v>2.2434020375000001E-4</v>
      </c>
      <c r="AG73" s="11">
        <v>0.08</v>
      </c>
      <c r="AH73" s="11">
        <v>7.9799999999999996E-2</v>
      </c>
      <c r="AI73" s="10" t="s">
        <v>26</v>
      </c>
      <c r="AJ73" s="11" t="s">
        <v>26</v>
      </c>
      <c r="AK73" s="11" t="s">
        <v>26</v>
      </c>
      <c r="AL73" s="11" t="s">
        <v>26</v>
      </c>
      <c r="AM73" s="10" t="s">
        <v>26</v>
      </c>
      <c r="AN73" s="11" t="s">
        <v>26</v>
      </c>
      <c r="AO73" s="11" t="s">
        <v>26</v>
      </c>
      <c r="AP73" s="11" t="s">
        <v>26</v>
      </c>
      <c r="AQ73" s="10" t="s">
        <v>26</v>
      </c>
      <c r="AR73" s="11" t="s">
        <v>26</v>
      </c>
      <c r="AS73" s="11" t="s">
        <v>26</v>
      </c>
      <c r="AT73" s="11" t="s">
        <v>26</v>
      </c>
      <c r="AU73" s="10" t="s">
        <v>26</v>
      </c>
      <c r="AV73" s="11" t="s">
        <v>26</v>
      </c>
      <c r="AW73" s="11" t="s">
        <v>26</v>
      </c>
      <c r="AX73" s="11" t="s">
        <v>26</v>
      </c>
      <c r="AY73" s="10">
        <v>133341991.90000001</v>
      </c>
      <c r="AZ73" s="11">
        <v>1.9740566109999999E-4</v>
      </c>
      <c r="BA73" s="11">
        <v>0.08</v>
      </c>
      <c r="BB73" s="11">
        <v>7.9799999999999996E-2</v>
      </c>
    </row>
    <row r="74" spans="1:54" s="7" customFormat="1">
      <c r="A74" s="3" t="s">
        <v>67</v>
      </c>
      <c r="B74" s="31" t="s">
        <v>56</v>
      </c>
      <c r="C74" s="2" t="s">
        <v>26</v>
      </c>
      <c r="D74" s="1" t="s">
        <v>26</v>
      </c>
      <c r="E74" s="1" t="s">
        <v>26</v>
      </c>
      <c r="F74" s="1" t="s">
        <v>26</v>
      </c>
      <c r="G74" s="2" t="s">
        <v>26</v>
      </c>
      <c r="H74" s="1" t="s">
        <v>26</v>
      </c>
      <c r="I74" s="1" t="s">
        <v>26</v>
      </c>
      <c r="J74" s="1" t="s">
        <v>26</v>
      </c>
      <c r="K74" s="2">
        <v>47151752.969999999</v>
      </c>
      <c r="L74" s="1">
        <v>1</v>
      </c>
      <c r="M74" s="1" t="s">
        <v>26</v>
      </c>
      <c r="N74" s="1" t="s">
        <v>26</v>
      </c>
      <c r="O74" s="2" t="s">
        <v>26</v>
      </c>
      <c r="P74" s="1" t="s">
        <v>26</v>
      </c>
      <c r="Q74" s="1" t="s">
        <v>26</v>
      </c>
      <c r="R74" s="1" t="s">
        <v>26</v>
      </c>
      <c r="S74" s="2">
        <v>86190238.930000007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 t="s">
        <v>26</v>
      </c>
      <c r="AB74" s="1" t="s">
        <v>26</v>
      </c>
      <c r="AC74" s="1" t="s">
        <v>26</v>
      </c>
      <c r="AD74" s="1" t="s">
        <v>26</v>
      </c>
      <c r="AE74" s="2">
        <v>133341991.90000001</v>
      </c>
      <c r="AF74" s="1">
        <v>1</v>
      </c>
      <c r="AG74" s="1" t="s">
        <v>26</v>
      </c>
      <c r="AH74" s="1" t="s">
        <v>26</v>
      </c>
      <c r="AI74" s="2" t="s">
        <v>26</v>
      </c>
      <c r="AJ74" s="1" t="s">
        <v>26</v>
      </c>
      <c r="AK74" s="1" t="s">
        <v>26</v>
      </c>
      <c r="AL74" s="1" t="s">
        <v>26</v>
      </c>
      <c r="AM74" s="2" t="s">
        <v>26</v>
      </c>
      <c r="AN74" s="1" t="s">
        <v>26</v>
      </c>
      <c r="AO74" s="1" t="s">
        <v>26</v>
      </c>
      <c r="AP74" s="1" t="s">
        <v>26</v>
      </c>
      <c r="AQ74" s="2" t="s">
        <v>26</v>
      </c>
      <c r="AR74" s="1" t="s">
        <v>26</v>
      </c>
      <c r="AS74" s="1" t="s">
        <v>26</v>
      </c>
      <c r="AT74" s="1" t="s">
        <v>26</v>
      </c>
      <c r="AU74" s="2" t="s">
        <v>26</v>
      </c>
      <c r="AV74" s="1" t="s">
        <v>26</v>
      </c>
      <c r="AW74" s="1" t="s">
        <v>26</v>
      </c>
      <c r="AX74" s="1" t="s">
        <v>26</v>
      </c>
      <c r="AY74" s="2">
        <v>133341991.90000001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66</v>
      </c>
      <c r="B75" s="24" t="s">
        <v>25</v>
      </c>
      <c r="C75" s="10" t="s">
        <v>26</v>
      </c>
      <c r="D75" s="11" t="s">
        <v>26</v>
      </c>
      <c r="E75" s="11" t="s">
        <v>26</v>
      </c>
      <c r="F75" s="11" t="s">
        <v>26</v>
      </c>
      <c r="G75" s="10">
        <v>199235117.78</v>
      </c>
      <c r="H75" s="11">
        <v>1.4273236905500001E-3</v>
      </c>
      <c r="I75" s="11">
        <v>0.08</v>
      </c>
      <c r="J75" s="11">
        <v>7.8600000000000003E-2</v>
      </c>
      <c r="K75" s="10">
        <v>81682157.530000001</v>
      </c>
      <c r="L75" s="11">
        <v>3.0930216968680001E-2</v>
      </c>
      <c r="M75" s="11">
        <v>0.08</v>
      </c>
      <c r="N75" s="11">
        <v>4.9099999999999998E-2</v>
      </c>
      <c r="O75" s="10">
        <v>166044018.84</v>
      </c>
      <c r="P75" s="11">
        <v>7.9764377493999998E-4</v>
      </c>
      <c r="Q75" s="11">
        <v>0.08</v>
      </c>
      <c r="R75" s="11">
        <v>7.9200000000000007E-2</v>
      </c>
      <c r="S75" s="10" t="s">
        <v>26</v>
      </c>
      <c r="T75" s="11" t="s">
        <v>26</v>
      </c>
      <c r="U75" s="11" t="s">
        <v>26</v>
      </c>
      <c r="V75" s="11" t="s">
        <v>26</v>
      </c>
      <c r="W75" s="10" t="s">
        <v>26</v>
      </c>
      <c r="X75" s="11" t="s">
        <v>26</v>
      </c>
      <c r="Y75" s="11" t="s">
        <v>26</v>
      </c>
      <c r="Z75" s="11" t="s">
        <v>26</v>
      </c>
      <c r="AA75" s="10">
        <v>42879017.009999998</v>
      </c>
      <c r="AB75" s="11">
        <v>3.3428371686999999E-4</v>
      </c>
      <c r="AC75" s="11">
        <v>0.08</v>
      </c>
      <c r="AD75" s="11">
        <v>7.9699999999999993E-2</v>
      </c>
      <c r="AE75" s="10">
        <v>489840311.16000003</v>
      </c>
      <c r="AF75" s="11">
        <v>8.2412804581999996E-4</v>
      </c>
      <c r="AG75" s="11">
        <v>0.08</v>
      </c>
      <c r="AH75" s="11">
        <v>7.9200000000000007E-2</v>
      </c>
      <c r="AI75" s="10" t="s">
        <v>26</v>
      </c>
      <c r="AJ75" s="11" t="s">
        <v>26</v>
      </c>
      <c r="AK75" s="11" t="s">
        <v>26</v>
      </c>
      <c r="AL75" s="11" t="s">
        <v>26</v>
      </c>
      <c r="AM75" s="10" t="s">
        <v>26</v>
      </c>
      <c r="AN75" s="11" t="s">
        <v>26</v>
      </c>
      <c r="AO75" s="11" t="s">
        <v>26</v>
      </c>
      <c r="AP75" s="11" t="s">
        <v>26</v>
      </c>
      <c r="AQ75" s="10" t="s">
        <v>26</v>
      </c>
      <c r="AR75" s="11" t="s">
        <v>26</v>
      </c>
      <c r="AS75" s="11" t="s">
        <v>26</v>
      </c>
      <c r="AT75" s="11" t="s">
        <v>26</v>
      </c>
      <c r="AU75" s="10" t="s">
        <v>26</v>
      </c>
      <c r="AV75" s="11" t="s">
        <v>26</v>
      </c>
      <c r="AW75" s="11" t="s">
        <v>26</v>
      </c>
      <c r="AX75" s="11" t="s">
        <v>26</v>
      </c>
      <c r="AY75" s="10">
        <v>489840311.16000003</v>
      </c>
      <c r="AZ75" s="11">
        <v>7.2518228564000004E-4</v>
      </c>
      <c r="BA75" s="11">
        <v>0.08</v>
      </c>
      <c r="BB75" s="11">
        <v>7.9299999999999995E-2</v>
      </c>
    </row>
    <row r="76" spans="1:54" s="7" customFormat="1">
      <c r="A76" s="3" t="s">
        <v>67</v>
      </c>
      <c r="B76" s="31" t="s">
        <v>56</v>
      </c>
      <c r="C76" s="2" t="s">
        <v>26</v>
      </c>
      <c r="D76" s="1" t="s">
        <v>26</v>
      </c>
      <c r="E76" s="1" t="s">
        <v>26</v>
      </c>
      <c r="F76" s="1" t="s">
        <v>26</v>
      </c>
      <c r="G76" s="2">
        <v>199235117.78</v>
      </c>
      <c r="H76" s="1">
        <v>1</v>
      </c>
      <c r="I76" s="1" t="s">
        <v>26</v>
      </c>
      <c r="J76" s="1" t="s">
        <v>26</v>
      </c>
      <c r="K76" s="2">
        <v>81682157.530000001</v>
      </c>
      <c r="L76" s="1">
        <v>1</v>
      </c>
      <c r="M76" s="1" t="s">
        <v>26</v>
      </c>
      <c r="N76" s="1" t="s">
        <v>26</v>
      </c>
      <c r="O76" s="2">
        <v>166044018.84</v>
      </c>
      <c r="P76" s="1">
        <v>1</v>
      </c>
      <c r="Q76" s="1" t="s">
        <v>26</v>
      </c>
      <c r="R76" s="1" t="s">
        <v>26</v>
      </c>
      <c r="S76" s="2" t="s">
        <v>26</v>
      </c>
      <c r="T76" s="1" t="s">
        <v>26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>
        <v>42879017.009999998</v>
      </c>
      <c r="AB76" s="1">
        <v>1</v>
      </c>
      <c r="AC76" s="1" t="s">
        <v>26</v>
      </c>
      <c r="AD76" s="1" t="s">
        <v>26</v>
      </c>
      <c r="AE76" s="2">
        <v>489840311.16000003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 t="s">
        <v>26</v>
      </c>
      <c r="AR76" s="1" t="s">
        <v>26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489840311.16000003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68</v>
      </c>
      <c r="B77" s="24" t="s">
        <v>25</v>
      </c>
      <c r="C77" s="10" t="s">
        <v>26</v>
      </c>
      <c r="D77" s="11" t="s">
        <v>26</v>
      </c>
      <c r="E77" s="11" t="s">
        <v>26</v>
      </c>
      <c r="F77" s="11" t="s">
        <v>26</v>
      </c>
      <c r="G77" s="10">
        <v>507221574.55000001</v>
      </c>
      <c r="H77" s="11">
        <v>3.6337437786099999E-3</v>
      </c>
      <c r="I77" s="11">
        <v>0.09</v>
      </c>
      <c r="J77" s="11">
        <v>8.6400000000000005E-2</v>
      </c>
      <c r="K77" s="10" t="s">
        <v>26</v>
      </c>
      <c r="L77" s="11" t="s">
        <v>26</v>
      </c>
      <c r="M77" s="11" t="s">
        <v>26</v>
      </c>
      <c r="N77" s="11" t="s">
        <v>26</v>
      </c>
      <c r="O77" s="10">
        <v>1116161809.25</v>
      </c>
      <c r="P77" s="11">
        <v>5.3618282982299996E-3</v>
      </c>
      <c r="Q77" s="11">
        <v>0.09</v>
      </c>
      <c r="R77" s="11">
        <v>8.4599999999999995E-2</v>
      </c>
      <c r="S77" s="10">
        <v>511200974.94</v>
      </c>
      <c r="T77" s="11">
        <v>4.8979463388299999E-3</v>
      </c>
      <c r="U77" s="11">
        <v>0.09</v>
      </c>
      <c r="V77" s="11">
        <v>8.5099999999999995E-2</v>
      </c>
      <c r="W77" s="10" t="s">
        <v>26</v>
      </c>
      <c r="X77" s="11" t="s">
        <v>26</v>
      </c>
      <c r="Y77" s="11" t="s">
        <v>26</v>
      </c>
      <c r="Z77" s="11" t="s">
        <v>26</v>
      </c>
      <c r="AA77" s="10">
        <v>1359316241.7</v>
      </c>
      <c r="AB77" s="11">
        <v>1.0597194557129999E-2</v>
      </c>
      <c r="AC77" s="11">
        <v>0.09</v>
      </c>
      <c r="AD77" s="11">
        <v>7.9399999999999998E-2</v>
      </c>
      <c r="AE77" s="10">
        <v>3493900600.4400001</v>
      </c>
      <c r="AF77" s="11">
        <v>5.8782860629100001E-3</v>
      </c>
      <c r="AG77" s="11">
        <v>0.09</v>
      </c>
      <c r="AH77" s="11">
        <v>8.4099999999999994E-2</v>
      </c>
      <c r="AI77" s="10">
        <v>94789810.489999995</v>
      </c>
      <c r="AJ77" s="11">
        <v>5.8847697340500002E-3</v>
      </c>
      <c r="AK77" s="11">
        <v>0.09</v>
      </c>
      <c r="AL77" s="11">
        <v>8.4099999999999994E-2</v>
      </c>
      <c r="AM77" s="10">
        <v>13329363.390000001</v>
      </c>
      <c r="AN77" s="11">
        <v>5.7342678708999998E-4</v>
      </c>
      <c r="AO77" s="11">
        <v>0.09</v>
      </c>
      <c r="AP77" s="11">
        <v>8.9399999999999993E-2</v>
      </c>
      <c r="AQ77" s="10">
        <v>108119173.88</v>
      </c>
      <c r="AR77" s="11">
        <v>2.7474362626900002E-3</v>
      </c>
      <c r="AS77" s="11">
        <v>0.09</v>
      </c>
      <c r="AT77" s="11">
        <v>8.7300000000000003E-2</v>
      </c>
      <c r="AU77" s="10">
        <v>183845125.36000001</v>
      </c>
      <c r="AV77" s="11">
        <v>4.4039833292099997E-3</v>
      </c>
      <c r="AW77" s="11">
        <v>0.09</v>
      </c>
      <c r="AX77" s="11">
        <v>8.5599999999999996E-2</v>
      </c>
      <c r="AY77" s="10">
        <v>3785864899.6799998</v>
      </c>
      <c r="AZ77" s="11">
        <v>5.6047697556499999E-3</v>
      </c>
      <c r="BA77" s="11">
        <v>0.09</v>
      </c>
      <c r="BB77" s="11">
        <v>8.4400000000000003E-2</v>
      </c>
    </row>
    <row r="78" spans="1:54" s="7" customFormat="1">
      <c r="A78" s="3" t="s">
        <v>67</v>
      </c>
      <c r="B78" s="31" t="s">
        <v>37</v>
      </c>
      <c r="C78" s="2" t="s">
        <v>26</v>
      </c>
      <c r="D78" s="1" t="s">
        <v>26</v>
      </c>
      <c r="E78" s="1" t="s">
        <v>26</v>
      </c>
      <c r="F78" s="1" t="s">
        <v>26</v>
      </c>
      <c r="G78" s="2">
        <v>507221574.55000001</v>
      </c>
      <c r="H78" s="1">
        <v>1</v>
      </c>
      <c r="I78" s="1" t="s">
        <v>26</v>
      </c>
      <c r="J78" s="1" t="s">
        <v>26</v>
      </c>
      <c r="K78" s="2" t="s">
        <v>26</v>
      </c>
      <c r="L78" s="1" t="s">
        <v>26</v>
      </c>
      <c r="M78" s="1" t="s">
        <v>26</v>
      </c>
      <c r="N78" s="1" t="s">
        <v>26</v>
      </c>
      <c r="O78" s="2">
        <v>1116161809.25</v>
      </c>
      <c r="P78" s="1">
        <v>1</v>
      </c>
      <c r="Q78" s="1" t="s">
        <v>26</v>
      </c>
      <c r="R78" s="1" t="s">
        <v>26</v>
      </c>
      <c r="S78" s="2">
        <v>511200974.94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>
        <v>1359316241.7</v>
      </c>
      <c r="AB78" s="1">
        <v>1</v>
      </c>
      <c r="AC78" s="1" t="s">
        <v>26</v>
      </c>
      <c r="AD78" s="1" t="s">
        <v>26</v>
      </c>
      <c r="AE78" s="2">
        <v>3493900600.4400001</v>
      </c>
      <c r="AF78" s="1">
        <v>1</v>
      </c>
      <c r="AG78" s="1" t="s">
        <v>26</v>
      </c>
      <c r="AH78" s="1" t="s">
        <v>26</v>
      </c>
      <c r="AI78" s="2">
        <v>94789810.489999995</v>
      </c>
      <c r="AJ78" s="1">
        <v>1</v>
      </c>
      <c r="AK78" s="1" t="s">
        <v>26</v>
      </c>
      <c r="AL78" s="1" t="s">
        <v>26</v>
      </c>
      <c r="AM78" s="2">
        <v>13329363.390000001</v>
      </c>
      <c r="AN78" s="1">
        <v>1</v>
      </c>
      <c r="AO78" s="1" t="s">
        <v>26</v>
      </c>
      <c r="AP78" s="1" t="s">
        <v>26</v>
      </c>
      <c r="AQ78" s="2">
        <v>108119173.88</v>
      </c>
      <c r="AR78" s="1">
        <v>1</v>
      </c>
      <c r="AS78" s="1" t="s">
        <v>26</v>
      </c>
      <c r="AT78" s="1" t="s">
        <v>26</v>
      </c>
      <c r="AU78" s="2">
        <v>183845125.36000001</v>
      </c>
      <c r="AV78" s="1">
        <v>1</v>
      </c>
      <c r="AW78" s="1" t="s">
        <v>26</v>
      </c>
      <c r="AX78" s="1" t="s">
        <v>26</v>
      </c>
      <c r="AY78" s="2">
        <v>3785864899.6799998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69</v>
      </c>
      <c r="B79" s="24" t="s">
        <v>25</v>
      </c>
      <c r="C79" s="10">
        <v>310777150.08999997</v>
      </c>
      <c r="D79" s="11">
        <v>5.6775682101629997E-2</v>
      </c>
      <c r="E79" s="11">
        <v>0.08</v>
      </c>
      <c r="F79" s="11">
        <v>2.3199999999999998E-2</v>
      </c>
      <c r="G79" s="10">
        <v>401686168</v>
      </c>
      <c r="H79" s="11">
        <v>2.8776863744799999E-3</v>
      </c>
      <c r="I79" s="11">
        <v>0.08</v>
      </c>
      <c r="J79" s="11">
        <v>7.7100000000000002E-2</v>
      </c>
      <c r="K79" s="10">
        <v>158096880.08000001</v>
      </c>
      <c r="L79" s="11">
        <v>5.9865837911410001E-2</v>
      </c>
      <c r="M79" s="11">
        <v>0.08</v>
      </c>
      <c r="N79" s="11">
        <v>2.01E-2</v>
      </c>
      <c r="O79" s="10">
        <v>1444854379.8900001</v>
      </c>
      <c r="P79" s="11">
        <v>6.94080467251E-3</v>
      </c>
      <c r="Q79" s="11">
        <v>0.08</v>
      </c>
      <c r="R79" s="11">
        <v>7.3099999999999998E-2</v>
      </c>
      <c r="S79" s="10">
        <v>315528469.73000002</v>
      </c>
      <c r="T79" s="11">
        <v>3.0231583836299999E-3</v>
      </c>
      <c r="U79" s="11">
        <v>0.08</v>
      </c>
      <c r="V79" s="11">
        <v>7.6999999999999999E-2</v>
      </c>
      <c r="W79" s="10" t="s">
        <v>26</v>
      </c>
      <c r="X79" s="11" t="s">
        <v>26</v>
      </c>
      <c r="Y79" s="11" t="s">
        <v>26</v>
      </c>
      <c r="Z79" s="11" t="s">
        <v>26</v>
      </c>
      <c r="AA79" s="10" t="s">
        <v>26</v>
      </c>
      <c r="AB79" s="11" t="s">
        <v>26</v>
      </c>
      <c r="AC79" s="11" t="s">
        <v>26</v>
      </c>
      <c r="AD79" s="11" t="s">
        <v>26</v>
      </c>
      <c r="AE79" s="10">
        <v>2630943047.79</v>
      </c>
      <c r="AF79" s="11">
        <v>4.4264097977499998E-3</v>
      </c>
      <c r="AG79" s="11">
        <v>0.08</v>
      </c>
      <c r="AH79" s="11">
        <v>7.5600000000000001E-2</v>
      </c>
      <c r="AI79" s="10" t="s">
        <v>26</v>
      </c>
      <c r="AJ79" s="11" t="s">
        <v>26</v>
      </c>
      <c r="AK79" s="11" t="s">
        <v>26</v>
      </c>
      <c r="AL79" s="11" t="s">
        <v>26</v>
      </c>
      <c r="AM79" s="10" t="s">
        <v>26</v>
      </c>
      <c r="AN79" s="11" t="s">
        <v>26</v>
      </c>
      <c r="AO79" s="11" t="s">
        <v>26</v>
      </c>
      <c r="AP79" s="11" t="s">
        <v>26</v>
      </c>
      <c r="AQ79" s="10" t="s">
        <v>26</v>
      </c>
      <c r="AR79" s="11" t="s">
        <v>26</v>
      </c>
      <c r="AS79" s="11" t="s">
        <v>26</v>
      </c>
      <c r="AT79" s="11" t="s">
        <v>26</v>
      </c>
      <c r="AU79" s="10" t="s">
        <v>26</v>
      </c>
      <c r="AV79" s="11" t="s">
        <v>26</v>
      </c>
      <c r="AW79" s="11" t="s">
        <v>26</v>
      </c>
      <c r="AX79" s="11" t="s">
        <v>26</v>
      </c>
      <c r="AY79" s="10">
        <v>2630943047.79</v>
      </c>
      <c r="AZ79" s="11">
        <v>3.8949699510800002E-3</v>
      </c>
      <c r="BA79" s="11">
        <v>0.08</v>
      </c>
      <c r="BB79" s="11">
        <v>7.6100000000000001E-2</v>
      </c>
    </row>
    <row r="80" spans="1:54" s="7" customFormat="1">
      <c r="A80" s="3" t="s">
        <v>67</v>
      </c>
      <c r="B80" s="31" t="s">
        <v>56</v>
      </c>
      <c r="C80" s="2">
        <v>310777150.08999997</v>
      </c>
      <c r="D80" s="1">
        <v>1</v>
      </c>
      <c r="E80" s="1" t="s">
        <v>26</v>
      </c>
      <c r="F80" s="1" t="s">
        <v>26</v>
      </c>
      <c r="G80" s="2">
        <v>401686168</v>
      </c>
      <c r="H80" s="1">
        <v>1</v>
      </c>
      <c r="I80" s="1" t="s">
        <v>26</v>
      </c>
      <c r="J80" s="1" t="s">
        <v>26</v>
      </c>
      <c r="K80" s="2">
        <v>158096880.08000001</v>
      </c>
      <c r="L80" s="1">
        <v>1</v>
      </c>
      <c r="M80" s="1" t="s">
        <v>26</v>
      </c>
      <c r="N80" s="1" t="s">
        <v>26</v>
      </c>
      <c r="O80" s="2">
        <v>1444854379.8900001</v>
      </c>
      <c r="P80" s="1">
        <v>1</v>
      </c>
      <c r="Q80" s="1" t="s">
        <v>26</v>
      </c>
      <c r="R80" s="1" t="s">
        <v>26</v>
      </c>
      <c r="S80" s="2">
        <v>315528469.73000002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2">
        <v>2630943047.79</v>
      </c>
      <c r="AF80" s="1">
        <v>1</v>
      </c>
      <c r="AG80" s="1" t="s">
        <v>26</v>
      </c>
      <c r="AH80" s="1" t="s">
        <v>26</v>
      </c>
      <c r="AI80" s="2" t="s">
        <v>26</v>
      </c>
      <c r="AJ80" s="1" t="s">
        <v>26</v>
      </c>
      <c r="AK80" s="1" t="s">
        <v>26</v>
      </c>
      <c r="AL80" s="1" t="s">
        <v>26</v>
      </c>
      <c r="AM80" s="2" t="s">
        <v>26</v>
      </c>
      <c r="AN80" s="1" t="s">
        <v>26</v>
      </c>
      <c r="AO80" s="1" t="s">
        <v>26</v>
      </c>
      <c r="AP80" s="1" t="s">
        <v>26</v>
      </c>
      <c r="AQ80" s="2" t="s">
        <v>26</v>
      </c>
      <c r="AR80" s="1" t="s">
        <v>26</v>
      </c>
      <c r="AS80" s="1" t="s">
        <v>26</v>
      </c>
      <c r="AT80" s="1" t="s">
        <v>26</v>
      </c>
      <c r="AU80" s="2" t="s">
        <v>26</v>
      </c>
      <c r="AV80" s="1" t="s">
        <v>26</v>
      </c>
      <c r="AW80" s="1" t="s">
        <v>26</v>
      </c>
      <c r="AX80" s="1" t="s">
        <v>26</v>
      </c>
      <c r="AY80" s="2">
        <v>2630943047.79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70</v>
      </c>
      <c r="B81" s="24" t="s">
        <v>25</v>
      </c>
      <c r="C81" s="10" t="s">
        <v>26</v>
      </c>
      <c r="D81" s="11" t="s">
        <v>26</v>
      </c>
      <c r="E81" s="11" t="s">
        <v>26</v>
      </c>
      <c r="F81" s="11" t="s">
        <v>26</v>
      </c>
      <c r="G81" s="10">
        <v>2297504981.3800001</v>
      </c>
      <c r="H81" s="11">
        <v>1.6459363819100001E-2</v>
      </c>
      <c r="I81" s="11">
        <v>0.09</v>
      </c>
      <c r="J81" s="11">
        <v>7.3499999999999996E-2</v>
      </c>
      <c r="K81" s="10" t="s">
        <v>26</v>
      </c>
      <c r="L81" s="11" t="s">
        <v>26</v>
      </c>
      <c r="M81" s="11" t="s">
        <v>26</v>
      </c>
      <c r="N81" s="11" t="s">
        <v>26</v>
      </c>
      <c r="O81" s="10">
        <v>2174436304.6799998</v>
      </c>
      <c r="P81" s="11">
        <v>1.044557698939E-2</v>
      </c>
      <c r="Q81" s="11">
        <v>0.09</v>
      </c>
      <c r="R81" s="11">
        <v>7.9600000000000004E-2</v>
      </c>
      <c r="S81" s="10">
        <v>1359126705.6700001</v>
      </c>
      <c r="T81" s="11">
        <v>1.302213805994E-2</v>
      </c>
      <c r="U81" s="11">
        <v>0.09</v>
      </c>
      <c r="V81" s="11">
        <v>7.6999999999999999E-2</v>
      </c>
      <c r="W81" s="10" t="s">
        <v>26</v>
      </c>
      <c r="X81" s="11" t="s">
        <v>26</v>
      </c>
      <c r="Y81" s="11" t="s">
        <v>26</v>
      </c>
      <c r="Z81" s="11" t="s">
        <v>26</v>
      </c>
      <c r="AA81" s="10">
        <v>1808170450.8099999</v>
      </c>
      <c r="AB81" s="11">
        <v>1.4096450459329999E-2</v>
      </c>
      <c r="AC81" s="11">
        <v>0.09</v>
      </c>
      <c r="AD81" s="11">
        <v>7.5899999999999995E-2</v>
      </c>
      <c r="AE81" s="10">
        <v>7639238442.54</v>
      </c>
      <c r="AF81" s="11">
        <v>1.285257767848E-2</v>
      </c>
      <c r="AG81" s="11">
        <v>0.09</v>
      </c>
      <c r="AH81" s="11">
        <v>7.7100000000000002E-2</v>
      </c>
      <c r="AI81" s="10">
        <v>16013301.4</v>
      </c>
      <c r="AJ81" s="11">
        <v>9.9414262918999996E-4</v>
      </c>
      <c r="AK81" s="11">
        <v>0.09</v>
      </c>
      <c r="AL81" s="11">
        <v>8.8999999999999996E-2</v>
      </c>
      <c r="AM81" s="10">
        <v>114660206.16</v>
      </c>
      <c r="AN81" s="11">
        <v>4.9326612007799999E-3</v>
      </c>
      <c r="AO81" s="11">
        <v>0.09</v>
      </c>
      <c r="AP81" s="11">
        <v>8.5099999999999995E-2</v>
      </c>
      <c r="AQ81" s="10">
        <v>130673507.56</v>
      </c>
      <c r="AR81" s="11">
        <v>3.3205685944499999E-3</v>
      </c>
      <c r="AS81" s="11">
        <v>0.09</v>
      </c>
      <c r="AT81" s="11">
        <v>8.6699999999999999E-2</v>
      </c>
      <c r="AU81" s="10">
        <v>473097616.83999997</v>
      </c>
      <c r="AV81" s="11">
        <v>1.133298483476E-2</v>
      </c>
      <c r="AW81" s="11">
        <v>0.09</v>
      </c>
      <c r="AX81" s="11">
        <v>7.8700000000000006E-2</v>
      </c>
      <c r="AY81" s="10">
        <v>8243009566.9399996</v>
      </c>
      <c r="AZ81" s="11">
        <v>1.220333317236E-2</v>
      </c>
      <c r="BA81" s="11">
        <v>0.09</v>
      </c>
      <c r="BB81" s="11">
        <v>7.7799999999999994E-2</v>
      </c>
    </row>
    <row r="82" spans="1:54" s="7" customFormat="1">
      <c r="A82" s="3" t="s">
        <v>67</v>
      </c>
      <c r="B82" s="31" t="s">
        <v>37</v>
      </c>
      <c r="C82" s="2" t="s">
        <v>26</v>
      </c>
      <c r="D82" s="1" t="s">
        <v>26</v>
      </c>
      <c r="E82" s="1" t="s">
        <v>26</v>
      </c>
      <c r="F82" s="1" t="s">
        <v>26</v>
      </c>
      <c r="G82" s="2">
        <v>2297504981.3800001</v>
      </c>
      <c r="H82" s="1">
        <v>1</v>
      </c>
      <c r="I82" s="1" t="s">
        <v>26</v>
      </c>
      <c r="J82" s="1" t="s">
        <v>26</v>
      </c>
      <c r="K82" s="2" t="s">
        <v>26</v>
      </c>
      <c r="L82" s="1" t="s">
        <v>26</v>
      </c>
      <c r="M82" s="1" t="s">
        <v>26</v>
      </c>
      <c r="N82" s="1" t="s">
        <v>26</v>
      </c>
      <c r="O82" s="2">
        <v>2174436304.6799998</v>
      </c>
      <c r="P82" s="1">
        <v>1</v>
      </c>
      <c r="Q82" s="1" t="s">
        <v>26</v>
      </c>
      <c r="R82" s="1" t="s">
        <v>26</v>
      </c>
      <c r="S82" s="2">
        <v>1359126705.6700001</v>
      </c>
      <c r="T82" s="1">
        <v>1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>
        <v>1808170450.8099999</v>
      </c>
      <c r="AB82" s="1">
        <v>1</v>
      </c>
      <c r="AC82" s="1" t="s">
        <v>26</v>
      </c>
      <c r="AD82" s="1" t="s">
        <v>26</v>
      </c>
      <c r="AE82" s="2">
        <v>7639238442.54</v>
      </c>
      <c r="AF82" s="1">
        <v>1</v>
      </c>
      <c r="AG82" s="1" t="s">
        <v>26</v>
      </c>
      <c r="AH82" s="1" t="s">
        <v>26</v>
      </c>
      <c r="AI82" s="2">
        <v>16013301.4</v>
      </c>
      <c r="AJ82" s="1">
        <v>1</v>
      </c>
      <c r="AK82" s="1" t="s">
        <v>26</v>
      </c>
      <c r="AL82" s="1" t="s">
        <v>26</v>
      </c>
      <c r="AM82" s="2">
        <v>114660206.16</v>
      </c>
      <c r="AN82" s="1">
        <v>1</v>
      </c>
      <c r="AO82" s="1" t="s">
        <v>26</v>
      </c>
      <c r="AP82" s="1" t="s">
        <v>26</v>
      </c>
      <c r="AQ82" s="2">
        <v>130673507.56</v>
      </c>
      <c r="AR82" s="1">
        <v>1</v>
      </c>
      <c r="AS82" s="1" t="s">
        <v>26</v>
      </c>
      <c r="AT82" s="1" t="s">
        <v>26</v>
      </c>
      <c r="AU82" s="2">
        <v>473097616.83999997</v>
      </c>
      <c r="AV82" s="1">
        <v>1</v>
      </c>
      <c r="AW82" s="1" t="s">
        <v>26</v>
      </c>
      <c r="AX82" s="1" t="s">
        <v>26</v>
      </c>
      <c r="AY82" s="2">
        <v>8243009566.9399996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71</v>
      </c>
      <c r="B83" s="24" t="s">
        <v>25</v>
      </c>
      <c r="C83" s="10">
        <v>87777355.980000004</v>
      </c>
      <c r="D83" s="11">
        <v>1.6035989960650001E-2</v>
      </c>
      <c r="E83" s="11">
        <v>0.08</v>
      </c>
      <c r="F83" s="11">
        <v>6.4000000000000001E-2</v>
      </c>
      <c r="G83" s="10">
        <v>220278203.22999999</v>
      </c>
      <c r="H83" s="11">
        <v>1.57807670397E-3</v>
      </c>
      <c r="I83" s="11">
        <v>0.08</v>
      </c>
      <c r="J83" s="11">
        <v>7.8399999999999997E-2</v>
      </c>
      <c r="K83" s="10">
        <v>105666936.84</v>
      </c>
      <c r="L83" s="11">
        <v>4.0012425990049998E-2</v>
      </c>
      <c r="M83" s="11">
        <v>0.08</v>
      </c>
      <c r="N83" s="11">
        <v>0.04</v>
      </c>
      <c r="O83" s="10">
        <v>2716368404.3299999</v>
      </c>
      <c r="P83" s="11">
        <v>1.304891536161E-2</v>
      </c>
      <c r="Q83" s="11">
        <v>0.08</v>
      </c>
      <c r="R83" s="11">
        <v>6.7000000000000004E-2</v>
      </c>
      <c r="S83" s="10">
        <v>2864702452.4699998</v>
      </c>
      <c r="T83" s="11">
        <v>2.744744156751E-2</v>
      </c>
      <c r="U83" s="11">
        <v>0.08</v>
      </c>
      <c r="V83" s="11">
        <v>5.2600000000000001E-2</v>
      </c>
      <c r="W83" s="10" t="s">
        <v>26</v>
      </c>
      <c r="X83" s="11" t="s">
        <v>26</v>
      </c>
      <c r="Y83" s="11" t="s">
        <v>26</v>
      </c>
      <c r="Z83" s="11" t="s">
        <v>26</v>
      </c>
      <c r="AA83" s="10">
        <v>1883190974.1199999</v>
      </c>
      <c r="AB83" s="11">
        <v>1.468130853496E-2</v>
      </c>
      <c r="AC83" s="11">
        <v>0.08</v>
      </c>
      <c r="AD83" s="11">
        <v>6.5299999999999997E-2</v>
      </c>
      <c r="AE83" s="10">
        <v>7877984326.9700003</v>
      </c>
      <c r="AF83" s="11">
        <v>1.325425384662E-2</v>
      </c>
      <c r="AG83" s="11">
        <v>0.08</v>
      </c>
      <c r="AH83" s="11">
        <v>6.6699999999999995E-2</v>
      </c>
      <c r="AI83" s="10">
        <v>605639157.91999996</v>
      </c>
      <c r="AJ83" s="11">
        <v>3.7599473697209999E-2</v>
      </c>
      <c r="AK83" s="11">
        <v>0.08</v>
      </c>
      <c r="AL83" s="11">
        <v>4.24E-2</v>
      </c>
      <c r="AM83" s="10">
        <v>1690620928.47</v>
      </c>
      <c r="AN83" s="11">
        <v>7.2730204648770003E-2</v>
      </c>
      <c r="AO83" s="11">
        <v>0.08</v>
      </c>
      <c r="AP83" s="11">
        <v>7.3000000000000001E-3</v>
      </c>
      <c r="AQ83" s="10">
        <v>2296260086.3899999</v>
      </c>
      <c r="AR83" s="11">
        <v>5.8350688444239997E-2</v>
      </c>
      <c r="AS83" s="11">
        <v>0.08</v>
      </c>
      <c r="AT83" s="11">
        <v>2.1600000000000001E-2</v>
      </c>
      <c r="AU83" s="10">
        <v>701203426.49000001</v>
      </c>
      <c r="AV83" s="11">
        <v>1.6797226440439999E-2</v>
      </c>
      <c r="AW83" s="11">
        <v>0.08</v>
      </c>
      <c r="AX83" s="11">
        <v>6.3200000000000006E-2</v>
      </c>
      <c r="AY83" s="10">
        <v>10875447839.85</v>
      </c>
      <c r="AZ83" s="11">
        <v>1.6100516723959998E-2</v>
      </c>
      <c r="BA83" s="11">
        <v>0.08</v>
      </c>
      <c r="BB83" s="11">
        <v>6.3899999999999998E-2</v>
      </c>
    </row>
    <row r="84" spans="1:54" s="7" customFormat="1">
      <c r="A84" s="3" t="s">
        <v>67</v>
      </c>
      <c r="B84" s="31" t="s">
        <v>56</v>
      </c>
      <c r="C84" s="2">
        <v>87777355.980000004</v>
      </c>
      <c r="D84" s="1">
        <v>1</v>
      </c>
      <c r="E84" s="1" t="s">
        <v>26</v>
      </c>
      <c r="F84" s="1" t="s">
        <v>26</v>
      </c>
      <c r="G84" s="2">
        <v>220278203.22999999</v>
      </c>
      <c r="H84" s="1">
        <v>1</v>
      </c>
      <c r="I84" s="1" t="s">
        <v>26</v>
      </c>
      <c r="J84" s="1" t="s">
        <v>26</v>
      </c>
      <c r="K84" s="2">
        <v>105666936.84</v>
      </c>
      <c r="L84" s="1">
        <v>1</v>
      </c>
      <c r="M84" s="1" t="s">
        <v>26</v>
      </c>
      <c r="N84" s="1" t="s">
        <v>26</v>
      </c>
      <c r="O84" s="2">
        <v>2716368404.3299999</v>
      </c>
      <c r="P84" s="1">
        <v>1</v>
      </c>
      <c r="Q84" s="1" t="s">
        <v>26</v>
      </c>
      <c r="R84" s="1" t="s">
        <v>26</v>
      </c>
      <c r="S84" s="2">
        <v>2864702452.4699998</v>
      </c>
      <c r="T84" s="1">
        <v>1</v>
      </c>
      <c r="U84" s="1" t="s">
        <v>26</v>
      </c>
      <c r="V84" s="1" t="s">
        <v>26</v>
      </c>
      <c r="W84" s="2" t="s">
        <v>26</v>
      </c>
      <c r="X84" s="1" t="s">
        <v>26</v>
      </c>
      <c r="Y84" s="1" t="s">
        <v>26</v>
      </c>
      <c r="Z84" s="1" t="s">
        <v>26</v>
      </c>
      <c r="AA84" s="2">
        <v>1883190974.1199999</v>
      </c>
      <c r="AB84" s="1">
        <v>1</v>
      </c>
      <c r="AC84" s="1" t="s">
        <v>26</v>
      </c>
      <c r="AD84" s="1" t="s">
        <v>26</v>
      </c>
      <c r="AE84" s="2">
        <v>7877984326.9700003</v>
      </c>
      <c r="AF84" s="1">
        <v>1</v>
      </c>
      <c r="AG84" s="1" t="s">
        <v>26</v>
      </c>
      <c r="AH84" s="1" t="s">
        <v>26</v>
      </c>
      <c r="AI84" s="2">
        <v>605639157.91999996</v>
      </c>
      <c r="AJ84" s="1">
        <v>1</v>
      </c>
      <c r="AK84" s="1" t="s">
        <v>26</v>
      </c>
      <c r="AL84" s="1" t="s">
        <v>26</v>
      </c>
      <c r="AM84" s="2">
        <v>1690620928.47</v>
      </c>
      <c r="AN84" s="1">
        <v>1</v>
      </c>
      <c r="AO84" s="1" t="s">
        <v>26</v>
      </c>
      <c r="AP84" s="1" t="s">
        <v>26</v>
      </c>
      <c r="AQ84" s="2">
        <v>2296260086.3899999</v>
      </c>
      <c r="AR84" s="1">
        <v>1</v>
      </c>
      <c r="AS84" s="1" t="s">
        <v>26</v>
      </c>
      <c r="AT84" s="1" t="s">
        <v>26</v>
      </c>
      <c r="AU84" s="2">
        <v>701203426.49000001</v>
      </c>
      <c r="AV84" s="1">
        <v>1</v>
      </c>
      <c r="AW84" s="1" t="s">
        <v>26</v>
      </c>
      <c r="AX84" s="1" t="s">
        <v>26</v>
      </c>
      <c r="AY84" s="2">
        <v>10875447839.85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72</v>
      </c>
      <c r="B85" s="24" t="s">
        <v>25</v>
      </c>
      <c r="C85" s="10">
        <v>90705847.569999993</v>
      </c>
      <c r="D85" s="11">
        <v>1.6570994247489999E-2</v>
      </c>
      <c r="E85" s="11">
        <v>0.08</v>
      </c>
      <c r="F85" s="11">
        <v>6.3399999999999998E-2</v>
      </c>
      <c r="G85" s="10">
        <v>338314716.80000001</v>
      </c>
      <c r="H85" s="11">
        <v>2.4236922462800002E-3</v>
      </c>
      <c r="I85" s="11">
        <v>0.08</v>
      </c>
      <c r="J85" s="11">
        <v>7.7600000000000002E-2</v>
      </c>
      <c r="K85" s="10">
        <v>103964480.78</v>
      </c>
      <c r="L85" s="11">
        <v>3.9367764574289997E-2</v>
      </c>
      <c r="M85" s="11">
        <v>0.08</v>
      </c>
      <c r="N85" s="11">
        <v>4.0599999999999997E-2</v>
      </c>
      <c r="O85" s="10">
        <v>1859762071.6300001</v>
      </c>
      <c r="P85" s="11">
        <v>8.9339420333199998E-3</v>
      </c>
      <c r="Q85" s="11">
        <v>0.08</v>
      </c>
      <c r="R85" s="11">
        <v>7.1099999999999997E-2</v>
      </c>
      <c r="S85" s="10" t="s">
        <v>26</v>
      </c>
      <c r="T85" s="11" t="s">
        <v>26</v>
      </c>
      <c r="U85" s="11" t="s">
        <v>26</v>
      </c>
      <c r="V85" s="11" t="s">
        <v>26</v>
      </c>
      <c r="W85" s="10" t="s">
        <v>26</v>
      </c>
      <c r="X85" s="11" t="s">
        <v>26</v>
      </c>
      <c r="Y85" s="11" t="s">
        <v>26</v>
      </c>
      <c r="Z85" s="11" t="s">
        <v>26</v>
      </c>
      <c r="AA85" s="10" t="s">
        <v>26</v>
      </c>
      <c r="AB85" s="11" t="s">
        <v>26</v>
      </c>
      <c r="AC85" s="11" t="s">
        <v>26</v>
      </c>
      <c r="AD85" s="11" t="s">
        <v>26</v>
      </c>
      <c r="AE85" s="10">
        <v>2392747116.7800002</v>
      </c>
      <c r="AF85" s="11">
        <v>4.0256588944999998E-3</v>
      </c>
      <c r="AG85" s="11">
        <v>0.08</v>
      </c>
      <c r="AH85" s="11">
        <v>7.5999999999999998E-2</v>
      </c>
      <c r="AI85" s="10" t="s">
        <v>26</v>
      </c>
      <c r="AJ85" s="11" t="s">
        <v>26</v>
      </c>
      <c r="AK85" s="11" t="s">
        <v>26</v>
      </c>
      <c r="AL85" s="11" t="s">
        <v>26</v>
      </c>
      <c r="AM85" s="10">
        <v>366128695.16000003</v>
      </c>
      <c r="AN85" s="11">
        <v>1.575078983014E-2</v>
      </c>
      <c r="AO85" s="11">
        <v>0.08</v>
      </c>
      <c r="AP85" s="11">
        <v>6.4199999999999993E-2</v>
      </c>
      <c r="AQ85" s="10">
        <v>366128695.16000003</v>
      </c>
      <c r="AR85" s="11">
        <v>9.3037637802400007E-3</v>
      </c>
      <c r="AS85" s="11">
        <v>0.08</v>
      </c>
      <c r="AT85" s="11">
        <v>7.0699999999999999E-2</v>
      </c>
      <c r="AU85" s="10" t="s">
        <v>26</v>
      </c>
      <c r="AV85" s="11" t="s">
        <v>26</v>
      </c>
      <c r="AW85" s="11" t="s">
        <v>26</v>
      </c>
      <c r="AX85" s="11" t="s">
        <v>26</v>
      </c>
      <c r="AY85" s="10">
        <v>2758875811.9400001</v>
      </c>
      <c r="AZ85" s="11">
        <v>4.08436754087E-3</v>
      </c>
      <c r="BA85" s="11">
        <v>0.08</v>
      </c>
      <c r="BB85" s="11">
        <v>7.5899999999999995E-2</v>
      </c>
    </row>
    <row r="86" spans="1:54" s="7" customFormat="1">
      <c r="A86" s="3" t="s">
        <v>67</v>
      </c>
      <c r="B86" s="31" t="s">
        <v>56</v>
      </c>
      <c r="C86" s="2">
        <v>90705847.569999993</v>
      </c>
      <c r="D86" s="1">
        <v>1</v>
      </c>
      <c r="E86" s="1" t="s">
        <v>26</v>
      </c>
      <c r="F86" s="1" t="s">
        <v>26</v>
      </c>
      <c r="G86" s="2">
        <v>338314716.80000001</v>
      </c>
      <c r="H86" s="1">
        <v>1</v>
      </c>
      <c r="I86" s="1" t="s">
        <v>26</v>
      </c>
      <c r="J86" s="1" t="s">
        <v>26</v>
      </c>
      <c r="K86" s="2">
        <v>103964480.78</v>
      </c>
      <c r="L86" s="1">
        <v>1</v>
      </c>
      <c r="M86" s="1" t="s">
        <v>26</v>
      </c>
      <c r="N86" s="1" t="s">
        <v>26</v>
      </c>
      <c r="O86" s="2">
        <v>1859762071.6300001</v>
      </c>
      <c r="P86" s="1">
        <v>1</v>
      </c>
      <c r="Q86" s="1" t="s">
        <v>26</v>
      </c>
      <c r="R86" s="1" t="s">
        <v>26</v>
      </c>
      <c r="S86" s="2" t="s">
        <v>26</v>
      </c>
      <c r="T86" s="1" t="s">
        <v>26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 t="s">
        <v>26</v>
      </c>
      <c r="AB86" s="1" t="s">
        <v>26</v>
      </c>
      <c r="AC86" s="1" t="s">
        <v>26</v>
      </c>
      <c r="AD86" s="1" t="s">
        <v>26</v>
      </c>
      <c r="AE86" s="2">
        <v>2392747116.7800002</v>
      </c>
      <c r="AF86" s="1">
        <v>1</v>
      </c>
      <c r="AG86" s="1" t="s">
        <v>26</v>
      </c>
      <c r="AH86" s="1" t="s">
        <v>26</v>
      </c>
      <c r="AI86" s="2" t="s">
        <v>26</v>
      </c>
      <c r="AJ86" s="1" t="s">
        <v>26</v>
      </c>
      <c r="AK86" s="1" t="s">
        <v>26</v>
      </c>
      <c r="AL86" s="1" t="s">
        <v>26</v>
      </c>
      <c r="AM86" s="2">
        <v>366128695.16000003</v>
      </c>
      <c r="AN86" s="1">
        <v>1</v>
      </c>
      <c r="AO86" s="1" t="s">
        <v>26</v>
      </c>
      <c r="AP86" s="1" t="s">
        <v>26</v>
      </c>
      <c r="AQ86" s="2">
        <v>366128695.16000003</v>
      </c>
      <c r="AR86" s="1">
        <v>1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2">
        <v>2758875811.9400001</v>
      </c>
      <c r="AZ86" s="1">
        <v>1</v>
      </c>
      <c r="BA86" s="1" t="s">
        <v>26</v>
      </c>
      <c r="BB86" s="1" t="s">
        <v>26</v>
      </c>
    </row>
    <row r="87" spans="1:54" s="7" customFormat="1">
      <c r="A87" s="5" t="s">
        <v>73</v>
      </c>
      <c r="B87" s="24" t="s">
        <v>25</v>
      </c>
      <c r="C87" s="10">
        <v>88754483.170000002</v>
      </c>
      <c r="D87" s="11">
        <v>1.6214500712469999E-2</v>
      </c>
      <c r="E87" s="11">
        <v>0.06</v>
      </c>
      <c r="F87" s="11">
        <v>4.3799999999999999E-2</v>
      </c>
      <c r="G87" s="10">
        <v>413965979.61000001</v>
      </c>
      <c r="H87" s="11">
        <v>2.9656591486599999E-3</v>
      </c>
      <c r="I87" s="11">
        <v>0.06</v>
      </c>
      <c r="J87" s="11">
        <v>5.7000000000000002E-2</v>
      </c>
      <c r="K87" s="10">
        <v>8940104.3599999994</v>
      </c>
      <c r="L87" s="11">
        <v>3.3853093005800001E-3</v>
      </c>
      <c r="M87" s="11">
        <v>0.06</v>
      </c>
      <c r="N87" s="11">
        <v>5.6599999999999998E-2</v>
      </c>
      <c r="O87" s="10">
        <v>401650141.29000002</v>
      </c>
      <c r="P87" s="11">
        <v>1.9294506188200001E-3</v>
      </c>
      <c r="Q87" s="11">
        <v>0.06</v>
      </c>
      <c r="R87" s="11">
        <v>5.8099999999999999E-2</v>
      </c>
      <c r="S87" s="10">
        <v>129631518.73</v>
      </c>
      <c r="T87" s="11">
        <v>1.24203249541E-3</v>
      </c>
      <c r="U87" s="11">
        <v>0.06</v>
      </c>
      <c r="V87" s="11">
        <v>5.8799999999999998E-2</v>
      </c>
      <c r="W87" s="10" t="s">
        <v>26</v>
      </c>
      <c r="X87" s="11" t="s">
        <v>26</v>
      </c>
      <c r="Y87" s="11" t="s">
        <v>26</v>
      </c>
      <c r="Z87" s="11" t="s">
        <v>26</v>
      </c>
      <c r="AA87" s="10">
        <v>101203334.8</v>
      </c>
      <c r="AB87" s="11">
        <v>7.8897860247999999E-4</v>
      </c>
      <c r="AC87" s="11">
        <v>0.06</v>
      </c>
      <c r="AD87" s="11">
        <v>5.9200000000000003E-2</v>
      </c>
      <c r="AE87" s="10">
        <v>1144145561.96</v>
      </c>
      <c r="AF87" s="11">
        <v>1.9249588582900001E-3</v>
      </c>
      <c r="AG87" s="11">
        <v>0.06</v>
      </c>
      <c r="AH87" s="11">
        <v>5.8099999999999999E-2</v>
      </c>
      <c r="AI87" s="10">
        <v>265366769.87</v>
      </c>
      <c r="AJ87" s="11">
        <v>1.6474580207310002E-2</v>
      </c>
      <c r="AK87" s="11">
        <v>0.06</v>
      </c>
      <c r="AL87" s="11">
        <v>4.3499999999999997E-2</v>
      </c>
      <c r="AM87" s="10" t="s">
        <v>26</v>
      </c>
      <c r="AN87" s="11" t="s">
        <v>26</v>
      </c>
      <c r="AO87" s="11" t="s">
        <v>26</v>
      </c>
      <c r="AP87" s="11" t="s">
        <v>26</v>
      </c>
      <c r="AQ87" s="10">
        <v>265366769.87</v>
      </c>
      <c r="AR87" s="11">
        <v>6.7432839180200004E-3</v>
      </c>
      <c r="AS87" s="11">
        <v>0.06</v>
      </c>
      <c r="AT87" s="11">
        <v>5.33E-2</v>
      </c>
      <c r="AU87" s="10" t="s">
        <v>26</v>
      </c>
      <c r="AV87" s="11" t="s">
        <v>26</v>
      </c>
      <c r="AW87" s="11" t="s">
        <v>26</v>
      </c>
      <c r="AX87" s="11" t="s">
        <v>26</v>
      </c>
      <c r="AY87" s="10">
        <v>1409512331.8299999</v>
      </c>
      <c r="AZ87" s="11">
        <v>2.0867073434999999E-3</v>
      </c>
      <c r="BA87" s="11">
        <v>0.06</v>
      </c>
      <c r="BB87" s="11">
        <v>5.79E-2</v>
      </c>
    </row>
    <row r="88" spans="1:54" s="7" customFormat="1">
      <c r="A88" s="3" t="s">
        <v>67</v>
      </c>
      <c r="B88" s="31" t="s">
        <v>46</v>
      </c>
      <c r="C88" s="2">
        <v>88754483.170000002</v>
      </c>
      <c r="D88" s="1">
        <v>1</v>
      </c>
      <c r="E88" s="1" t="s">
        <v>26</v>
      </c>
      <c r="F88" s="1" t="s">
        <v>26</v>
      </c>
      <c r="G88" s="2">
        <v>413965979.61000001</v>
      </c>
      <c r="H88" s="1">
        <v>1</v>
      </c>
      <c r="I88" s="1" t="s">
        <v>26</v>
      </c>
      <c r="J88" s="1" t="s">
        <v>26</v>
      </c>
      <c r="K88" s="2">
        <v>8940104.3599999994</v>
      </c>
      <c r="L88" s="1">
        <v>1</v>
      </c>
      <c r="M88" s="1" t="s">
        <v>26</v>
      </c>
      <c r="N88" s="1" t="s">
        <v>26</v>
      </c>
      <c r="O88" s="2">
        <v>401650141.29000002</v>
      </c>
      <c r="P88" s="1">
        <v>1</v>
      </c>
      <c r="Q88" s="1" t="s">
        <v>26</v>
      </c>
      <c r="R88" s="1" t="s">
        <v>26</v>
      </c>
      <c r="S88" s="2">
        <v>129631518.73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>
        <v>101203334.8</v>
      </c>
      <c r="AB88" s="1">
        <v>1</v>
      </c>
      <c r="AC88" s="1" t="s">
        <v>26</v>
      </c>
      <c r="AD88" s="1" t="s">
        <v>26</v>
      </c>
      <c r="AE88" s="2">
        <v>1144145561.96</v>
      </c>
      <c r="AF88" s="1">
        <v>1</v>
      </c>
      <c r="AG88" s="1" t="s">
        <v>26</v>
      </c>
      <c r="AH88" s="1" t="s">
        <v>26</v>
      </c>
      <c r="AI88" s="2">
        <v>265366769.87</v>
      </c>
      <c r="AJ88" s="1">
        <v>1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>
        <v>265366769.87</v>
      </c>
      <c r="AR88" s="1">
        <v>1</v>
      </c>
      <c r="AS88" s="1" t="s">
        <v>26</v>
      </c>
      <c r="AT88" s="1" t="s">
        <v>26</v>
      </c>
      <c r="AU88" s="2" t="s">
        <v>26</v>
      </c>
      <c r="AV88" s="1" t="s">
        <v>26</v>
      </c>
      <c r="AW88" s="1" t="s">
        <v>26</v>
      </c>
      <c r="AX88" s="1" t="s">
        <v>26</v>
      </c>
      <c r="AY88" s="2">
        <v>1409512331.8299999</v>
      </c>
      <c r="AZ88" s="1">
        <v>1</v>
      </c>
      <c r="BA88" s="1" t="s">
        <v>26</v>
      </c>
      <c r="BB88" s="1" t="s">
        <v>26</v>
      </c>
    </row>
    <row r="89" spans="1:54" s="7" customFormat="1">
      <c r="A89" s="5" t="s">
        <v>74</v>
      </c>
      <c r="B89" s="24" t="s">
        <v>25</v>
      </c>
      <c r="C89" s="10">
        <v>12566637.68</v>
      </c>
      <c r="D89" s="11">
        <v>2.2957911345800001E-3</v>
      </c>
      <c r="E89" s="11">
        <v>0.06</v>
      </c>
      <c r="F89" s="11">
        <v>5.7700000000000001E-2</v>
      </c>
      <c r="G89" s="10">
        <v>594777017.5</v>
      </c>
      <c r="H89" s="11">
        <v>4.2609924250900004E-3</v>
      </c>
      <c r="I89" s="11">
        <v>0.06</v>
      </c>
      <c r="J89" s="11">
        <v>5.57E-2</v>
      </c>
      <c r="K89" s="10" t="s">
        <v>26</v>
      </c>
      <c r="L89" s="11" t="s">
        <v>26</v>
      </c>
      <c r="M89" s="11" t="s">
        <v>26</v>
      </c>
      <c r="N89" s="11" t="s">
        <v>26</v>
      </c>
      <c r="O89" s="10">
        <v>377325124.80000001</v>
      </c>
      <c r="P89" s="11">
        <v>1.8125978823300001E-3</v>
      </c>
      <c r="Q89" s="11">
        <v>0.06</v>
      </c>
      <c r="R89" s="11">
        <v>5.8200000000000002E-2</v>
      </c>
      <c r="S89" s="10">
        <v>107902975.04000001</v>
      </c>
      <c r="T89" s="11">
        <v>1.03384580127E-3</v>
      </c>
      <c r="U89" s="11">
        <v>0.06</v>
      </c>
      <c r="V89" s="11">
        <v>5.8999999999999997E-2</v>
      </c>
      <c r="W89" s="10" t="s">
        <v>26</v>
      </c>
      <c r="X89" s="11" t="s">
        <v>26</v>
      </c>
      <c r="Y89" s="11" t="s">
        <v>26</v>
      </c>
      <c r="Z89" s="11" t="s">
        <v>26</v>
      </c>
      <c r="AA89" s="10">
        <v>155908644</v>
      </c>
      <c r="AB89" s="11">
        <v>1.2154597899500001E-3</v>
      </c>
      <c r="AC89" s="11">
        <v>0.06</v>
      </c>
      <c r="AD89" s="11">
        <v>5.8799999999999998E-2</v>
      </c>
      <c r="AE89" s="10">
        <v>1248480399.02</v>
      </c>
      <c r="AF89" s="11">
        <v>2.1004961985599999E-3</v>
      </c>
      <c r="AG89" s="11">
        <v>0.06</v>
      </c>
      <c r="AH89" s="11">
        <v>5.79E-2</v>
      </c>
      <c r="AI89" s="10">
        <v>112223381</v>
      </c>
      <c r="AJ89" s="11">
        <v>6.9670859404399998E-3</v>
      </c>
      <c r="AK89" s="11">
        <v>0.06</v>
      </c>
      <c r="AL89" s="11">
        <v>5.2999999999999999E-2</v>
      </c>
      <c r="AM89" s="10" t="s">
        <v>26</v>
      </c>
      <c r="AN89" s="11" t="s">
        <v>26</v>
      </c>
      <c r="AO89" s="11" t="s">
        <v>26</v>
      </c>
      <c r="AP89" s="11" t="s">
        <v>26</v>
      </c>
      <c r="AQ89" s="10">
        <v>112223381</v>
      </c>
      <c r="AR89" s="11">
        <v>2.8517290265600002E-3</v>
      </c>
      <c r="AS89" s="11">
        <v>0.06</v>
      </c>
      <c r="AT89" s="11">
        <v>5.7099999999999998E-2</v>
      </c>
      <c r="AU89" s="10" t="s">
        <v>26</v>
      </c>
      <c r="AV89" s="11" t="s">
        <v>26</v>
      </c>
      <c r="AW89" s="11" t="s">
        <v>26</v>
      </c>
      <c r="AX89" s="11" t="s">
        <v>26</v>
      </c>
      <c r="AY89" s="10">
        <v>1360703780.02</v>
      </c>
      <c r="AZ89" s="11">
        <v>2.0144489026300001E-3</v>
      </c>
      <c r="BA89" s="11">
        <v>0.06</v>
      </c>
      <c r="BB89" s="11">
        <v>5.8000000000000003E-2</v>
      </c>
    </row>
    <row r="90" spans="1:54" s="7" customFormat="1">
      <c r="A90" s="3" t="s">
        <v>67</v>
      </c>
      <c r="B90" s="31" t="s">
        <v>46</v>
      </c>
      <c r="C90" s="2">
        <v>12566637.68</v>
      </c>
      <c r="D90" s="1">
        <v>1</v>
      </c>
      <c r="E90" s="1" t="s">
        <v>26</v>
      </c>
      <c r="F90" s="1" t="s">
        <v>26</v>
      </c>
      <c r="G90" s="2">
        <v>594777017.5</v>
      </c>
      <c r="H90" s="1">
        <v>1</v>
      </c>
      <c r="I90" s="1" t="s">
        <v>26</v>
      </c>
      <c r="J90" s="1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>
        <v>377325124.80000001</v>
      </c>
      <c r="P90" s="1">
        <v>1</v>
      </c>
      <c r="Q90" s="1" t="s">
        <v>26</v>
      </c>
      <c r="R90" s="1" t="s">
        <v>26</v>
      </c>
      <c r="S90" s="2">
        <v>107902975.04000001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>
        <v>155908644</v>
      </c>
      <c r="AB90" s="1">
        <v>1</v>
      </c>
      <c r="AC90" s="1" t="s">
        <v>26</v>
      </c>
      <c r="AD90" s="1" t="s">
        <v>26</v>
      </c>
      <c r="AE90" s="2">
        <v>1248480399.02</v>
      </c>
      <c r="AF90" s="1">
        <v>1</v>
      </c>
      <c r="AG90" s="1" t="s">
        <v>26</v>
      </c>
      <c r="AH90" s="1" t="s">
        <v>26</v>
      </c>
      <c r="AI90" s="2">
        <v>112223381</v>
      </c>
      <c r="AJ90" s="1">
        <v>1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>
        <v>112223381</v>
      </c>
      <c r="AR90" s="1">
        <v>1</v>
      </c>
      <c r="AS90" s="1" t="s">
        <v>26</v>
      </c>
      <c r="AT90" s="1" t="s">
        <v>26</v>
      </c>
      <c r="AU90" s="2" t="s">
        <v>26</v>
      </c>
      <c r="AV90" s="1" t="s">
        <v>26</v>
      </c>
      <c r="AW90" s="1" t="s">
        <v>26</v>
      </c>
      <c r="AX90" s="1" t="s">
        <v>26</v>
      </c>
      <c r="AY90" s="2">
        <v>1360703780.02</v>
      </c>
      <c r="AZ90" s="1">
        <v>1</v>
      </c>
      <c r="BA90" s="1" t="s">
        <v>26</v>
      </c>
      <c r="BB90" s="1" t="s">
        <v>26</v>
      </c>
    </row>
    <row r="91" spans="1:54" s="7" customFormat="1">
      <c r="A91" s="13" t="s">
        <v>75</v>
      </c>
      <c r="B91" s="25" t="s">
        <v>25</v>
      </c>
      <c r="C91" s="55" t="s">
        <v>26</v>
      </c>
      <c r="D91" s="56" t="s">
        <v>26</v>
      </c>
      <c r="E91" s="56" t="s">
        <v>26</v>
      </c>
      <c r="F91" s="56" t="s">
        <v>26</v>
      </c>
      <c r="G91" s="55" t="s">
        <v>26</v>
      </c>
      <c r="H91" s="56" t="s">
        <v>26</v>
      </c>
      <c r="I91" s="56" t="s">
        <v>26</v>
      </c>
      <c r="J91" s="56" t="s">
        <v>26</v>
      </c>
      <c r="K91" s="55" t="s">
        <v>26</v>
      </c>
      <c r="L91" s="56" t="s">
        <v>26</v>
      </c>
      <c r="M91" s="56" t="s">
        <v>26</v>
      </c>
      <c r="N91" s="56" t="s">
        <v>26</v>
      </c>
      <c r="O91" s="55">
        <v>126750328.75</v>
      </c>
      <c r="P91" s="56">
        <v>6.0888438743000005E-4</v>
      </c>
      <c r="Q91" s="56" t="s">
        <v>26</v>
      </c>
      <c r="R91" s="56" t="s">
        <v>26</v>
      </c>
      <c r="S91" s="55">
        <v>258162086.97</v>
      </c>
      <c r="T91" s="56">
        <v>2.4735165046400002E-3</v>
      </c>
      <c r="U91" s="56" t="s">
        <v>26</v>
      </c>
      <c r="V91" s="56" t="s">
        <v>26</v>
      </c>
      <c r="W91" s="55" t="s">
        <v>26</v>
      </c>
      <c r="X91" s="56" t="s">
        <v>26</v>
      </c>
      <c r="Y91" s="56" t="s">
        <v>26</v>
      </c>
      <c r="Z91" s="56" t="s">
        <v>26</v>
      </c>
      <c r="AA91" s="55">
        <v>140946365.56999999</v>
      </c>
      <c r="AB91" s="56">
        <v>1.0988142510500001E-3</v>
      </c>
      <c r="AC91" s="56" t="s">
        <v>26</v>
      </c>
      <c r="AD91" s="56" t="s">
        <v>26</v>
      </c>
      <c r="AE91" s="55">
        <v>525858781.29000002</v>
      </c>
      <c r="AF91" s="56">
        <v>8.8472704253E-4</v>
      </c>
      <c r="AG91" s="56" t="s">
        <v>26</v>
      </c>
      <c r="AH91" s="56" t="s">
        <v>26</v>
      </c>
      <c r="AI91" s="55">
        <v>13257711.560000001</v>
      </c>
      <c r="AJ91" s="56">
        <v>8.2306926585999998E-4</v>
      </c>
      <c r="AK91" s="56" t="s">
        <v>26</v>
      </c>
      <c r="AL91" s="56" t="s">
        <v>26</v>
      </c>
      <c r="AM91" s="55" t="s">
        <v>26</v>
      </c>
      <c r="AN91" s="56" t="s">
        <v>26</v>
      </c>
      <c r="AO91" s="56" t="s">
        <v>26</v>
      </c>
      <c r="AP91" s="56" t="s">
        <v>26</v>
      </c>
      <c r="AQ91" s="55">
        <v>13257711.560000001</v>
      </c>
      <c r="AR91" s="56">
        <v>3.3689415293000001E-4</v>
      </c>
      <c r="AS91" s="56" t="s">
        <v>26</v>
      </c>
      <c r="AT91" s="56" t="s">
        <v>26</v>
      </c>
      <c r="AU91" s="55">
        <v>39773134.68</v>
      </c>
      <c r="AV91" s="56">
        <v>9.5275967605000002E-4</v>
      </c>
      <c r="AW91" s="56" t="s">
        <v>26</v>
      </c>
      <c r="AX91" s="56" t="s">
        <v>26</v>
      </c>
      <c r="AY91" s="55">
        <v>578889627.52999997</v>
      </c>
      <c r="AZ91" s="56">
        <v>8.5701501828999997E-4</v>
      </c>
      <c r="BA91" s="56" t="s">
        <v>26</v>
      </c>
      <c r="BB91" s="56" t="s">
        <v>26</v>
      </c>
    </row>
    <row r="92" spans="1:54" s="7" customFormat="1">
      <c r="A92" s="5" t="s">
        <v>76</v>
      </c>
      <c r="B92" s="24" t="s">
        <v>25</v>
      </c>
      <c r="C92" s="10" t="s">
        <v>26</v>
      </c>
      <c r="D92" s="11" t="s">
        <v>26</v>
      </c>
      <c r="E92" s="11" t="s">
        <v>26</v>
      </c>
      <c r="F92" s="11" t="s">
        <v>26</v>
      </c>
      <c r="G92" s="10" t="s">
        <v>26</v>
      </c>
      <c r="H92" s="11" t="s">
        <v>26</v>
      </c>
      <c r="I92" s="11" t="s">
        <v>26</v>
      </c>
      <c r="J92" s="11" t="s">
        <v>26</v>
      </c>
      <c r="K92" s="10" t="s">
        <v>26</v>
      </c>
      <c r="L92" s="11" t="s">
        <v>26</v>
      </c>
      <c r="M92" s="11" t="s">
        <v>26</v>
      </c>
      <c r="N92" s="11" t="s">
        <v>26</v>
      </c>
      <c r="O92" s="10" t="s">
        <v>26</v>
      </c>
      <c r="P92" s="11" t="s">
        <v>26</v>
      </c>
      <c r="Q92" s="11" t="s">
        <v>26</v>
      </c>
      <c r="R92" s="11" t="s">
        <v>26</v>
      </c>
      <c r="S92" s="10">
        <v>106061692.47</v>
      </c>
      <c r="T92" s="11">
        <v>1.01620400545E-3</v>
      </c>
      <c r="U92" s="11">
        <v>0.1</v>
      </c>
      <c r="V92" s="11">
        <v>9.9000000000000005E-2</v>
      </c>
      <c r="W92" s="10" t="s">
        <v>26</v>
      </c>
      <c r="X92" s="11" t="s">
        <v>26</v>
      </c>
      <c r="Y92" s="11" t="s">
        <v>26</v>
      </c>
      <c r="Z92" s="11" t="s">
        <v>26</v>
      </c>
      <c r="AA92" s="10" t="s">
        <v>26</v>
      </c>
      <c r="AB92" s="11" t="s">
        <v>26</v>
      </c>
      <c r="AC92" s="11" t="s">
        <v>26</v>
      </c>
      <c r="AD92" s="11" t="s">
        <v>26</v>
      </c>
      <c r="AE92" s="10">
        <v>106061692.47</v>
      </c>
      <c r="AF92" s="11">
        <v>1.7844267480999999E-4</v>
      </c>
      <c r="AG92" s="11">
        <v>0.1</v>
      </c>
      <c r="AH92" s="11">
        <v>9.98E-2</v>
      </c>
      <c r="AI92" s="10">
        <v>13257711.560000001</v>
      </c>
      <c r="AJ92" s="11">
        <v>8.2306926585999998E-4</v>
      </c>
      <c r="AK92" s="11">
        <v>0.1</v>
      </c>
      <c r="AL92" s="11">
        <v>9.9199999999999997E-2</v>
      </c>
      <c r="AM92" s="10" t="s">
        <v>26</v>
      </c>
      <c r="AN92" s="11" t="s">
        <v>26</v>
      </c>
      <c r="AO92" s="11" t="s">
        <v>26</v>
      </c>
      <c r="AP92" s="11" t="s">
        <v>26</v>
      </c>
      <c r="AQ92" s="10">
        <v>13257711.560000001</v>
      </c>
      <c r="AR92" s="11">
        <v>3.3689415293000001E-4</v>
      </c>
      <c r="AS92" s="11">
        <v>0.1</v>
      </c>
      <c r="AT92" s="11">
        <v>9.9699999999999997E-2</v>
      </c>
      <c r="AU92" s="10">
        <v>39773134.68</v>
      </c>
      <c r="AV92" s="11">
        <v>9.5275967605000002E-4</v>
      </c>
      <c r="AW92" s="11">
        <v>0.1</v>
      </c>
      <c r="AX92" s="11">
        <v>9.9000000000000005E-2</v>
      </c>
      <c r="AY92" s="10">
        <v>159092538.71000001</v>
      </c>
      <c r="AZ92" s="11">
        <v>2.3552796334E-4</v>
      </c>
      <c r="BA92" s="11">
        <v>0.1</v>
      </c>
      <c r="BB92" s="11">
        <v>9.98E-2</v>
      </c>
    </row>
    <row r="93" spans="1:54" s="7" customFormat="1">
      <c r="A93" s="3" t="s">
        <v>77</v>
      </c>
      <c r="B93" s="31" t="s">
        <v>29</v>
      </c>
      <c r="C93" s="2" t="s">
        <v>26</v>
      </c>
      <c r="D93" s="1" t="s">
        <v>26</v>
      </c>
      <c r="E93" s="1" t="s">
        <v>26</v>
      </c>
      <c r="F93" s="1" t="s">
        <v>26</v>
      </c>
      <c r="G93" s="2" t="s">
        <v>26</v>
      </c>
      <c r="H93" s="1" t="s">
        <v>26</v>
      </c>
      <c r="I93" s="1" t="s">
        <v>26</v>
      </c>
      <c r="J93" s="1" t="s">
        <v>26</v>
      </c>
      <c r="K93" s="2" t="s">
        <v>26</v>
      </c>
      <c r="L93" s="1" t="s">
        <v>26</v>
      </c>
      <c r="M93" s="1" t="s">
        <v>26</v>
      </c>
      <c r="N93" s="1" t="s">
        <v>26</v>
      </c>
      <c r="O93" s="2" t="s">
        <v>26</v>
      </c>
      <c r="P93" s="1" t="s">
        <v>26</v>
      </c>
      <c r="Q93" s="1" t="s">
        <v>26</v>
      </c>
      <c r="R93" s="1" t="s">
        <v>26</v>
      </c>
      <c r="S93" s="2">
        <v>106061692.47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 t="s">
        <v>26</v>
      </c>
      <c r="AB93" s="1" t="s">
        <v>26</v>
      </c>
      <c r="AC93" s="1" t="s">
        <v>26</v>
      </c>
      <c r="AD93" s="1" t="s">
        <v>26</v>
      </c>
      <c r="AE93" s="2">
        <v>106061692.47</v>
      </c>
      <c r="AF93" s="1">
        <v>1</v>
      </c>
      <c r="AG93" s="1" t="s">
        <v>26</v>
      </c>
      <c r="AH93" s="1" t="s">
        <v>26</v>
      </c>
      <c r="AI93" s="2">
        <v>13257711.560000001</v>
      </c>
      <c r="AJ93" s="1">
        <v>1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>
        <v>13257711.560000001</v>
      </c>
      <c r="AR93" s="1">
        <v>1</v>
      </c>
      <c r="AS93" s="1" t="s">
        <v>26</v>
      </c>
      <c r="AT93" s="1" t="s">
        <v>26</v>
      </c>
      <c r="AU93" s="2">
        <v>39773134.68</v>
      </c>
      <c r="AV93" s="1">
        <v>1</v>
      </c>
      <c r="AW93" s="1" t="s">
        <v>26</v>
      </c>
      <c r="AX93" s="1" t="s">
        <v>26</v>
      </c>
      <c r="AY93" s="2">
        <v>159092538.71000001</v>
      </c>
      <c r="AZ93" s="1">
        <v>1</v>
      </c>
      <c r="BA93" s="1" t="s">
        <v>26</v>
      </c>
      <c r="BB93" s="1" t="s">
        <v>26</v>
      </c>
    </row>
    <row r="94" spans="1:54" s="7" customFormat="1">
      <c r="A94" s="5" t="s">
        <v>78</v>
      </c>
      <c r="B94" s="24" t="s">
        <v>25</v>
      </c>
      <c r="C94" s="10" t="s">
        <v>26</v>
      </c>
      <c r="D94" s="11" t="s">
        <v>26</v>
      </c>
      <c r="E94" s="11" t="s">
        <v>26</v>
      </c>
      <c r="F94" s="11" t="s">
        <v>26</v>
      </c>
      <c r="G94" s="10" t="s">
        <v>26</v>
      </c>
      <c r="H94" s="11" t="s">
        <v>26</v>
      </c>
      <c r="I94" s="11" t="s">
        <v>26</v>
      </c>
      <c r="J94" s="11" t="s">
        <v>26</v>
      </c>
      <c r="K94" s="10" t="s">
        <v>26</v>
      </c>
      <c r="L94" s="11" t="s">
        <v>26</v>
      </c>
      <c r="M94" s="11" t="s">
        <v>26</v>
      </c>
      <c r="N94" s="11" t="s">
        <v>26</v>
      </c>
      <c r="O94" s="10">
        <v>126750328.75</v>
      </c>
      <c r="P94" s="11">
        <v>6.0888438743000005E-4</v>
      </c>
      <c r="Q94" s="11">
        <v>0.09</v>
      </c>
      <c r="R94" s="11">
        <v>8.9399999999999993E-2</v>
      </c>
      <c r="S94" s="10">
        <v>152100394.5</v>
      </c>
      <c r="T94" s="11">
        <v>1.45731249919E-3</v>
      </c>
      <c r="U94" s="11">
        <v>0.09</v>
      </c>
      <c r="V94" s="11">
        <v>8.8499999999999995E-2</v>
      </c>
      <c r="W94" s="10" t="s">
        <v>26</v>
      </c>
      <c r="X94" s="11" t="s">
        <v>26</v>
      </c>
      <c r="Y94" s="11" t="s">
        <v>26</v>
      </c>
      <c r="Z94" s="11" t="s">
        <v>26</v>
      </c>
      <c r="AA94" s="10">
        <v>140946365.56999999</v>
      </c>
      <c r="AB94" s="11">
        <v>1.0988142510500001E-3</v>
      </c>
      <c r="AC94" s="11">
        <v>0.09</v>
      </c>
      <c r="AD94" s="11">
        <v>8.8900000000000007E-2</v>
      </c>
      <c r="AE94" s="10">
        <v>419797088.81999999</v>
      </c>
      <c r="AF94" s="11">
        <v>7.0628436772000001E-4</v>
      </c>
      <c r="AG94" s="11">
        <v>0.09</v>
      </c>
      <c r="AH94" s="11">
        <v>8.9300000000000004E-2</v>
      </c>
      <c r="AI94" s="10" t="s">
        <v>26</v>
      </c>
      <c r="AJ94" s="11" t="s">
        <v>26</v>
      </c>
      <c r="AK94" s="11" t="s">
        <v>26</v>
      </c>
      <c r="AL94" s="11" t="s">
        <v>26</v>
      </c>
      <c r="AM94" s="10" t="s">
        <v>26</v>
      </c>
      <c r="AN94" s="11" t="s">
        <v>26</v>
      </c>
      <c r="AO94" s="11" t="s">
        <v>26</v>
      </c>
      <c r="AP94" s="11" t="s">
        <v>26</v>
      </c>
      <c r="AQ94" s="10" t="s">
        <v>26</v>
      </c>
      <c r="AR94" s="11" t="s">
        <v>26</v>
      </c>
      <c r="AS94" s="11" t="s">
        <v>26</v>
      </c>
      <c r="AT94" s="11" t="s">
        <v>26</v>
      </c>
      <c r="AU94" s="10" t="s">
        <v>26</v>
      </c>
      <c r="AV94" s="11" t="s">
        <v>26</v>
      </c>
      <c r="AW94" s="11" t="s">
        <v>26</v>
      </c>
      <c r="AX94" s="11" t="s">
        <v>26</v>
      </c>
      <c r="AY94" s="10">
        <v>419797088.81999999</v>
      </c>
      <c r="AZ94" s="11">
        <v>6.2148705494999995E-4</v>
      </c>
      <c r="BA94" s="11">
        <v>0.09</v>
      </c>
      <c r="BB94" s="11">
        <v>8.9399999999999993E-2</v>
      </c>
    </row>
    <row r="95" spans="1:54" s="7" customFormat="1">
      <c r="A95" s="3" t="s">
        <v>77</v>
      </c>
      <c r="B95" s="31" t="s">
        <v>37</v>
      </c>
      <c r="C95" s="2" t="s">
        <v>26</v>
      </c>
      <c r="D95" s="1" t="s">
        <v>26</v>
      </c>
      <c r="E95" s="1" t="s">
        <v>26</v>
      </c>
      <c r="F95" s="1" t="s">
        <v>26</v>
      </c>
      <c r="G95" s="2" t="s">
        <v>26</v>
      </c>
      <c r="H95" s="1" t="s">
        <v>26</v>
      </c>
      <c r="I95" s="1" t="s">
        <v>26</v>
      </c>
      <c r="J95" s="1" t="s">
        <v>26</v>
      </c>
      <c r="K95" s="2" t="s">
        <v>26</v>
      </c>
      <c r="L95" s="1" t="s">
        <v>26</v>
      </c>
      <c r="M95" s="1" t="s">
        <v>26</v>
      </c>
      <c r="N95" s="1" t="s">
        <v>26</v>
      </c>
      <c r="O95" s="2">
        <v>126750328.75</v>
      </c>
      <c r="P95" s="1">
        <v>1</v>
      </c>
      <c r="Q95" s="1" t="s">
        <v>26</v>
      </c>
      <c r="R95" s="1" t="s">
        <v>26</v>
      </c>
      <c r="S95" s="2">
        <v>152100394.5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140946365.56999999</v>
      </c>
      <c r="AB95" s="1">
        <v>1</v>
      </c>
      <c r="AC95" s="1" t="s">
        <v>26</v>
      </c>
      <c r="AD95" s="1" t="s">
        <v>26</v>
      </c>
      <c r="AE95" s="2">
        <v>419797088.81999999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419797088.81999999</v>
      </c>
      <c r="AZ95" s="1">
        <v>1</v>
      </c>
      <c r="BA95" s="1" t="s">
        <v>26</v>
      </c>
      <c r="BB95" s="1" t="s">
        <v>26</v>
      </c>
    </row>
    <row r="96" spans="1:54" s="7" customFormat="1">
      <c r="A96" s="13" t="s">
        <v>79</v>
      </c>
      <c r="B96" s="25" t="s">
        <v>25</v>
      </c>
      <c r="C96" s="55" t="s">
        <v>26</v>
      </c>
      <c r="D96" s="56" t="s">
        <v>26</v>
      </c>
      <c r="E96" s="56" t="s">
        <v>26</v>
      </c>
      <c r="F96" s="56" t="s">
        <v>26</v>
      </c>
      <c r="G96" s="55">
        <v>683061086.15999997</v>
      </c>
      <c r="H96" s="56">
        <v>4.8934609582599996E-3</v>
      </c>
      <c r="I96" s="56">
        <v>0.05</v>
      </c>
      <c r="J96" s="56">
        <f>+I96-H96</f>
        <v>4.5106539041740001E-2</v>
      </c>
      <c r="K96" s="55">
        <v>22968019.350000001</v>
      </c>
      <c r="L96" s="56">
        <v>8.6971970785100008E-3</v>
      </c>
      <c r="M96" s="56">
        <v>0.05</v>
      </c>
      <c r="N96" s="56">
        <f>+M96-L96</f>
        <v>4.1302802921490002E-2</v>
      </c>
      <c r="O96" s="55">
        <v>1607761354.0799999</v>
      </c>
      <c r="P96" s="56">
        <v>7.7233786836899999E-3</v>
      </c>
      <c r="Q96" s="56">
        <v>0.05</v>
      </c>
      <c r="R96" s="56">
        <f>+Q96-P96</f>
        <v>4.2276621316310006E-2</v>
      </c>
      <c r="S96" s="55">
        <v>1287350748.5699999</v>
      </c>
      <c r="T96" s="56">
        <v>1.233443439049E-2</v>
      </c>
      <c r="U96" s="56">
        <v>0.05</v>
      </c>
      <c r="V96" s="56">
        <f>+U96-T96</f>
        <v>3.7665565609510003E-2</v>
      </c>
      <c r="W96" s="55" t="s">
        <v>26</v>
      </c>
      <c r="X96" s="56" t="s">
        <v>26</v>
      </c>
      <c r="Y96" s="56" t="s">
        <v>26</v>
      </c>
      <c r="Z96" s="56" t="s">
        <v>26</v>
      </c>
      <c r="AA96" s="55">
        <v>361755262.19999999</v>
      </c>
      <c r="AB96" s="56">
        <v>2.8202347459700002E-3</v>
      </c>
      <c r="AC96" s="56">
        <v>0.05</v>
      </c>
      <c r="AD96" s="56">
        <f>+AC96-AB96</f>
        <v>4.7179765254030004E-2</v>
      </c>
      <c r="AE96" s="55">
        <v>3962896470.3600001</v>
      </c>
      <c r="AF96" s="56">
        <v>6.6673445396700001E-3</v>
      </c>
      <c r="AG96" s="56">
        <v>0.05</v>
      </c>
      <c r="AH96" s="56">
        <f>+AG96-AF96</f>
        <v>4.3332655460330001E-2</v>
      </c>
      <c r="AI96" s="55" t="s">
        <v>26</v>
      </c>
      <c r="AJ96" s="56" t="s">
        <v>26</v>
      </c>
      <c r="AK96" s="56" t="s">
        <v>26</v>
      </c>
      <c r="AL96" s="56" t="s">
        <v>26</v>
      </c>
      <c r="AM96" s="55" t="s">
        <v>26</v>
      </c>
      <c r="AN96" s="56" t="s">
        <v>26</v>
      </c>
      <c r="AO96" s="56" t="s">
        <v>26</v>
      </c>
      <c r="AP96" s="56" t="s">
        <v>26</v>
      </c>
      <c r="AQ96" s="55" t="s">
        <v>26</v>
      </c>
      <c r="AR96" s="56" t="s">
        <v>26</v>
      </c>
      <c r="AS96" s="56" t="s">
        <v>26</v>
      </c>
      <c r="AT96" s="56" t="s">
        <v>26</v>
      </c>
      <c r="AU96" s="55">
        <v>635373630</v>
      </c>
      <c r="AV96" s="56">
        <v>1.522028320771E-2</v>
      </c>
      <c r="AW96" s="56">
        <v>0.05</v>
      </c>
      <c r="AX96" s="56">
        <f>+AW96-AV96</f>
        <v>3.477971679229E-2</v>
      </c>
      <c r="AY96" s="55">
        <v>4598270100.3599997</v>
      </c>
      <c r="AZ96" s="56">
        <v>6.8074920446800002E-3</v>
      </c>
      <c r="BA96" s="56">
        <v>0.05</v>
      </c>
      <c r="BB96" s="56">
        <f>+BA96-AZ96</f>
        <v>4.3192507955320002E-2</v>
      </c>
    </row>
    <row r="97" spans="1:54" s="7" customFormat="1">
      <c r="A97" s="5" t="s">
        <v>80</v>
      </c>
      <c r="B97" s="24" t="s">
        <v>25</v>
      </c>
      <c r="C97" s="10" t="s">
        <v>26</v>
      </c>
      <c r="D97" s="11" t="s">
        <v>26</v>
      </c>
      <c r="E97" s="11" t="s">
        <v>26</v>
      </c>
      <c r="F97" s="11" t="s">
        <v>26</v>
      </c>
      <c r="G97" s="10" t="s">
        <v>26</v>
      </c>
      <c r="H97" s="11" t="s">
        <v>26</v>
      </c>
      <c r="I97" s="11" t="s">
        <v>26</v>
      </c>
      <c r="J97" s="11" t="s">
        <v>26</v>
      </c>
      <c r="K97" s="10" t="s">
        <v>26</v>
      </c>
      <c r="L97" s="11" t="s">
        <v>26</v>
      </c>
      <c r="M97" s="11" t="s">
        <v>26</v>
      </c>
      <c r="N97" s="11" t="s">
        <v>26</v>
      </c>
      <c r="O97" s="10" t="s">
        <v>26</v>
      </c>
      <c r="P97" s="11" t="s">
        <v>26</v>
      </c>
      <c r="Q97" s="11" t="s">
        <v>26</v>
      </c>
      <c r="R97" s="11" t="s">
        <v>26</v>
      </c>
      <c r="S97" s="10">
        <v>598310168.25</v>
      </c>
      <c r="T97" s="11">
        <v>5.7325616376400004E-3</v>
      </c>
      <c r="U97" s="1" t="s">
        <v>26</v>
      </c>
      <c r="V97" s="1" t="s">
        <v>26</v>
      </c>
      <c r="W97" s="10" t="s">
        <v>26</v>
      </c>
      <c r="X97" s="11" t="s">
        <v>26</v>
      </c>
      <c r="Y97" s="11" t="s">
        <v>26</v>
      </c>
      <c r="Z97" s="11" t="s">
        <v>26</v>
      </c>
      <c r="AA97" s="10" t="s">
        <v>26</v>
      </c>
      <c r="AB97" s="11" t="s">
        <v>26</v>
      </c>
      <c r="AC97" s="11" t="s">
        <v>26</v>
      </c>
      <c r="AD97" s="11" t="s">
        <v>26</v>
      </c>
      <c r="AE97" s="10">
        <v>598310168.25</v>
      </c>
      <c r="AF97" s="11">
        <v>1.0066223185900001E-3</v>
      </c>
      <c r="AG97" s="1" t="s">
        <v>26</v>
      </c>
      <c r="AH97" s="1" t="s">
        <v>26</v>
      </c>
      <c r="AI97" s="10" t="s">
        <v>26</v>
      </c>
      <c r="AJ97" s="11" t="s">
        <v>26</v>
      </c>
      <c r="AK97" s="11" t="s">
        <v>26</v>
      </c>
      <c r="AL97" s="11" t="s">
        <v>26</v>
      </c>
      <c r="AM97" s="10" t="s">
        <v>26</v>
      </c>
      <c r="AN97" s="11" t="s">
        <v>26</v>
      </c>
      <c r="AO97" s="11" t="s">
        <v>26</v>
      </c>
      <c r="AP97" s="11" t="s">
        <v>26</v>
      </c>
      <c r="AQ97" s="10" t="s">
        <v>26</v>
      </c>
      <c r="AR97" s="11" t="s">
        <v>26</v>
      </c>
      <c r="AS97" s="11" t="s">
        <v>26</v>
      </c>
      <c r="AT97" s="11" t="s">
        <v>26</v>
      </c>
      <c r="AU97" s="10">
        <v>635373630</v>
      </c>
      <c r="AV97" s="11">
        <v>1.522028320771E-2</v>
      </c>
      <c r="AW97" s="1" t="s">
        <v>26</v>
      </c>
      <c r="AX97" s="1" t="s">
        <v>26</v>
      </c>
      <c r="AY97" s="10">
        <v>1233683798.25</v>
      </c>
      <c r="AZ97" s="11">
        <v>1.82640263815E-3</v>
      </c>
      <c r="BA97" s="1" t="s">
        <v>26</v>
      </c>
      <c r="BB97" s="1" t="s">
        <v>26</v>
      </c>
    </row>
    <row r="98" spans="1:54" s="7" customFormat="1">
      <c r="A98" s="3" t="s">
        <v>81</v>
      </c>
      <c r="B98" s="31" t="s">
        <v>37</v>
      </c>
      <c r="C98" s="2" t="s">
        <v>26</v>
      </c>
      <c r="D98" s="1" t="s">
        <v>26</v>
      </c>
      <c r="E98" s="1" t="s">
        <v>26</v>
      </c>
      <c r="F98" s="1" t="s">
        <v>26</v>
      </c>
      <c r="G98" s="2" t="s">
        <v>26</v>
      </c>
      <c r="H98" s="1" t="s">
        <v>26</v>
      </c>
      <c r="I98" s="1" t="s">
        <v>26</v>
      </c>
      <c r="J98" s="1" t="s">
        <v>26</v>
      </c>
      <c r="K98" s="2" t="s">
        <v>26</v>
      </c>
      <c r="L98" s="1" t="s">
        <v>26</v>
      </c>
      <c r="M98" s="1" t="s">
        <v>26</v>
      </c>
      <c r="N98" s="1" t="s">
        <v>26</v>
      </c>
      <c r="O98" s="2" t="s">
        <v>26</v>
      </c>
      <c r="P98" s="1" t="s">
        <v>26</v>
      </c>
      <c r="Q98" s="1" t="s">
        <v>26</v>
      </c>
      <c r="R98" s="1" t="s">
        <v>26</v>
      </c>
      <c r="S98" s="2">
        <v>598310168.25</v>
      </c>
      <c r="T98" s="1">
        <v>1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2" t="s">
        <v>26</v>
      </c>
      <c r="AB98" s="1" t="s">
        <v>26</v>
      </c>
      <c r="AC98" s="1" t="s">
        <v>26</v>
      </c>
      <c r="AD98" s="1" t="s">
        <v>26</v>
      </c>
      <c r="AE98" s="2">
        <v>598310168.25</v>
      </c>
      <c r="AF98" s="1">
        <v>1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2">
        <v>635373630</v>
      </c>
      <c r="AV98" s="1">
        <v>1</v>
      </c>
      <c r="AW98" s="1" t="s">
        <v>26</v>
      </c>
      <c r="AX98" s="1" t="s">
        <v>26</v>
      </c>
      <c r="AY98" s="2">
        <v>1233683798.25</v>
      </c>
      <c r="AZ98" s="1">
        <v>1</v>
      </c>
      <c r="BA98" s="1" t="s">
        <v>26</v>
      </c>
      <c r="BB98" s="1" t="s">
        <v>26</v>
      </c>
    </row>
    <row r="99" spans="1:54" s="7" customFormat="1">
      <c r="A99" s="5" t="s">
        <v>82</v>
      </c>
      <c r="B99" s="24" t="s">
        <v>25</v>
      </c>
      <c r="C99" s="10" t="s">
        <v>26</v>
      </c>
      <c r="D99" s="11" t="s">
        <v>26</v>
      </c>
      <c r="E99" s="11" t="s">
        <v>26</v>
      </c>
      <c r="F99" s="11" t="s">
        <v>26</v>
      </c>
      <c r="G99" s="10">
        <v>683061086.15999997</v>
      </c>
      <c r="H99" s="11">
        <v>4.8934609582599996E-3</v>
      </c>
      <c r="I99" s="1" t="s">
        <v>26</v>
      </c>
      <c r="J99" s="1" t="s">
        <v>26</v>
      </c>
      <c r="K99" s="10">
        <v>22968019.350000001</v>
      </c>
      <c r="L99" s="11">
        <v>8.6971970785100008E-3</v>
      </c>
      <c r="M99" s="1" t="s">
        <v>26</v>
      </c>
      <c r="N99" s="1" t="s">
        <v>26</v>
      </c>
      <c r="O99" s="10">
        <v>1607761354.0799999</v>
      </c>
      <c r="P99" s="11">
        <v>7.7233786836899999E-3</v>
      </c>
      <c r="Q99" s="1" t="s">
        <v>26</v>
      </c>
      <c r="R99" s="1" t="s">
        <v>26</v>
      </c>
      <c r="S99" s="10">
        <v>689040580.32000005</v>
      </c>
      <c r="T99" s="11">
        <v>6.6018727528500002E-3</v>
      </c>
      <c r="U99" s="1" t="s">
        <v>26</v>
      </c>
      <c r="V99" s="1" t="s">
        <v>26</v>
      </c>
      <c r="W99" s="10" t="s">
        <v>26</v>
      </c>
      <c r="X99" s="11" t="s">
        <v>26</v>
      </c>
      <c r="Y99" s="11" t="s">
        <v>26</v>
      </c>
      <c r="Z99" s="11" t="s">
        <v>26</v>
      </c>
      <c r="AA99" s="10">
        <v>361755262.19999999</v>
      </c>
      <c r="AB99" s="11">
        <v>2.8202347459700002E-3</v>
      </c>
      <c r="AC99" s="1" t="s">
        <v>26</v>
      </c>
      <c r="AD99" s="1" t="s">
        <v>26</v>
      </c>
      <c r="AE99" s="10">
        <v>3364586302.1100001</v>
      </c>
      <c r="AF99" s="11">
        <v>5.6607222210799998E-3</v>
      </c>
      <c r="AG99" s="1" t="s">
        <v>26</v>
      </c>
      <c r="AH99" s="1" t="s">
        <v>26</v>
      </c>
      <c r="AI99" s="10" t="s">
        <v>26</v>
      </c>
      <c r="AJ99" s="11" t="s">
        <v>26</v>
      </c>
      <c r="AK99" s="11" t="s">
        <v>26</v>
      </c>
      <c r="AL99" s="11" t="s">
        <v>26</v>
      </c>
      <c r="AM99" s="10" t="s">
        <v>26</v>
      </c>
      <c r="AN99" s="11" t="s">
        <v>26</v>
      </c>
      <c r="AO99" s="11" t="s">
        <v>26</v>
      </c>
      <c r="AP99" s="11" t="s">
        <v>26</v>
      </c>
      <c r="AQ99" s="10" t="s">
        <v>26</v>
      </c>
      <c r="AR99" s="11" t="s">
        <v>26</v>
      </c>
      <c r="AS99" s="11" t="s">
        <v>26</v>
      </c>
      <c r="AT99" s="11" t="s">
        <v>26</v>
      </c>
      <c r="AU99" s="10" t="s">
        <v>26</v>
      </c>
      <c r="AV99" s="11" t="s">
        <v>26</v>
      </c>
      <c r="AW99" s="11" t="s">
        <v>26</v>
      </c>
      <c r="AX99" s="11" t="s">
        <v>26</v>
      </c>
      <c r="AY99" s="10">
        <v>3364586302.1100001</v>
      </c>
      <c r="AZ99" s="11">
        <v>4.9810894065299999E-3</v>
      </c>
      <c r="BA99" s="1" t="s">
        <v>26</v>
      </c>
      <c r="BB99" s="1" t="s">
        <v>26</v>
      </c>
    </row>
    <row r="100" spans="1:54" s="7" customFormat="1">
      <c r="A100" s="3" t="s">
        <v>83</v>
      </c>
      <c r="B100" s="31" t="s">
        <v>37</v>
      </c>
      <c r="C100" s="2" t="s">
        <v>26</v>
      </c>
      <c r="D100" s="1" t="s">
        <v>26</v>
      </c>
      <c r="E100" s="1" t="s">
        <v>26</v>
      </c>
      <c r="F100" s="1" t="s">
        <v>26</v>
      </c>
      <c r="G100" s="2">
        <v>683061086.15999997</v>
      </c>
      <c r="H100" s="1">
        <v>1</v>
      </c>
      <c r="I100" s="1" t="s">
        <v>26</v>
      </c>
      <c r="J100" s="1" t="s">
        <v>26</v>
      </c>
      <c r="K100" s="2">
        <v>22968019.350000001</v>
      </c>
      <c r="L100" s="1">
        <v>1</v>
      </c>
      <c r="M100" s="1" t="s">
        <v>26</v>
      </c>
      <c r="N100" s="1" t="s">
        <v>26</v>
      </c>
      <c r="O100" s="2">
        <v>1607761354.0799999</v>
      </c>
      <c r="P100" s="1">
        <v>1</v>
      </c>
      <c r="Q100" s="1" t="s">
        <v>26</v>
      </c>
      <c r="R100" s="1" t="s">
        <v>26</v>
      </c>
      <c r="S100" s="2">
        <v>689040580.32000005</v>
      </c>
      <c r="T100" s="1">
        <v>1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2">
        <v>361755262.19999999</v>
      </c>
      <c r="AB100" s="1">
        <v>1</v>
      </c>
      <c r="AC100" s="1" t="s">
        <v>26</v>
      </c>
      <c r="AD100" s="1" t="s">
        <v>26</v>
      </c>
      <c r="AE100" s="2">
        <v>3364586302.1100001</v>
      </c>
      <c r="AF100" s="1">
        <v>1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2">
        <v>3364586302.1100001</v>
      </c>
      <c r="AZ100" s="1">
        <v>1</v>
      </c>
      <c r="BA100" s="1" t="s">
        <v>26</v>
      </c>
      <c r="BB100" s="1" t="s">
        <v>26</v>
      </c>
    </row>
    <row r="101" spans="1:54" s="7" customFormat="1">
      <c r="A101" s="13" t="s">
        <v>84</v>
      </c>
      <c r="B101" s="25" t="s">
        <v>25</v>
      </c>
      <c r="C101" s="55" t="s">
        <v>26</v>
      </c>
      <c r="D101" s="56" t="s">
        <v>26</v>
      </c>
      <c r="E101" s="56" t="s">
        <v>26</v>
      </c>
      <c r="F101" s="56" t="s">
        <v>26</v>
      </c>
      <c r="G101" s="55">
        <v>6001525442.54</v>
      </c>
      <c r="H101" s="56">
        <v>4.2995027879779997E-2</v>
      </c>
      <c r="I101" s="56">
        <v>0.15</v>
      </c>
      <c r="J101" s="56">
        <f>+I101-H101</f>
        <v>0.10700497212022</v>
      </c>
      <c r="K101" s="55">
        <v>30756920.129999999</v>
      </c>
      <c r="L101" s="56">
        <v>1.164658527243E-2</v>
      </c>
      <c r="M101" s="56">
        <v>0.15</v>
      </c>
      <c r="N101" s="56">
        <f>+M101-L101</f>
        <v>0.13835341472756998</v>
      </c>
      <c r="O101" s="55">
        <v>17824257565.849998</v>
      </c>
      <c r="P101" s="56">
        <v>8.5624331364469994E-2</v>
      </c>
      <c r="Q101" s="56">
        <v>0.15</v>
      </c>
      <c r="R101" s="56">
        <f>+Q101-P101</f>
        <v>6.4375668635530001E-2</v>
      </c>
      <c r="S101" s="55">
        <v>4765733506.5500002</v>
      </c>
      <c r="T101" s="56">
        <v>4.5661702783329997E-2</v>
      </c>
      <c r="U101" s="56">
        <v>0.15</v>
      </c>
      <c r="V101" s="56">
        <f>+U101-T101</f>
        <v>0.10433829721667</v>
      </c>
      <c r="W101" s="55" t="s">
        <v>26</v>
      </c>
      <c r="X101" s="56" t="s">
        <v>26</v>
      </c>
      <c r="Y101" s="56" t="s">
        <v>26</v>
      </c>
      <c r="Z101" s="56" t="s">
        <v>26</v>
      </c>
      <c r="AA101" s="55">
        <v>5544493445.6800003</v>
      </c>
      <c r="AB101" s="56">
        <v>4.322472869973E-2</v>
      </c>
      <c r="AC101" s="56">
        <v>0.15</v>
      </c>
      <c r="AD101" s="56">
        <f>+AC101-AB101</f>
        <v>0.10677527130026999</v>
      </c>
      <c r="AE101" s="55">
        <v>34166766880.75</v>
      </c>
      <c r="AF101" s="56">
        <v>5.7483612883730002E-2</v>
      </c>
      <c r="AG101" s="56">
        <v>0.15</v>
      </c>
      <c r="AH101" s="56">
        <f>+AG101-AF101</f>
        <v>9.2516387116269999E-2</v>
      </c>
      <c r="AI101" s="55" t="s">
        <v>26</v>
      </c>
      <c r="AJ101" s="56" t="s">
        <v>26</v>
      </c>
      <c r="AK101" s="56" t="s">
        <v>26</v>
      </c>
      <c r="AL101" s="56" t="s">
        <v>26</v>
      </c>
      <c r="AM101" s="55" t="s">
        <v>26</v>
      </c>
      <c r="AN101" s="56" t="s">
        <v>26</v>
      </c>
      <c r="AO101" s="56" t="s">
        <v>26</v>
      </c>
      <c r="AP101" s="56" t="s">
        <v>26</v>
      </c>
      <c r="AQ101" s="55" t="s">
        <v>26</v>
      </c>
      <c r="AR101" s="56" t="s">
        <v>26</v>
      </c>
      <c r="AS101" s="56" t="s">
        <v>26</v>
      </c>
      <c r="AT101" s="56" t="s">
        <v>26</v>
      </c>
      <c r="AU101" s="55">
        <v>1799571851.28</v>
      </c>
      <c r="AV101" s="56">
        <v>4.3108482845140003E-2</v>
      </c>
      <c r="AW101" s="56">
        <v>0.15</v>
      </c>
      <c r="AX101" s="56">
        <f>+AW101-AV101</f>
        <v>0.10689151715485999</v>
      </c>
      <c r="AY101" s="55">
        <v>35966338732.029999</v>
      </c>
      <c r="AZ101" s="56">
        <v>5.3246233790269999E-2</v>
      </c>
      <c r="BA101" s="56">
        <v>0.15</v>
      </c>
      <c r="BB101" s="56">
        <f>+BA101-AZ101</f>
        <v>9.6753766209730002E-2</v>
      </c>
    </row>
    <row r="102" spans="1:54" s="7" customFormat="1">
      <c r="A102" s="5" t="s">
        <v>85</v>
      </c>
      <c r="B102" s="24" t="s">
        <v>25</v>
      </c>
      <c r="C102" s="10" t="s">
        <v>26</v>
      </c>
      <c r="D102" s="11" t="s">
        <v>26</v>
      </c>
      <c r="E102" s="11" t="s">
        <v>26</v>
      </c>
      <c r="F102" s="11" t="s">
        <v>26</v>
      </c>
      <c r="G102" s="10">
        <v>120353165.70999999</v>
      </c>
      <c r="H102" s="11">
        <v>8.6221207668999995E-4</v>
      </c>
      <c r="I102" s="1" t="s">
        <v>26</v>
      </c>
      <c r="J102" s="1" t="s">
        <v>26</v>
      </c>
      <c r="K102" s="10">
        <v>30756920.129999999</v>
      </c>
      <c r="L102" s="11">
        <v>1.164658527243E-2</v>
      </c>
      <c r="M102" s="1" t="s">
        <v>26</v>
      </c>
      <c r="N102" s="1" t="s">
        <v>26</v>
      </c>
      <c r="O102" s="10" t="s">
        <v>26</v>
      </c>
      <c r="P102" s="11" t="s">
        <v>26</v>
      </c>
      <c r="Q102" s="11" t="s">
        <v>26</v>
      </c>
      <c r="R102" s="11" t="s">
        <v>26</v>
      </c>
      <c r="S102" s="10">
        <v>260765192.37</v>
      </c>
      <c r="T102" s="11">
        <v>2.49845751842E-3</v>
      </c>
      <c r="U102" s="1" t="s">
        <v>26</v>
      </c>
      <c r="V102" s="1" t="s">
        <v>26</v>
      </c>
      <c r="W102" s="10" t="s">
        <v>26</v>
      </c>
      <c r="X102" s="11" t="s">
        <v>26</v>
      </c>
      <c r="Y102" s="11" t="s">
        <v>26</v>
      </c>
      <c r="Z102" s="11" t="s">
        <v>26</v>
      </c>
      <c r="AA102" s="10">
        <v>135062997.08000001</v>
      </c>
      <c r="AB102" s="11">
        <v>1.0529476612E-3</v>
      </c>
      <c r="AC102" s="1" t="s">
        <v>26</v>
      </c>
      <c r="AD102" s="1" t="s">
        <v>26</v>
      </c>
      <c r="AE102" s="10">
        <v>546938275.28999996</v>
      </c>
      <c r="AF102" s="11">
        <v>9.2019207429999998E-4</v>
      </c>
      <c r="AG102" s="1" t="s">
        <v>26</v>
      </c>
      <c r="AH102" s="1" t="s">
        <v>26</v>
      </c>
      <c r="AI102" s="10" t="s">
        <v>26</v>
      </c>
      <c r="AJ102" s="11" t="s">
        <v>26</v>
      </c>
      <c r="AK102" s="11" t="s">
        <v>26</v>
      </c>
      <c r="AL102" s="11" t="s">
        <v>26</v>
      </c>
      <c r="AM102" s="10" t="s">
        <v>26</v>
      </c>
      <c r="AN102" s="11" t="s">
        <v>26</v>
      </c>
      <c r="AO102" s="11" t="s">
        <v>26</v>
      </c>
      <c r="AP102" s="11" t="s">
        <v>26</v>
      </c>
      <c r="AQ102" s="10" t="s">
        <v>26</v>
      </c>
      <c r="AR102" s="11" t="s">
        <v>26</v>
      </c>
      <c r="AS102" s="11" t="s">
        <v>26</v>
      </c>
      <c r="AT102" s="11" t="s">
        <v>26</v>
      </c>
      <c r="AU102" s="10" t="s">
        <v>26</v>
      </c>
      <c r="AV102" s="11" t="s">
        <v>26</v>
      </c>
      <c r="AW102" s="11" t="s">
        <v>26</v>
      </c>
      <c r="AX102" s="11" t="s">
        <v>26</v>
      </c>
      <c r="AY102" s="10">
        <v>546938275.28999996</v>
      </c>
      <c r="AZ102" s="11">
        <v>8.0971275647000001E-4</v>
      </c>
      <c r="BA102" s="1" t="s">
        <v>26</v>
      </c>
      <c r="BB102" s="1" t="s">
        <v>26</v>
      </c>
    </row>
    <row r="103" spans="1:54" s="8" customFormat="1">
      <c r="A103" s="3" t="s">
        <v>86</v>
      </c>
      <c r="B103" s="31" t="s">
        <v>46</v>
      </c>
      <c r="C103" s="2" t="s">
        <v>26</v>
      </c>
      <c r="D103" s="1" t="s">
        <v>26</v>
      </c>
      <c r="E103" s="1" t="s">
        <v>26</v>
      </c>
      <c r="F103" s="1" t="s">
        <v>26</v>
      </c>
      <c r="G103" s="2">
        <v>120353165.70999999</v>
      </c>
      <c r="H103" s="1">
        <v>1</v>
      </c>
      <c r="I103" s="1" t="s">
        <v>26</v>
      </c>
      <c r="J103" s="1" t="s">
        <v>26</v>
      </c>
      <c r="K103" s="2">
        <v>30756920.129999999</v>
      </c>
      <c r="L103" s="1">
        <v>1</v>
      </c>
      <c r="M103" s="1" t="s">
        <v>26</v>
      </c>
      <c r="N103" s="1" t="s">
        <v>26</v>
      </c>
      <c r="O103" s="2" t="s">
        <v>26</v>
      </c>
      <c r="P103" s="1" t="s">
        <v>26</v>
      </c>
      <c r="Q103" s="11" t="s">
        <v>26</v>
      </c>
      <c r="R103" s="11" t="s">
        <v>26</v>
      </c>
      <c r="S103" s="2">
        <v>260765192.37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135062997.08000001</v>
      </c>
      <c r="AB103" s="1">
        <v>1</v>
      </c>
      <c r="AC103" s="1" t="s">
        <v>26</v>
      </c>
      <c r="AD103" s="1" t="s">
        <v>26</v>
      </c>
      <c r="AE103" s="2">
        <v>546938275.28999996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">
        <v>546938275.28999996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87</v>
      </c>
      <c r="B104" s="24" t="s">
        <v>25</v>
      </c>
      <c r="C104" s="10" t="s">
        <v>26</v>
      </c>
      <c r="D104" s="11" t="s">
        <v>26</v>
      </c>
      <c r="E104" s="11" t="s">
        <v>26</v>
      </c>
      <c r="F104" s="11" t="s">
        <v>26</v>
      </c>
      <c r="G104" s="10">
        <v>1799245202.28</v>
      </c>
      <c r="H104" s="11">
        <v>1.288982249184E-2</v>
      </c>
      <c r="I104" s="1" t="s">
        <v>26</v>
      </c>
      <c r="J104" s="1" t="s">
        <v>26</v>
      </c>
      <c r="K104" s="10" t="s">
        <v>26</v>
      </c>
      <c r="L104" s="11" t="s">
        <v>26</v>
      </c>
      <c r="M104" s="11" t="s">
        <v>26</v>
      </c>
      <c r="N104" s="11" t="s">
        <v>26</v>
      </c>
      <c r="O104" s="10">
        <v>3226509687.6599998</v>
      </c>
      <c r="P104" s="11">
        <v>1.54995367199E-2</v>
      </c>
      <c r="Q104" s="11" t="s">
        <v>26</v>
      </c>
      <c r="R104" s="11" t="s">
        <v>26</v>
      </c>
      <c r="S104" s="10">
        <v>1175883530.6099999</v>
      </c>
      <c r="T104" s="11">
        <v>1.1266438672810001E-2</v>
      </c>
      <c r="U104" s="1" t="s">
        <v>26</v>
      </c>
      <c r="V104" s="1" t="s">
        <v>26</v>
      </c>
      <c r="W104" s="10" t="s">
        <v>26</v>
      </c>
      <c r="X104" s="11" t="s">
        <v>26</v>
      </c>
      <c r="Y104" s="11" t="s">
        <v>26</v>
      </c>
      <c r="Z104" s="11" t="s">
        <v>26</v>
      </c>
      <c r="AA104" s="10">
        <v>1798097998.8299999</v>
      </c>
      <c r="AB104" s="11">
        <v>1.401792588203E-2</v>
      </c>
      <c r="AC104" s="1" t="s">
        <v>26</v>
      </c>
      <c r="AD104" s="1" t="s">
        <v>26</v>
      </c>
      <c r="AE104" s="10">
        <v>7999736419.3800001</v>
      </c>
      <c r="AF104" s="11">
        <v>1.3459094713539999E-2</v>
      </c>
      <c r="AG104" s="1" t="s">
        <v>26</v>
      </c>
      <c r="AH104" s="1" t="s">
        <v>26</v>
      </c>
      <c r="AI104" s="10" t="s">
        <v>26</v>
      </c>
      <c r="AJ104" s="11" t="s">
        <v>26</v>
      </c>
      <c r="AK104" s="11" t="s">
        <v>26</v>
      </c>
      <c r="AL104" s="11" t="s">
        <v>26</v>
      </c>
      <c r="AM104" s="10" t="s">
        <v>26</v>
      </c>
      <c r="AN104" s="11" t="s">
        <v>26</v>
      </c>
      <c r="AO104" s="11" t="s">
        <v>26</v>
      </c>
      <c r="AP104" s="11" t="s">
        <v>26</v>
      </c>
      <c r="AQ104" s="10" t="s">
        <v>26</v>
      </c>
      <c r="AR104" s="11" t="s">
        <v>26</v>
      </c>
      <c r="AS104" s="11" t="s">
        <v>26</v>
      </c>
      <c r="AT104" s="11" t="s">
        <v>26</v>
      </c>
      <c r="AU104" s="10">
        <v>294974685.66000003</v>
      </c>
      <c r="AV104" s="11">
        <v>7.0660758376899996E-3</v>
      </c>
      <c r="AW104" s="1" t="s">
        <v>26</v>
      </c>
      <c r="AX104" s="1" t="s">
        <v>26</v>
      </c>
      <c r="AY104" s="10">
        <v>8294711105.04</v>
      </c>
      <c r="AZ104" s="11">
        <v>1.2279874524129999E-2</v>
      </c>
      <c r="BA104" s="1" t="s">
        <v>26</v>
      </c>
      <c r="BB104" s="1" t="s">
        <v>26</v>
      </c>
    </row>
    <row r="105" spans="1:54" s="7" customFormat="1">
      <c r="A105" s="3" t="s">
        <v>86</v>
      </c>
      <c r="B105" s="31" t="s">
        <v>46</v>
      </c>
      <c r="C105" s="2" t="s">
        <v>26</v>
      </c>
      <c r="D105" s="1" t="s">
        <v>26</v>
      </c>
      <c r="E105" s="1" t="s">
        <v>26</v>
      </c>
      <c r="F105" s="1" t="s">
        <v>26</v>
      </c>
      <c r="G105" s="2">
        <v>1799245202.28</v>
      </c>
      <c r="H105" s="1">
        <v>1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3226509687.6599998</v>
      </c>
      <c r="P105" s="1">
        <v>1</v>
      </c>
      <c r="Q105" s="11" t="s">
        <v>26</v>
      </c>
      <c r="R105" s="11" t="s">
        <v>26</v>
      </c>
      <c r="S105" s="2">
        <v>1175883530.6099999</v>
      </c>
      <c r="T105" s="1">
        <v>1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1798097998.8299999</v>
      </c>
      <c r="AB105" s="1">
        <v>1</v>
      </c>
      <c r="AC105" s="1" t="s">
        <v>26</v>
      </c>
      <c r="AD105" s="1" t="s">
        <v>26</v>
      </c>
      <c r="AE105" s="2">
        <v>7999736419.3800001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>
        <v>294974685.66000003</v>
      </c>
      <c r="AV105" s="1">
        <v>1</v>
      </c>
      <c r="AW105" s="1" t="s">
        <v>26</v>
      </c>
      <c r="AX105" s="1" t="s">
        <v>26</v>
      </c>
      <c r="AY105" s="2">
        <v>8294711105.04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88</v>
      </c>
      <c r="B106" s="24" t="s">
        <v>25</v>
      </c>
      <c r="C106" s="10" t="s">
        <v>26</v>
      </c>
      <c r="D106" s="11" t="s">
        <v>26</v>
      </c>
      <c r="E106" s="11" t="s">
        <v>26</v>
      </c>
      <c r="F106" s="11" t="s">
        <v>26</v>
      </c>
      <c r="G106" s="10">
        <v>1404423724.2</v>
      </c>
      <c r="H106" s="11">
        <v>1.006131486988E-2</v>
      </c>
      <c r="I106" s="1" t="s">
        <v>26</v>
      </c>
      <c r="J106" s="1" t="s">
        <v>26</v>
      </c>
      <c r="K106" s="10" t="s">
        <v>26</v>
      </c>
      <c r="L106" s="11" t="s">
        <v>26</v>
      </c>
      <c r="M106" s="11" t="s">
        <v>26</v>
      </c>
      <c r="N106" s="11" t="s">
        <v>26</v>
      </c>
      <c r="O106" s="10">
        <v>1350407427.1099999</v>
      </c>
      <c r="P106" s="11">
        <v>6.4870995377399997E-3</v>
      </c>
      <c r="Q106" s="11" t="s">
        <v>26</v>
      </c>
      <c r="R106" s="11" t="s">
        <v>26</v>
      </c>
      <c r="S106" s="10">
        <v>1350407427.1199999</v>
      </c>
      <c r="T106" s="11">
        <v>1.293859643826E-2</v>
      </c>
      <c r="U106" s="1" t="s">
        <v>26</v>
      </c>
      <c r="V106" s="1" t="s">
        <v>26</v>
      </c>
      <c r="W106" s="10" t="s">
        <v>26</v>
      </c>
      <c r="X106" s="11" t="s">
        <v>26</v>
      </c>
      <c r="Y106" s="11" t="s">
        <v>26</v>
      </c>
      <c r="Z106" s="11" t="s">
        <v>26</v>
      </c>
      <c r="AA106" s="10">
        <v>1295580885.5799999</v>
      </c>
      <c r="AB106" s="11">
        <v>1.010031535548E-2</v>
      </c>
      <c r="AC106" s="1" t="s">
        <v>26</v>
      </c>
      <c r="AD106" s="1" t="s">
        <v>26</v>
      </c>
      <c r="AE106" s="10">
        <v>5400819464.0100002</v>
      </c>
      <c r="AF106" s="11">
        <v>9.0865669674799997E-3</v>
      </c>
      <c r="AG106" s="1" t="s">
        <v>26</v>
      </c>
      <c r="AH106" s="1" t="s">
        <v>26</v>
      </c>
      <c r="AI106" s="10" t="s">
        <v>26</v>
      </c>
      <c r="AJ106" s="11" t="s">
        <v>26</v>
      </c>
      <c r="AK106" s="11" t="s">
        <v>26</v>
      </c>
      <c r="AL106" s="11" t="s">
        <v>26</v>
      </c>
      <c r="AM106" s="10" t="s">
        <v>26</v>
      </c>
      <c r="AN106" s="11" t="s">
        <v>26</v>
      </c>
      <c r="AO106" s="11" t="s">
        <v>26</v>
      </c>
      <c r="AP106" s="11" t="s">
        <v>26</v>
      </c>
      <c r="AQ106" s="10" t="s">
        <v>26</v>
      </c>
      <c r="AR106" s="11" t="s">
        <v>26</v>
      </c>
      <c r="AS106" s="11" t="s">
        <v>26</v>
      </c>
      <c r="AT106" s="11" t="s">
        <v>26</v>
      </c>
      <c r="AU106" s="10" t="s">
        <v>26</v>
      </c>
      <c r="AV106" s="11" t="s">
        <v>26</v>
      </c>
      <c r="AW106" s="1" t="s">
        <v>26</v>
      </c>
      <c r="AX106" s="1" t="s">
        <v>26</v>
      </c>
      <c r="AY106" s="10">
        <v>5400819464.0100002</v>
      </c>
      <c r="AZ106" s="11">
        <v>7.9956232960599997E-3</v>
      </c>
      <c r="BA106" s="1" t="s">
        <v>26</v>
      </c>
      <c r="BB106" s="1" t="s">
        <v>26</v>
      </c>
    </row>
    <row r="107" spans="1:54" s="7" customFormat="1">
      <c r="A107" s="3" t="s">
        <v>86</v>
      </c>
      <c r="B107" s="31" t="s">
        <v>46</v>
      </c>
      <c r="C107" s="2" t="s">
        <v>26</v>
      </c>
      <c r="D107" s="1" t="s">
        <v>26</v>
      </c>
      <c r="E107" s="1" t="s">
        <v>26</v>
      </c>
      <c r="F107" s="1" t="s">
        <v>26</v>
      </c>
      <c r="G107" s="2">
        <v>1404423724.2</v>
      </c>
      <c r="H107" s="1">
        <v>1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1350407427.1099999</v>
      </c>
      <c r="P107" s="1">
        <v>1</v>
      </c>
      <c r="Q107" s="11" t="s">
        <v>26</v>
      </c>
      <c r="R107" s="11" t="s">
        <v>26</v>
      </c>
      <c r="S107" s="2">
        <v>1350407427.1199999</v>
      </c>
      <c r="T107" s="1">
        <v>1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>
        <v>1295580885.5799999</v>
      </c>
      <c r="AB107" s="1">
        <v>1</v>
      </c>
      <c r="AC107" s="1" t="s">
        <v>26</v>
      </c>
      <c r="AD107" s="1" t="s">
        <v>26</v>
      </c>
      <c r="AE107" s="2">
        <v>5400819464.0100002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5400819464.0100002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89</v>
      </c>
      <c r="B108" s="24" t="s">
        <v>25</v>
      </c>
      <c r="C108" s="10" t="s">
        <v>26</v>
      </c>
      <c r="D108" s="11" t="s">
        <v>26</v>
      </c>
      <c r="E108" s="11" t="s">
        <v>26</v>
      </c>
      <c r="F108" s="11" t="s">
        <v>26</v>
      </c>
      <c r="G108" s="10" t="s">
        <v>26</v>
      </c>
      <c r="H108" s="11" t="s">
        <v>26</v>
      </c>
      <c r="I108" s="1" t="s">
        <v>26</v>
      </c>
      <c r="J108" s="1" t="s">
        <v>26</v>
      </c>
      <c r="K108" s="10" t="s">
        <v>26</v>
      </c>
      <c r="L108" s="11" t="s">
        <v>26</v>
      </c>
      <c r="M108" s="11" t="s">
        <v>26</v>
      </c>
      <c r="N108" s="11" t="s">
        <v>26</v>
      </c>
      <c r="O108" s="10">
        <v>3330314482.4299998</v>
      </c>
      <c r="P108" s="11">
        <v>1.5998195141540002E-2</v>
      </c>
      <c r="Q108" s="11" t="s">
        <v>26</v>
      </c>
      <c r="R108" s="11" t="s">
        <v>26</v>
      </c>
      <c r="S108" s="10">
        <v>597818583.91999996</v>
      </c>
      <c r="T108" s="11">
        <v>5.7278516433599998E-3</v>
      </c>
      <c r="U108" s="1" t="s">
        <v>26</v>
      </c>
      <c r="V108" s="1" t="s">
        <v>26</v>
      </c>
      <c r="W108" s="10" t="s">
        <v>26</v>
      </c>
      <c r="X108" s="11" t="s">
        <v>26</v>
      </c>
      <c r="Y108" s="11" t="s">
        <v>26</v>
      </c>
      <c r="Z108" s="11" t="s">
        <v>26</v>
      </c>
      <c r="AA108" s="10">
        <v>1195327187.8299999</v>
      </c>
      <c r="AB108" s="11">
        <v>9.3187400990800001E-3</v>
      </c>
      <c r="AC108" s="1" t="s">
        <v>26</v>
      </c>
      <c r="AD108" s="1" t="s">
        <v>26</v>
      </c>
      <c r="AE108" s="10">
        <v>5123460254.1800003</v>
      </c>
      <c r="AF108" s="11">
        <v>8.61992610844E-3</v>
      </c>
      <c r="AG108" s="1" t="s">
        <v>26</v>
      </c>
      <c r="AH108" s="1" t="s">
        <v>26</v>
      </c>
      <c r="AI108" s="10" t="s">
        <v>26</v>
      </c>
      <c r="AJ108" s="11" t="s">
        <v>26</v>
      </c>
      <c r="AK108" s="11" t="s">
        <v>26</v>
      </c>
      <c r="AL108" s="11" t="s">
        <v>26</v>
      </c>
      <c r="AM108" s="10" t="s">
        <v>26</v>
      </c>
      <c r="AN108" s="11" t="s">
        <v>26</v>
      </c>
      <c r="AO108" s="11" t="s">
        <v>26</v>
      </c>
      <c r="AP108" s="11" t="s">
        <v>26</v>
      </c>
      <c r="AQ108" s="10" t="s">
        <v>26</v>
      </c>
      <c r="AR108" s="11" t="s">
        <v>26</v>
      </c>
      <c r="AS108" s="11" t="s">
        <v>26</v>
      </c>
      <c r="AT108" s="11" t="s">
        <v>26</v>
      </c>
      <c r="AU108" s="10">
        <v>332121435.50999999</v>
      </c>
      <c r="AV108" s="11">
        <v>7.9559208458400005E-3</v>
      </c>
      <c r="AW108" s="1" t="s">
        <v>26</v>
      </c>
      <c r="AX108" s="1" t="s">
        <v>26</v>
      </c>
      <c r="AY108" s="10">
        <v>5455581689.6899996</v>
      </c>
      <c r="AZ108" s="11">
        <v>8.0766958315000009E-3</v>
      </c>
      <c r="BA108" s="1" t="s">
        <v>26</v>
      </c>
      <c r="BB108" s="1" t="s">
        <v>26</v>
      </c>
    </row>
    <row r="109" spans="1:54" s="7" customFormat="1">
      <c r="A109" s="3" t="s">
        <v>86</v>
      </c>
      <c r="B109" s="31" t="s">
        <v>46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3330314482.4299998</v>
      </c>
      <c r="P109" s="1">
        <v>1</v>
      </c>
      <c r="Q109" s="11" t="s">
        <v>26</v>
      </c>
      <c r="R109" s="11" t="s">
        <v>26</v>
      </c>
      <c r="S109" s="2">
        <v>597818583.91999996</v>
      </c>
      <c r="T109" s="1">
        <v>1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>
        <v>1195327187.8299999</v>
      </c>
      <c r="AB109" s="1">
        <v>1</v>
      </c>
      <c r="AC109" s="1" t="s">
        <v>26</v>
      </c>
      <c r="AD109" s="1" t="s">
        <v>26</v>
      </c>
      <c r="AE109" s="2">
        <v>5123460254.1800003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>
        <v>332121435.50999999</v>
      </c>
      <c r="AV109" s="1">
        <v>1</v>
      </c>
      <c r="AW109" s="1" t="s">
        <v>26</v>
      </c>
      <c r="AX109" s="1" t="s">
        <v>26</v>
      </c>
      <c r="AY109" s="2">
        <v>5455581689.6899996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106</v>
      </c>
      <c r="B110" s="24" t="s">
        <v>25</v>
      </c>
      <c r="C110" s="10" t="s">
        <v>26</v>
      </c>
      <c r="D110" s="11" t="s">
        <v>26</v>
      </c>
      <c r="E110" s="11" t="s">
        <v>26</v>
      </c>
      <c r="F110" s="11" t="s">
        <v>26</v>
      </c>
      <c r="G110" s="10" t="s">
        <v>26</v>
      </c>
      <c r="H110" s="11" t="s">
        <v>26</v>
      </c>
      <c r="I110" s="1" t="s">
        <v>26</v>
      </c>
      <c r="J110" s="1" t="s">
        <v>26</v>
      </c>
      <c r="K110" s="10" t="s">
        <v>26</v>
      </c>
      <c r="L110" s="11" t="s">
        <v>26</v>
      </c>
      <c r="M110" s="11" t="s">
        <v>26</v>
      </c>
      <c r="N110" s="11" t="s">
        <v>26</v>
      </c>
      <c r="O110" s="10">
        <v>628839349.20000005</v>
      </c>
      <c r="P110" s="11">
        <v>3.0208242117200001E-3</v>
      </c>
      <c r="Q110" s="11" t="s">
        <v>26</v>
      </c>
      <c r="R110" s="11" t="s">
        <v>26</v>
      </c>
      <c r="S110" s="10" t="s">
        <v>26</v>
      </c>
      <c r="T110" s="11" t="s">
        <v>26</v>
      </c>
      <c r="U110" s="1" t="s">
        <v>26</v>
      </c>
      <c r="V110" s="1" t="s">
        <v>26</v>
      </c>
      <c r="W110" s="10" t="s">
        <v>26</v>
      </c>
      <c r="X110" s="11" t="s">
        <v>26</v>
      </c>
      <c r="Y110" s="11" t="s">
        <v>26</v>
      </c>
      <c r="Z110" s="11" t="s">
        <v>26</v>
      </c>
      <c r="AA110" s="10" t="s">
        <v>26</v>
      </c>
      <c r="AB110" s="11" t="s">
        <v>26</v>
      </c>
      <c r="AC110" s="1" t="s">
        <v>26</v>
      </c>
      <c r="AD110" s="1" t="s">
        <v>26</v>
      </c>
      <c r="AE110" s="10">
        <v>628839349.20000005</v>
      </c>
      <c r="AF110" s="11">
        <v>1.05798590313E-3</v>
      </c>
      <c r="AG110" s="1" t="s">
        <v>26</v>
      </c>
      <c r="AH110" s="1" t="s">
        <v>26</v>
      </c>
      <c r="AI110" s="10" t="s">
        <v>26</v>
      </c>
      <c r="AJ110" s="11" t="s">
        <v>26</v>
      </c>
      <c r="AK110" s="11" t="s">
        <v>26</v>
      </c>
      <c r="AL110" s="11" t="s">
        <v>26</v>
      </c>
      <c r="AM110" s="10" t="s">
        <v>26</v>
      </c>
      <c r="AN110" s="11" t="s">
        <v>26</v>
      </c>
      <c r="AO110" s="11" t="s">
        <v>26</v>
      </c>
      <c r="AP110" s="11" t="s">
        <v>26</v>
      </c>
      <c r="AQ110" s="10" t="s">
        <v>26</v>
      </c>
      <c r="AR110" s="11" t="s">
        <v>26</v>
      </c>
      <c r="AS110" s="11" t="s">
        <v>26</v>
      </c>
      <c r="AT110" s="11" t="s">
        <v>26</v>
      </c>
      <c r="AU110" s="10" t="s">
        <v>26</v>
      </c>
      <c r="AV110" s="11" t="s">
        <v>26</v>
      </c>
      <c r="AW110" s="1" t="s">
        <v>26</v>
      </c>
      <c r="AX110" s="1" t="s">
        <v>26</v>
      </c>
      <c r="AY110" s="10">
        <v>628839349.20000005</v>
      </c>
      <c r="AZ110" s="11">
        <v>9.3096289987999997E-4</v>
      </c>
      <c r="BA110" s="1" t="s">
        <v>26</v>
      </c>
      <c r="BB110" s="1" t="s">
        <v>26</v>
      </c>
    </row>
    <row r="111" spans="1:54" s="7" customFormat="1">
      <c r="A111" s="3" t="s">
        <v>86</v>
      </c>
      <c r="B111" s="31" t="s">
        <v>46</v>
      </c>
      <c r="C111" s="2" t="s">
        <v>26</v>
      </c>
      <c r="D111" s="1" t="s">
        <v>26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>
        <v>628839349.20000005</v>
      </c>
      <c r="P111" s="1">
        <v>1</v>
      </c>
      <c r="Q111" s="11" t="s">
        <v>26</v>
      </c>
      <c r="R111" s="1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628839349.20000005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628839349.20000005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90</v>
      </c>
      <c r="B112" s="24" t="s">
        <v>25</v>
      </c>
      <c r="C112" s="10" t="s">
        <v>26</v>
      </c>
      <c r="D112" s="11" t="s">
        <v>26</v>
      </c>
      <c r="E112" s="11" t="s">
        <v>26</v>
      </c>
      <c r="F112" s="11" t="s">
        <v>26</v>
      </c>
      <c r="G112" s="10" t="s">
        <v>26</v>
      </c>
      <c r="H112" s="11" t="s">
        <v>26</v>
      </c>
      <c r="I112" s="1" t="s">
        <v>26</v>
      </c>
      <c r="J112" s="1" t="s">
        <v>26</v>
      </c>
      <c r="K112" s="10" t="s">
        <v>26</v>
      </c>
      <c r="L112" s="11" t="s">
        <v>26</v>
      </c>
      <c r="M112" s="11" t="s">
        <v>26</v>
      </c>
      <c r="N112" s="11" t="s">
        <v>26</v>
      </c>
      <c r="O112" s="10">
        <v>321944563.86000001</v>
      </c>
      <c r="P112" s="11">
        <v>1.5465602376499999E-3</v>
      </c>
      <c r="Q112" s="11" t="s">
        <v>26</v>
      </c>
      <c r="R112" s="11" t="s">
        <v>26</v>
      </c>
      <c r="S112" s="10" t="s">
        <v>26</v>
      </c>
      <c r="T112" s="11" t="s">
        <v>26</v>
      </c>
      <c r="U112" s="1" t="s">
        <v>26</v>
      </c>
      <c r="V112" s="1" t="s">
        <v>26</v>
      </c>
      <c r="W112" s="10" t="s">
        <v>26</v>
      </c>
      <c r="X112" s="11" t="s">
        <v>26</v>
      </c>
      <c r="Y112" s="11" t="s">
        <v>26</v>
      </c>
      <c r="Z112" s="11" t="s">
        <v>26</v>
      </c>
      <c r="AA112" s="10">
        <v>321944563.86000001</v>
      </c>
      <c r="AB112" s="11">
        <v>2.5098715627599999E-3</v>
      </c>
      <c r="AC112" s="1" t="s">
        <v>26</v>
      </c>
      <c r="AD112" s="1" t="s">
        <v>26</v>
      </c>
      <c r="AE112" s="10">
        <v>643889127.72000003</v>
      </c>
      <c r="AF112" s="11">
        <v>1.0833062866900001E-3</v>
      </c>
      <c r="AG112" s="1" t="s">
        <v>26</v>
      </c>
      <c r="AH112" s="1" t="s">
        <v>26</v>
      </c>
      <c r="AI112" s="10" t="s">
        <v>26</v>
      </c>
      <c r="AJ112" s="11" t="s">
        <v>26</v>
      </c>
      <c r="AK112" s="11" t="s">
        <v>26</v>
      </c>
      <c r="AL112" s="11" t="s">
        <v>26</v>
      </c>
      <c r="AM112" s="10" t="s">
        <v>26</v>
      </c>
      <c r="AN112" s="11" t="s">
        <v>26</v>
      </c>
      <c r="AO112" s="11" t="s">
        <v>26</v>
      </c>
      <c r="AP112" s="11" t="s">
        <v>26</v>
      </c>
      <c r="AQ112" s="10" t="s">
        <v>26</v>
      </c>
      <c r="AR112" s="11" t="s">
        <v>26</v>
      </c>
      <c r="AS112" s="11" t="s">
        <v>26</v>
      </c>
      <c r="AT112" s="11" t="s">
        <v>26</v>
      </c>
      <c r="AU112" s="10" t="s">
        <v>26</v>
      </c>
      <c r="AV112" s="11" t="s">
        <v>26</v>
      </c>
      <c r="AW112" s="1" t="s">
        <v>26</v>
      </c>
      <c r="AX112" s="1" t="s">
        <v>26</v>
      </c>
      <c r="AY112" s="10">
        <v>643889127.72000003</v>
      </c>
      <c r="AZ112" s="11">
        <v>9.5324328908999998E-4</v>
      </c>
      <c r="BA112" s="1" t="s">
        <v>26</v>
      </c>
      <c r="BB112" s="1" t="s">
        <v>26</v>
      </c>
    </row>
    <row r="113" spans="1:54" s="7" customFormat="1">
      <c r="A113" s="3" t="s">
        <v>86</v>
      </c>
      <c r="B113" s="31" t="s">
        <v>46</v>
      </c>
      <c r="C113" s="2" t="s">
        <v>26</v>
      </c>
      <c r="D113" s="1" t="s">
        <v>26</v>
      </c>
      <c r="E113" s="1" t="s">
        <v>26</v>
      </c>
      <c r="F113" s="1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>
        <v>321944563.86000001</v>
      </c>
      <c r="P113" s="1">
        <v>1</v>
      </c>
      <c r="Q113" s="11" t="s">
        <v>26</v>
      </c>
      <c r="R113" s="11" t="s">
        <v>26</v>
      </c>
      <c r="S113" s="2" t="s">
        <v>26</v>
      </c>
      <c r="T113" s="1" t="s">
        <v>26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>
        <v>321944563.86000001</v>
      </c>
      <c r="AB113" s="1">
        <v>1</v>
      </c>
      <c r="AC113" s="1" t="s">
        <v>26</v>
      </c>
      <c r="AD113" s="1" t="s">
        <v>26</v>
      </c>
      <c r="AE113" s="2">
        <v>643889127.72000003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643889127.72000003</v>
      </c>
      <c r="AZ113" s="1">
        <v>1</v>
      </c>
      <c r="BA113" s="1" t="s">
        <v>26</v>
      </c>
      <c r="BB113" s="1" t="s">
        <v>26</v>
      </c>
    </row>
    <row r="114" spans="1:54" s="8" customFormat="1">
      <c r="A114" s="5" t="s">
        <v>91</v>
      </c>
      <c r="B114" s="24" t="s">
        <v>25</v>
      </c>
      <c r="C114" s="10" t="s">
        <v>26</v>
      </c>
      <c r="D114" s="11" t="s">
        <v>26</v>
      </c>
      <c r="E114" s="11" t="s">
        <v>26</v>
      </c>
      <c r="F114" s="11" t="s">
        <v>26</v>
      </c>
      <c r="G114" s="10" t="s">
        <v>26</v>
      </c>
      <c r="H114" s="11" t="s">
        <v>26</v>
      </c>
      <c r="I114" s="1" t="s">
        <v>26</v>
      </c>
      <c r="J114" s="1" t="s">
        <v>26</v>
      </c>
      <c r="K114" s="10" t="s">
        <v>26</v>
      </c>
      <c r="L114" s="11" t="s">
        <v>26</v>
      </c>
      <c r="M114" s="11" t="s">
        <v>26</v>
      </c>
      <c r="N114" s="11" t="s">
        <v>26</v>
      </c>
      <c r="O114" s="10" t="s">
        <v>26</v>
      </c>
      <c r="P114" s="11" t="s">
        <v>26</v>
      </c>
      <c r="Q114" s="11" t="s">
        <v>26</v>
      </c>
      <c r="R114" s="11" t="s">
        <v>26</v>
      </c>
      <c r="S114" s="10">
        <v>134372687.91999999</v>
      </c>
      <c r="T114" s="11">
        <v>1.28745884124E-3</v>
      </c>
      <c r="U114" s="1" t="s">
        <v>26</v>
      </c>
      <c r="V114" s="1" t="s">
        <v>26</v>
      </c>
      <c r="W114" s="10" t="s">
        <v>26</v>
      </c>
      <c r="X114" s="11" t="s">
        <v>26</v>
      </c>
      <c r="Y114" s="11" t="s">
        <v>26</v>
      </c>
      <c r="Z114" s="11" t="s">
        <v>26</v>
      </c>
      <c r="AA114" s="10" t="s">
        <v>26</v>
      </c>
      <c r="AB114" s="11" t="s">
        <v>26</v>
      </c>
      <c r="AC114" s="1" t="s">
        <v>26</v>
      </c>
      <c r="AD114" s="1" t="s">
        <v>26</v>
      </c>
      <c r="AE114" s="10">
        <v>134372687.91999999</v>
      </c>
      <c r="AF114" s="11">
        <v>2.2607429030000001E-4</v>
      </c>
      <c r="AG114" s="1" t="s">
        <v>26</v>
      </c>
      <c r="AH114" s="1" t="s">
        <v>26</v>
      </c>
      <c r="AI114" s="10" t="s">
        <v>26</v>
      </c>
      <c r="AJ114" s="11" t="s">
        <v>26</v>
      </c>
      <c r="AK114" s="11" t="s">
        <v>26</v>
      </c>
      <c r="AL114" s="11" t="s">
        <v>26</v>
      </c>
      <c r="AM114" s="10" t="s">
        <v>26</v>
      </c>
      <c r="AN114" s="11" t="s">
        <v>26</v>
      </c>
      <c r="AO114" s="11" t="s">
        <v>26</v>
      </c>
      <c r="AP114" s="11" t="s">
        <v>26</v>
      </c>
      <c r="AQ114" s="10" t="s">
        <v>26</v>
      </c>
      <c r="AR114" s="11" t="s">
        <v>26</v>
      </c>
      <c r="AS114" s="11" t="s">
        <v>26</v>
      </c>
      <c r="AT114" s="11" t="s">
        <v>26</v>
      </c>
      <c r="AU114" s="10">
        <v>172134355.69999999</v>
      </c>
      <c r="AV114" s="11">
        <v>4.1234535395000002E-3</v>
      </c>
      <c r="AW114" s="1" t="s">
        <v>26</v>
      </c>
      <c r="AX114" s="1" t="s">
        <v>26</v>
      </c>
      <c r="AY114" s="10">
        <v>306507043.62</v>
      </c>
      <c r="AZ114" s="11">
        <v>4.5376722453E-4</v>
      </c>
      <c r="BA114" s="1" t="s">
        <v>26</v>
      </c>
      <c r="BB114" s="1" t="s">
        <v>26</v>
      </c>
    </row>
    <row r="115" spans="1:54" s="8" customFormat="1">
      <c r="A115" s="3" t="s">
        <v>86</v>
      </c>
      <c r="B115" s="31" t="s">
        <v>46</v>
      </c>
      <c r="C115" s="2" t="s">
        <v>26</v>
      </c>
      <c r="D115" s="1" t="s">
        <v>26</v>
      </c>
      <c r="E115" s="1" t="s">
        <v>26</v>
      </c>
      <c r="F115" s="1" t="s">
        <v>26</v>
      </c>
      <c r="G115" s="2" t="s">
        <v>26</v>
      </c>
      <c r="H115" s="1" t="s">
        <v>26</v>
      </c>
      <c r="I115" s="1" t="s">
        <v>26</v>
      </c>
      <c r="J115" s="1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 t="s">
        <v>26</v>
      </c>
      <c r="P115" s="1" t="s">
        <v>26</v>
      </c>
      <c r="Q115" s="11" t="s">
        <v>26</v>
      </c>
      <c r="R115" s="11" t="s">
        <v>26</v>
      </c>
      <c r="S115" s="2">
        <v>134372687.91999999</v>
      </c>
      <c r="T115" s="1">
        <v>1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134372687.91999999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>
        <v>172134355.69999999</v>
      </c>
      <c r="AV115" s="1">
        <v>1</v>
      </c>
      <c r="AW115" s="1" t="s">
        <v>26</v>
      </c>
      <c r="AX115" s="1" t="s">
        <v>26</v>
      </c>
      <c r="AY115" s="2">
        <v>306507043.62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92</v>
      </c>
      <c r="B116" s="24" t="s">
        <v>25</v>
      </c>
      <c r="C116" s="10" t="s">
        <v>26</v>
      </c>
      <c r="D116" s="11" t="s">
        <v>26</v>
      </c>
      <c r="E116" s="11" t="s">
        <v>26</v>
      </c>
      <c r="F116" s="11" t="s">
        <v>26</v>
      </c>
      <c r="G116" s="10">
        <v>645692170.24000001</v>
      </c>
      <c r="H116" s="11">
        <v>4.6257494243800001E-3</v>
      </c>
      <c r="I116" s="1" t="s">
        <v>26</v>
      </c>
      <c r="J116" s="1" t="s">
        <v>26</v>
      </c>
      <c r="K116" s="10" t="s">
        <v>26</v>
      </c>
      <c r="L116" s="11" t="s">
        <v>26</v>
      </c>
      <c r="M116" s="11" t="s">
        <v>26</v>
      </c>
      <c r="N116" s="11" t="s">
        <v>26</v>
      </c>
      <c r="O116" s="10">
        <v>2028076215.1700001</v>
      </c>
      <c r="P116" s="11">
        <v>9.7424910540400006E-3</v>
      </c>
      <c r="Q116" s="11" t="s">
        <v>26</v>
      </c>
      <c r="R116" s="11" t="s">
        <v>26</v>
      </c>
      <c r="S116" s="10" t="s">
        <v>26</v>
      </c>
      <c r="T116" s="11" t="s">
        <v>26</v>
      </c>
      <c r="U116" s="1" t="s">
        <v>26</v>
      </c>
      <c r="V116" s="1" t="s">
        <v>26</v>
      </c>
      <c r="W116" s="10" t="s">
        <v>26</v>
      </c>
      <c r="X116" s="11" t="s">
        <v>26</v>
      </c>
      <c r="Y116" s="11" t="s">
        <v>26</v>
      </c>
      <c r="Z116" s="11" t="s">
        <v>26</v>
      </c>
      <c r="AA116" s="10" t="s">
        <v>26</v>
      </c>
      <c r="AB116" s="11" t="s">
        <v>26</v>
      </c>
      <c r="AC116" s="1" t="s">
        <v>26</v>
      </c>
      <c r="AD116" s="1" t="s">
        <v>26</v>
      </c>
      <c r="AE116" s="10">
        <v>2673768385.4099998</v>
      </c>
      <c r="AF116" s="11">
        <v>4.4984609560499997E-3</v>
      </c>
      <c r="AG116" s="1" t="s">
        <v>26</v>
      </c>
      <c r="AH116" s="1" t="s">
        <v>26</v>
      </c>
      <c r="AI116" s="10" t="s">
        <v>26</v>
      </c>
      <c r="AJ116" s="11" t="s">
        <v>26</v>
      </c>
      <c r="AK116" s="11" t="s">
        <v>26</v>
      </c>
      <c r="AL116" s="11" t="s">
        <v>26</v>
      </c>
      <c r="AM116" s="10" t="s">
        <v>26</v>
      </c>
      <c r="AN116" s="11" t="s">
        <v>26</v>
      </c>
      <c r="AO116" s="11" t="s">
        <v>26</v>
      </c>
      <c r="AP116" s="11" t="s">
        <v>26</v>
      </c>
      <c r="AQ116" s="10" t="s">
        <v>26</v>
      </c>
      <c r="AR116" s="11" t="s">
        <v>26</v>
      </c>
      <c r="AS116" s="11" t="s">
        <v>26</v>
      </c>
      <c r="AT116" s="11" t="s">
        <v>26</v>
      </c>
      <c r="AU116" s="10" t="s">
        <v>26</v>
      </c>
      <c r="AV116" s="11" t="s">
        <v>26</v>
      </c>
      <c r="AW116" s="1" t="s">
        <v>26</v>
      </c>
      <c r="AX116" s="1" t="s">
        <v>26</v>
      </c>
      <c r="AY116" s="10">
        <v>2673768385.4099998</v>
      </c>
      <c r="AZ116" s="11">
        <v>3.9583705645200003E-3</v>
      </c>
      <c r="BA116" s="1" t="s">
        <v>26</v>
      </c>
      <c r="BB116" s="1" t="s">
        <v>26</v>
      </c>
    </row>
    <row r="117" spans="1:54" s="7" customFormat="1">
      <c r="A117" s="3" t="s">
        <v>86</v>
      </c>
      <c r="B117" s="31" t="s">
        <v>46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645692170.24000001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2028076215.1700001</v>
      </c>
      <c r="P117" s="1">
        <v>1</v>
      </c>
      <c r="Q117" s="11" t="s">
        <v>26</v>
      </c>
      <c r="R117" s="11" t="s">
        <v>26</v>
      </c>
      <c r="S117" s="2" t="s">
        <v>26</v>
      </c>
      <c r="T117" s="1" t="s">
        <v>26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2673768385.4099998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2673768385.4099998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93</v>
      </c>
      <c r="B118" s="24" t="s">
        <v>25</v>
      </c>
      <c r="C118" s="10" t="s">
        <v>26</v>
      </c>
      <c r="D118" s="11" t="s">
        <v>26</v>
      </c>
      <c r="E118" s="11" t="s">
        <v>26</v>
      </c>
      <c r="F118" s="11" t="s">
        <v>26</v>
      </c>
      <c r="G118" s="10">
        <v>1499491305.1099999</v>
      </c>
      <c r="H118" s="11">
        <v>1.074238059739E-2</v>
      </c>
      <c r="I118" s="1" t="s">
        <v>26</v>
      </c>
      <c r="J118" s="1" t="s">
        <v>26</v>
      </c>
      <c r="K118" s="10" t="s">
        <v>26</v>
      </c>
      <c r="L118" s="11" t="s">
        <v>26</v>
      </c>
      <c r="M118" s="11" t="s">
        <v>26</v>
      </c>
      <c r="N118" s="11" t="s">
        <v>26</v>
      </c>
      <c r="O118" s="10">
        <v>3572647765.75</v>
      </c>
      <c r="P118" s="11">
        <v>1.716231798228E-2</v>
      </c>
      <c r="Q118" s="11" t="s">
        <v>26</v>
      </c>
      <c r="R118" s="11" t="s">
        <v>26</v>
      </c>
      <c r="S118" s="10">
        <v>1000341374.41</v>
      </c>
      <c r="T118" s="11">
        <v>9.5845247027299997E-3</v>
      </c>
      <c r="U118" s="1" t="s">
        <v>26</v>
      </c>
      <c r="V118" s="1" t="s">
        <v>26</v>
      </c>
      <c r="W118" s="10" t="s">
        <v>26</v>
      </c>
      <c r="X118" s="11" t="s">
        <v>26</v>
      </c>
      <c r="Y118" s="11" t="s">
        <v>26</v>
      </c>
      <c r="Z118" s="11" t="s">
        <v>26</v>
      </c>
      <c r="AA118" s="10" t="s">
        <v>26</v>
      </c>
      <c r="AB118" s="11" t="s">
        <v>26</v>
      </c>
      <c r="AC118" s="1" t="s">
        <v>26</v>
      </c>
      <c r="AD118" s="1" t="s">
        <v>26</v>
      </c>
      <c r="AE118" s="10">
        <v>6072480445.2700005</v>
      </c>
      <c r="AF118" s="11">
        <v>1.021659779453E-2</v>
      </c>
      <c r="AG118" s="1" t="s">
        <v>26</v>
      </c>
      <c r="AH118" s="1" t="s">
        <v>26</v>
      </c>
      <c r="AI118" s="10" t="s">
        <v>26</v>
      </c>
      <c r="AJ118" s="11" t="s">
        <v>26</v>
      </c>
      <c r="AK118" s="11" t="s">
        <v>26</v>
      </c>
      <c r="AL118" s="11" t="s">
        <v>26</v>
      </c>
      <c r="AM118" s="10" t="s">
        <v>26</v>
      </c>
      <c r="AN118" s="11" t="s">
        <v>26</v>
      </c>
      <c r="AO118" s="11" t="s">
        <v>26</v>
      </c>
      <c r="AP118" s="11" t="s">
        <v>26</v>
      </c>
      <c r="AQ118" s="10" t="s">
        <v>26</v>
      </c>
      <c r="AR118" s="11" t="s">
        <v>26</v>
      </c>
      <c r="AS118" s="11" t="s">
        <v>26</v>
      </c>
      <c r="AT118" s="11" t="s">
        <v>26</v>
      </c>
      <c r="AU118" s="10">
        <v>1000341374.41</v>
      </c>
      <c r="AV118" s="11">
        <v>2.3963032622099999E-2</v>
      </c>
      <c r="AW118" s="1" t="s">
        <v>26</v>
      </c>
      <c r="AX118" s="1" t="s">
        <v>26</v>
      </c>
      <c r="AY118" s="10">
        <v>7072821819.6800003</v>
      </c>
      <c r="AZ118" s="11">
        <v>1.047093302917E-2</v>
      </c>
      <c r="BA118" s="1" t="s">
        <v>26</v>
      </c>
      <c r="BB118" s="1" t="s">
        <v>26</v>
      </c>
    </row>
    <row r="119" spans="1:54" s="7" customFormat="1">
      <c r="A119" s="3" t="s">
        <v>86</v>
      </c>
      <c r="B119" s="31" t="s">
        <v>37</v>
      </c>
      <c r="C119" s="2" t="s">
        <v>26</v>
      </c>
      <c r="D119" s="1" t="s">
        <v>26</v>
      </c>
      <c r="E119" s="1" t="s">
        <v>26</v>
      </c>
      <c r="F119" s="1" t="s">
        <v>26</v>
      </c>
      <c r="G119" s="2">
        <v>1499491305.1099999</v>
      </c>
      <c r="H119" s="1">
        <v>1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3572647765.75</v>
      </c>
      <c r="P119" s="1">
        <v>1</v>
      </c>
      <c r="Q119" s="11" t="s">
        <v>26</v>
      </c>
      <c r="R119" s="11" t="s">
        <v>26</v>
      </c>
      <c r="S119" s="2">
        <v>1000341374.41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6072480445.2700005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>
        <v>1000341374.41</v>
      </c>
      <c r="AV119" s="1">
        <v>1</v>
      </c>
      <c r="AW119" s="1" t="s">
        <v>26</v>
      </c>
      <c r="AX119" s="1" t="s">
        <v>26</v>
      </c>
      <c r="AY119" s="2">
        <v>7072821819.6800003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94</v>
      </c>
      <c r="B120" s="24" t="s">
        <v>25</v>
      </c>
      <c r="C120" s="10" t="s">
        <v>26</v>
      </c>
      <c r="D120" s="11" t="s">
        <v>26</v>
      </c>
      <c r="E120" s="11" t="s">
        <v>26</v>
      </c>
      <c r="F120" s="11" t="s">
        <v>26</v>
      </c>
      <c r="G120" s="10">
        <v>532319875</v>
      </c>
      <c r="H120" s="11">
        <v>3.8135484196000001E-3</v>
      </c>
      <c r="I120" s="1" t="s">
        <v>26</v>
      </c>
      <c r="J120" s="1" t="s">
        <v>26</v>
      </c>
      <c r="K120" s="10" t="s">
        <v>26</v>
      </c>
      <c r="L120" s="11" t="s">
        <v>26</v>
      </c>
      <c r="M120" s="11" t="s">
        <v>26</v>
      </c>
      <c r="N120" s="11" t="s">
        <v>26</v>
      </c>
      <c r="O120" s="10">
        <v>738104092.27999997</v>
      </c>
      <c r="P120" s="11">
        <v>3.54571118294E-3</v>
      </c>
      <c r="Q120" s="11" t="s">
        <v>26</v>
      </c>
      <c r="R120" s="11" t="s">
        <v>26</v>
      </c>
      <c r="S120" s="10">
        <v>246144710.19999999</v>
      </c>
      <c r="T120" s="11">
        <v>2.3583749665000001E-3</v>
      </c>
      <c r="U120" s="1" t="s">
        <v>26</v>
      </c>
      <c r="V120" s="1" t="s">
        <v>26</v>
      </c>
      <c r="W120" s="10" t="s">
        <v>26</v>
      </c>
      <c r="X120" s="11" t="s">
        <v>26</v>
      </c>
      <c r="Y120" s="11" t="s">
        <v>26</v>
      </c>
      <c r="Z120" s="11" t="s">
        <v>26</v>
      </c>
      <c r="AA120" s="10">
        <v>798479812.5</v>
      </c>
      <c r="AB120" s="11">
        <v>6.2249281391800002E-3</v>
      </c>
      <c r="AC120" s="1" t="s">
        <v>26</v>
      </c>
      <c r="AD120" s="1" t="s">
        <v>26</v>
      </c>
      <c r="AE120" s="10">
        <v>2315048489.98</v>
      </c>
      <c r="AF120" s="11">
        <v>3.8949354403200001E-3</v>
      </c>
      <c r="AG120" s="1" t="s">
        <v>26</v>
      </c>
      <c r="AH120" s="1" t="s">
        <v>26</v>
      </c>
      <c r="AI120" s="10" t="s">
        <v>26</v>
      </c>
      <c r="AJ120" s="11" t="s">
        <v>26</v>
      </c>
      <c r="AK120" s="11" t="s">
        <v>26</v>
      </c>
      <c r="AL120" s="11" t="s">
        <v>26</v>
      </c>
      <c r="AM120" s="10" t="s">
        <v>26</v>
      </c>
      <c r="AN120" s="11" t="s">
        <v>26</v>
      </c>
      <c r="AO120" s="11" t="s">
        <v>26</v>
      </c>
      <c r="AP120" s="11" t="s">
        <v>26</v>
      </c>
      <c r="AQ120" s="10" t="s">
        <v>26</v>
      </c>
      <c r="AR120" s="11" t="s">
        <v>26</v>
      </c>
      <c r="AS120" s="11" t="s">
        <v>26</v>
      </c>
      <c r="AT120" s="11" t="s">
        <v>26</v>
      </c>
      <c r="AU120" s="10" t="s">
        <v>26</v>
      </c>
      <c r="AV120" s="11" t="s">
        <v>26</v>
      </c>
      <c r="AW120" s="11" t="s">
        <v>26</v>
      </c>
      <c r="AX120" s="11" t="s">
        <v>26</v>
      </c>
      <c r="AY120" s="10">
        <v>2315048489.98</v>
      </c>
      <c r="AZ120" s="11">
        <v>3.4273050157199998E-3</v>
      </c>
      <c r="BA120" s="1" t="s">
        <v>26</v>
      </c>
      <c r="BB120" s="1" t="s">
        <v>26</v>
      </c>
    </row>
    <row r="121" spans="1:54">
      <c r="A121" s="3" t="s">
        <v>86</v>
      </c>
      <c r="B121" s="31" t="s">
        <v>46</v>
      </c>
      <c r="C121" s="2" t="s">
        <v>26</v>
      </c>
      <c r="D121" s="1" t="s">
        <v>26</v>
      </c>
      <c r="E121" s="1" t="s">
        <v>26</v>
      </c>
      <c r="F121" s="1" t="s">
        <v>26</v>
      </c>
      <c r="G121" s="2">
        <v>532319875</v>
      </c>
      <c r="H121" s="1">
        <v>1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738104092.27999997</v>
      </c>
      <c r="P121" s="1">
        <v>1</v>
      </c>
      <c r="Q121" s="11" t="s">
        <v>26</v>
      </c>
      <c r="R121" s="11" t="s">
        <v>26</v>
      </c>
      <c r="S121" s="2">
        <v>246144710.19999999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2">
        <v>798479812.5</v>
      </c>
      <c r="AB121" s="23">
        <v>1</v>
      </c>
      <c r="AC121" s="1" t="s">
        <v>26</v>
      </c>
      <c r="AD121" s="1" t="s">
        <v>26</v>
      </c>
      <c r="AE121" s="2">
        <v>2315048489.98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2315048489.98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95</v>
      </c>
      <c r="B122" s="24" t="s">
        <v>25</v>
      </c>
      <c r="C122" s="10" t="s">
        <v>26</v>
      </c>
      <c r="D122" s="11" t="s">
        <v>26</v>
      </c>
      <c r="E122" s="11" t="s">
        <v>26</v>
      </c>
      <c r="F122" s="11" t="s">
        <v>26</v>
      </c>
      <c r="G122" s="10" t="s">
        <v>26</v>
      </c>
      <c r="H122" s="11" t="s">
        <v>26</v>
      </c>
      <c r="I122" s="1" t="s">
        <v>26</v>
      </c>
      <c r="J122" s="1" t="s">
        <v>26</v>
      </c>
      <c r="K122" s="10" t="s">
        <v>26</v>
      </c>
      <c r="L122" s="11" t="s">
        <v>26</v>
      </c>
      <c r="M122" s="11" t="s">
        <v>26</v>
      </c>
      <c r="N122" s="11" t="s">
        <v>26</v>
      </c>
      <c r="O122" s="10">
        <v>241623505.21000001</v>
      </c>
      <c r="P122" s="11">
        <v>1.16071320217E-3</v>
      </c>
      <c r="Q122" s="11" t="s">
        <v>26</v>
      </c>
      <c r="R122" s="11" t="s">
        <v>26</v>
      </c>
      <c r="S122" s="10" t="s">
        <v>26</v>
      </c>
      <c r="T122" s="11" t="s">
        <v>26</v>
      </c>
      <c r="U122" s="1" t="s">
        <v>26</v>
      </c>
      <c r="V122" s="1" t="s">
        <v>26</v>
      </c>
      <c r="W122" s="10" t="s">
        <v>26</v>
      </c>
      <c r="X122" s="11" t="s">
        <v>26</v>
      </c>
      <c r="Y122" s="11" t="s">
        <v>26</v>
      </c>
      <c r="Z122" s="11" t="s">
        <v>26</v>
      </c>
      <c r="AA122" s="10" t="s">
        <v>26</v>
      </c>
      <c r="AB122" s="11" t="s">
        <v>26</v>
      </c>
      <c r="AC122" s="1" t="s">
        <v>26</v>
      </c>
      <c r="AD122" s="1" t="s">
        <v>26</v>
      </c>
      <c r="AE122" s="10">
        <v>241623505.21000001</v>
      </c>
      <c r="AF122" s="11">
        <v>4.0651759898E-4</v>
      </c>
      <c r="AG122" s="1" t="s">
        <v>26</v>
      </c>
      <c r="AH122" s="1" t="s">
        <v>26</v>
      </c>
      <c r="AI122" s="10" t="s">
        <v>26</v>
      </c>
      <c r="AJ122" s="11" t="s">
        <v>26</v>
      </c>
      <c r="AK122" s="11" t="s">
        <v>26</v>
      </c>
      <c r="AL122" s="11" t="s">
        <v>26</v>
      </c>
      <c r="AM122" s="10" t="s">
        <v>26</v>
      </c>
      <c r="AN122" s="11" t="s">
        <v>26</v>
      </c>
      <c r="AO122" s="11" t="s">
        <v>26</v>
      </c>
      <c r="AP122" s="11" t="s">
        <v>26</v>
      </c>
      <c r="AQ122" s="10" t="s">
        <v>26</v>
      </c>
      <c r="AR122" s="11" t="s">
        <v>26</v>
      </c>
      <c r="AS122" s="11" t="s">
        <v>26</v>
      </c>
      <c r="AT122" s="11" t="s">
        <v>26</v>
      </c>
      <c r="AU122" s="10" t="s">
        <v>26</v>
      </c>
      <c r="AV122" s="11" t="s">
        <v>26</v>
      </c>
      <c r="AW122" s="11" t="s">
        <v>26</v>
      </c>
      <c r="AX122" s="11" t="s">
        <v>26</v>
      </c>
      <c r="AY122" s="10">
        <v>241623505.21000001</v>
      </c>
      <c r="AZ122" s="11">
        <v>3.5771062892000002E-4</v>
      </c>
      <c r="BA122" s="1" t="s">
        <v>26</v>
      </c>
      <c r="BB122" s="1" t="s">
        <v>26</v>
      </c>
    </row>
    <row r="123" spans="1:54">
      <c r="A123" s="3" t="s">
        <v>86</v>
      </c>
      <c r="B123" s="31" t="s">
        <v>56</v>
      </c>
      <c r="C123" s="2" t="s">
        <v>26</v>
      </c>
      <c r="D123" s="1" t="s">
        <v>26</v>
      </c>
      <c r="E123" s="1" t="s">
        <v>26</v>
      </c>
      <c r="F123" s="1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241623505.21000001</v>
      </c>
      <c r="P123" s="1">
        <v>1</v>
      </c>
      <c r="Q123" s="11" t="s">
        <v>26</v>
      </c>
      <c r="R123" s="1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241623505.21000001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241623505.21000001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97</v>
      </c>
      <c r="B124" s="24" t="s">
        <v>25</v>
      </c>
      <c r="C124" s="10" t="s">
        <v>26</v>
      </c>
      <c r="D124" s="11" t="s">
        <v>26</v>
      </c>
      <c r="E124" s="11" t="s">
        <v>26</v>
      </c>
      <c r="F124" s="11" t="s">
        <v>26</v>
      </c>
      <c r="G124" s="10" t="s">
        <v>26</v>
      </c>
      <c r="H124" s="11" t="s">
        <v>26</v>
      </c>
      <c r="I124" s="1" t="s">
        <v>26</v>
      </c>
      <c r="J124" s="1" t="s">
        <v>26</v>
      </c>
      <c r="K124" s="10" t="s">
        <v>26</v>
      </c>
      <c r="L124" s="11" t="s">
        <v>26</v>
      </c>
      <c r="M124" s="11" t="s">
        <v>26</v>
      </c>
      <c r="N124" s="11" t="s">
        <v>26</v>
      </c>
      <c r="O124" s="10">
        <v>1813271005.1800001</v>
      </c>
      <c r="P124" s="11">
        <v>8.7106078234999995E-3</v>
      </c>
      <c r="Q124" s="11" t="s">
        <v>26</v>
      </c>
      <c r="R124" s="11" t="s">
        <v>26</v>
      </c>
      <c r="S124" s="10" t="s">
        <v>26</v>
      </c>
      <c r="T124" s="11" t="s">
        <v>26</v>
      </c>
      <c r="U124" s="1" t="s">
        <v>26</v>
      </c>
      <c r="V124" s="1" t="s">
        <v>26</v>
      </c>
      <c r="W124" s="10" t="s">
        <v>26</v>
      </c>
      <c r="X124" s="11" t="s">
        <v>26</v>
      </c>
      <c r="Y124" s="11" t="s">
        <v>26</v>
      </c>
      <c r="Z124" s="11" t="s">
        <v>26</v>
      </c>
      <c r="AA124" s="10" t="s">
        <v>26</v>
      </c>
      <c r="AB124" s="11" t="s">
        <v>26</v>
      </c>
      <c r="AC124" s="11" t="s">
        <v>26</v>
      </c>
      <c r="AD124" s="11" t="s">
        <v>26</v>
      </c>
      <c r="AE124" s="10">
        <v>1813271005.1800001</v>
      </c>
      <c r="AF124" s="11">
        <v>3.0507237889600002E-3</v>
      </c>
      <c r="AG124" s="1" t="s">
        <v>26</v>
      </c>
      <c r="AH124" s="1" t="s">
        <v>26</v>
      </c>
      <c r="AI124" s="10" t="s">
        <v>26</v>
      </c>
      <c r="AJ124" s="11" t="s">
        <v>26</v>
      </c>
      <c r="AK124" s="11" t="s">
        <v>26</v>
      </c>
      <c r="AL124" s="11" t="s">
        <v>26</v>
      </c>
      <c r="AM124" s="10" t="s">
        <v>26</v>
      </c>
      <c r="AN124" s="11" t="s">
        <v>26</v>
      </c>
      <c r="AO124" s="11" t="s">
        <v>26</v>
      </c>
      <c r="AP124" s="11" t="s">
        <v>26</v>
      </c>
      <c r="AQ124" s="10" t="s">
        <v>26</v>
      </c>
      <c r="AR124" s="11" t="s">
        <v>26</v>
      </c>
      <c r="AS124" s="11" t="s">
        <v>26</v>
      </c>
      <c r="AT124" s="11" t="s">
        <v>26</v>
      </c>
      <c r="AU124" s="10" t="s">
        <v>26</v>
      </c>
      <c r="AV124" s="11" t="s">
        <v>26</v>
      </c>
      <c r="AW124" s="11" t="s">
        <v>26</v>
      </c>
      <c r="AX124" s="11" t="s">
        <v>26</v>
      </c>
      <c r="AY124" s="10">
        <v>1813271005.1800001</v>
      </c>
      <c r="AZ124" s="11">
        <v>2.6844503852999999E-3</v>
      </c>
      <c r="BA124" s="1" t="s">
        <v>26</v>
      </c>
      <c r="BB124" s="1" t="s">
        <v>26</v>
      </c>
    </row>
    <row r="125" spans="1:54" s="7" customFormat="1">
      <c r="A125" s="3" t="s">
        <v>86</v>
      </c>
      <c r="B125" s="31" t="s">
        <v>46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1813271005.1800001</v>
      </c>
      <c r="P125" s="1">
        <v>1</v>
      </c>
      <c r="Q125" s="11" t="s">
        <v>26</v>
      </c>
      <c r="R125" s="1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1813271005.1800001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1813271005.1800001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98</v>
      </c>
      <c r="B126" s="24" t="s">
        <v>25</v>
      </c>
      <c r="C126" s="10" t="s">
        <v>26</v>
      </c>
      <c r="D126" s="11" t="s">
        <v>26</v>
      </c>
      <c r="E126" s="11" t="s">
        <v>26</v>
      </c>
      <c r="F126" s="11" t="s">
        <v>26</v>
      </c>
      <c r="G126" s="10" t="s">
        <v>26</v>
      </c>
      <c r="H126" s="11" t="s">
        <v>26</v>
      </c>
      <c r="I126" s="1" t="s">
        <v>26</v>
      </c>
      <c r="J126" s="1" t="s">
        <v>26</v>
      </c>
      <c r="K126" s="10" t="s">
        <v>26</v>
      </c>
      <c r="L126" s="11" t="s">
        <v>26</v>
      </c>
      <c r="M126" s="11" t="s">
        <v>26</v>
      </c>
      <c r="N126" s="11" t="s">
        <v>26</v>
      </c>
      <c r="O126" s="10">
        <v>572519472</v>
      </c>
      <c r="P126" s="11">
        <v>2.7502742710100001E-3</v>
      </c>
      <c r="Q126" s="11" t="s">
        <v>26</v>
      </c>
      <c r="R126" s="11" t="s">
        <v>26</v>
      </c>
      <c r="S126" s="10" t="s">
        <v>26</v>
      </c>
      <c r="T126" s="11" t="s">
        <v>26</v>
      </c>
      <c r="U126" s="11" t="s">
        <v>26</v>
      </c>
      <c r="V126" s="11" t="s">
        <v>26</v>
      </c>
      <c r="W126" s="10" t="s">
        <v>26</v>
      </c>
      <c r="X126" s="11" t="s">
        <v>26</v>
      </c>
      <c r="Y126" s="11" t="s">
        <v>26</v>
      </c>
      <c r="Z126" s="11" t="s">
        <v>26</v>
      </c>
      <c r="AA126" s="10" t="s">
        <v>26</v>
      </c>
      <c r="AB126" s="11" t="s">
        <v>26</v>
      </c>
      <c r="AC126" s="11" t="s">
        <v>26</v>
      </c>
      <c r="AD126" s="11" t="s">
        <v>26</v>
      </c>
      <c r="AE126" s="10">
        <v>572519472</v>
      </c>
      <c r="AF126" s="11">
        <v>9.6323096099999999E-4</v>
      </c>
      <c r="AG126" s="1" t="s">
        <v>26</v>
      </c>
      <c r="AH126" s="1" t="s">
        <v>26</v>
      </c>
      <c r="AI126" s="10" t="s">
        <v>26</v>
      </c>
      <c r="AJ126" s="11" t="s">
        <v>26</v>
      </c>
      <c r="AK126" s="11" t="s">
        <v>26</v>
      </c>
      <c r="AL126" s="11" t="s">
        <v>26</v>
      </c>
      <c r="AM126" s="10" t="s">
        <v>26</v>
      </c>
      <c r="AN126" s="11" t="s">
        <v>26</v>
      </c>
      <c r="AO126" s="11" t="s">
        <v>26</v>
      </c>
      <c r="AP126" s="11" t="s">
        <v>26</v>
      </c>
      <c r="AQ126" s="10" t="s">
        <v>26</v>
      </c>
      <c r="AR126" s="11" t="s">
        <v>26</v>
      </c>
      <c r="AS126" s="11" t="s">
        <v>26</v>
      </c>
      <c r="AT126" s="11" t="s">
        <v>26</v>
      </c>
      <c r="AU126" s="10" t="s">
        <v>26</v>
      </c>
      <c r="AV126" s="11" t="s">
        <v>26</v>
      </c>
      <c r="AW126" s="11" t="s">
        <v>26</v>
      </c>
      <c r="AX126" s="11" t="s">
        <v>26</v>
      </c>
      <c r="AY126" s="10">
        <v>572519472</v>
      </c>
      <c r="AZ126" s="11">
        <v>8.4758434498000005E-4</v>
      </c>
      <c r="BA126" s="1" t="s">
        <v>26</v>
      </c>
      <c r="BB126" s="1" t="s">
        <v>26</v>
      </c>
    </row>
    <row r="127" spans="1:54">
      <c r="A127" s="3" t="s">
        <v>86</v>
      </c>
      <c r="B127" s="31" t="s">
        <v>114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572519472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572519472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572519472</v>
      </c>
      <c r="AZ127" s="1">
        <v>1</v>
      </c>
      <c r="BA127" s="1" t="s">
        <v>26</v>
      </c>
      <c r="BB127" s="1" t="s">
        <v>26</v>
      </c>
    </row>
    <row r="128" spans="1:54">
      <c r="A128" s="13" t="s">
        <v>100</v>
      </c>
      <c r="B128" s="25" t="s">
        <v>25</v>
      </c>
      <c r="C128" s="55">
        <v>5472124997.3199997</v>
      </c>
      <c r="D128" s="56">
        <v>0.99970000000000003</v>
      </c>
      <c r="E128" s="56" t="s">
        <v>26</v>
      </c>
      <c r="F128" s="56" t="s">
        <v>26</v>
      </c>
      <c r="G128" s="55">
        <v>139585524839.16</v>
      </c>
      <c r="H128" s="56">
        <v>0.99990000000000001</v>
      </c>
      <c r="I128" s="56" t="s">
        <v>26</v>
      </c>
      <c r="J128" s="56" t="s">
        <v>26</v>
      </c>
      <c r="K128" s="55">
        <v>2637915554.3400002</v>
      </c>
      <c r="L128" s="56">
        <v>0.99890000000000001</v>
      </c>
      <c r="M128" s="56" t="s">
        <v>26</v>
      </c>
      <c r="N128" s="56" t="s">
        <v>26</v>
      </c>
      <c r="O128" s="55">
        <v>208139989416.16</v>
      </c>
      <c r="P128" s="56">
        <v>0.99990000000000001</v>
      </c>
      <c r="Q128" s="56" t="s">
        <v>26</v>
      </c>
      <c r="R128" s="56" t="s">
        <v>26</v>
      </c>
      <c r="S128" s="55">
        <v>104358206432.09</v>
      </c>
      <c r="T128" s="56">
        <v>0.99988247319202872</v>
      </c>
      <c r="U128" s="56" t="s">
        <v>26</v>
      </c>
      <c r="V128" s="56" t="s">
        <v>26</v>
      </c>
      <c r="W128" s="55">
        <v>5854455916.1000004</v>
      </c>
      <c r="X128" s="56">
        <v>0.99850000000000005</v>
      </c>
      <c r="Y128" s="56" t="s">
        <v>26</v>
      </c>
      <c r="Z128" s="56" t="s">
        <v>26</v>
      </c>
      <c r="AA128" s="55">
        <v>128240637628.55</v>
      </c>
      <c r="AB128" s="56">
        <v>0.99980000000000002</v>
      </c>
      <c r="AC128" s="56" t="s">
        <v>26</v>
      </c>
      <c r="AD128" s="56" t="s">
        <v>26</v>
      </c>
      <c r="AE128" s="55">
        <v>594288854783.71997</v>
      </c>
      <c r="AF128" s="56">
        <v>0.99985669082291251</v>
      </c>
      <c r="AG128" s="56" t="s">
        <v>26</v>
      </c>
      <c r="AH128" s="56" t="s">
        <v>26</v>
      </c>
      <c r="AI128" s="55">
        <v>16105848940.52</v>
      </c>
      <c r="AJ128" s="56">
        <v>0.99990000000000001</v>
      </c>
      <c r="AK128" s="56" t="s">
        <v>26</v>
      </c>
      <c r="AL128" s="56" t="s">
        <v>26</v>
      </c>
      <c r="AM128" s="55">
        <v>23244158921.52</v>
      </c>
      <c r="AN128" s="56">
        <v>1</v>
      </c>
      <c r="AO128" s="56" t="s">
        <v>26</v>
      </c>
      <c r="AP128" s="56" t="s">
        <v>26</v>
      </c>
      <c r="AQ128" s="55">
        <v>39350007862.040001</v>
      </c>
      <c r="AR128" s="56">
        <v>0.99990000000000001</v>
      </c>
      <c r="AS128" s="56" t="s">
        <v>26</v>
      </c>
      <c r="AT128" s="56" t="s">
        <v>26</v>
      </c>
      <c r="AU128" s="55">
        <v>41739705181.650002</v>
      </c>
      <c r="AV128" s="56">
        <v>0.99990000000000001</v>
      </c>
      <c r="AW128" s="56" t="s">
        <v>26</v>
      </c>
      <c r="AX128" s="56" t="s">
        <v>26</v>
      </c>
      <c r="AY128" s="55">
        <v>675378567827.41003</v>
      </c>
      <c r="AZ128" s="56">
        <v>0.99986171479422836</v>
      </c>
      <c r="BA128" s="56" t="s">
        <v>26</v>
      </c>
      <c r="BB128" s="56" t="s">
        <v>26</v>
      </c>
    </row>
    <row r="129" spans="1:54" s="7" customFormat="1">
      <c r="A129" s="5" t="s">
        <v>101</v>
      </c>
      <c r="B129" s="24" t="s">
        <v>25</v>
      </c>
      <c r="C129" s="10">
        <v>1647198.56</v>
      </c>
      <c r="D129" s="11">
        <v>2.9999999999999997E-4</v>
      </c>
      <c r="E129" s="11" t="s">
        <v>26</v>
      </c>
      <c r="F129" s="11" t="s">
        <v>26</v>
      </c>
      <c r="G129" s="10">
        <v>974774.72</v>
      </c>
      <c r="H129" s="11">
        <v>1E-4</v>
      </c>
      <c r="I129" s="11" t="s">
        <v>26</v>
      </c>
      <c r="J129" s="11" t="s">
        <v>26</v>
      </c>
      <c r="K129" s="10">
        <v>2937486.32</v>
      </c>
      <c r="L129" s="11">
        <v>1.1000000000000001E-3</v>
      </c>
      <c r="M129" s="11" t="s">
        <v>26</v>
      </c>
      <c r="N129" s="11" t="s">
        <v>26</v>
      </c>
      <c r="O129" s="10">
        <v>28147862.239999998</v>
      </c>
      <c r="P129" s="11">
        <v>1E-4</v>
      </c>
      <c r="Q129" s="11" t="s">
        <v>26</v>
      </c>
      <c r="R129" s="11" t="s">
        <v>26</v>
      </c>
      <c r="S129" s="10">
        <v>12266328.51</v>
      </c>
      <c r="T129" s="11">
        <v>1E-4</v>
      </c>
      <c r="U129" s="11" t="s">
        <v>26</v>
      </c>
      <c r="V129" s="11" t="s">
        <v>26</v>
      </c>
      <c r="W129" s="10">
        <v>8513082.0700000003</v>
      </c>
      <c r="X129" s="11">
        <v>1.5E-3</v>
      </c>
      <c r="Y129" s="11" t="s">
        <v>26</v>
      </c>
      <c r="Z129" s="11" t="s">
        <v>26</v>
      </c>
      <c r="AA129" s="10">
        <v>30692521.280000001</v>
      </c>
      <c r="AB129" s="11">
        <v>2.0000000000000001E-4</v>
      </c>
      <c r="AC129" s="11" t="s">
        <v>26</v>
      </c>
      <c r="AD129" s="11" t="s">
        <v>26</v>
      </c>
      <c r="AE129" s="10">
        <v>85179253.700000003</v>
      </c>
      <c r="AF129" s="11">
        <v>1E-4</v>
      </c>
      <c r="AG129" s="11" t="s">
        <v>26</v>
      </c>
      <c r="AH129" s="11" t="s">
        <v>26</v>
      </c>
      <c r="AI129" s="10">
        <v>1800937.7</v>
      </c>
      <c r="AJ129" s="11">
        <v>1E-4</v>
      </c>
      <c r="AK129" s="11" t="s">
        <v>26</v>
      </c>
      <c r="AL129" s="11" t="s">
        <v>26</v>
      </c>
      <c r="AM129" s="10">
        <v>941743.8</v>
      </c>
      <c r="AN129" s="11">
        <v>0</v>
      </c>
      <c r="AO129" s="11" t="s">
        <v>26</v>
      </c>
      <c r="AP129" s="11" t="s">
        <v>26</v>
      </c>
      <c r="AQ129" s="10">
        <v>2742681.5</v>
      </c>
      <c r="AR129" s="11">
        <v>1E-4</v>
      </c>
      <c r="AS129" s="11" t="s">
        <v>26</v>
      </c>
      <c r="AT129" s="11" t="s">
        <v>26</v>
      </c>
      <c r="AU129" s="10">
        <v>5485845.9400000004</v>
      </c>
      <c r="AV129" s="11">
        <v>1E-4</v>
      </c>
      <c r="AW129" s="11" t="s">
        <v>26</v>
      </c>
      <c r="AX129" s="11" t="s">
        <v>26</v>
      </c>
      <c r="AY129" s="10">
        <v>93407781.140000001</v>
      </c>
      <c r="AZ129" s="11">
        <v>1E-4</v>
      </c>
      <c r="BA129" s="11" t="s">
        <v>26</v>
      </c>
      <c r="BB129" s="11" t="s">
        <v>26</v>
      </c>
    </row>
    <row r="130" spans="1:54">
      <c r="A130" s="13" t="s">
        <v>102</v>
      </c>
      <c r="B130" s="25" t="s">
        <v>25</v>
      </c>
      <c r="C130" s="55">
        <v>5473772195.8800001</v>
      </c>
      <c r="D130" s="56">
        <v>1</v>
      </c>
      <c r="E130" s="56" t="s">
        <v>26</v>
      </c>
      <c r="F130" s="56" t="s">
        <v>26</v>
      </c>
      <c r="G130" s="55">
        <v>139586499613.88</v>
      </c>
      <c r="H130" s="56">
        <v>1</v>
      </c>
      <c r="I130" s="56" t="s">
        <v>26</v>
      </c>
      <c r="J130" s="56" t="s">
        <v>26</v>
      </c>
      <c r="K130" s="55">
        <v>2640853040.6599998</v>
      </c>
      <c r="L130" s="56">
        <v>1</v>
      </c>
      <c r="M130" s="56" t="s">
        <v>26</v>
      </c>
      <c r="N130" s="56" t="s">
        <v>26</v>
      </c>
      <c r="O130" s="55">
        <v>208168137278.39999</v>
      </c>
      <c r="P130" s="56">
        <v>1</v>
      </c>
      <c r="Q130" s="56" t="s">
        <v>26</v>
      </c>
      <c r="R130" s="56" t="s">
        <v>26</v>
      </c>
      <c r="S130" s="55">
        <v>104370472760.60001</v>
      </c>
      <c r="T130" s="56">
        <v>1</v>
      </c>
      <c r="U130" s="56" t="s">
        <v>26</v>
      </c>
      <c r="V130" s="56" t="s">
        <v>26</v>
      </c>
      <c r="W130" s="55">
        <v>5862968998.1700001</v>
      </c>
      <c r="X130" s="56">
        <v>1</v>
      </c>
      <c r="Y130" s="56" t="s">
        <v>26</v>
      </c>
      <c r="Z130" s="56" t="s">
        <v>26</v>
      </c>
      <c r="AA130" s="55">
        <v>128271330149.83</v>
      </c>
      <c r="AB130" s="56">
        <v>1</v>
      </c>
      <c r="AC130" s="56" t="s">
        <v>26</v>
      </c>
      <c r="AD130" s="56" t="s">
        <v>26</v>
      </c>
      <c r="AE130" s="55">
        <v>594374034037.42004</v>
      </c>
      <c r="AF130" s="56">
        <v>1</v>
      </c>
      <c r="AG130" s="56" t="s">
        <v>26</v>
      </c>
      <c r="AH130" s="56" t="s">
        <v>26</v>
      </c>
      <c r="AI130" s="55">
        <v>16107649878.219999</v>
      </c>
      <c r="AJ130" s="56">
        <v>1</v>
      </c>
      <c r="AK130" s="56" t="s">
        <v>26</v>
      </c>
      <c r="AL130" s="56" t="s">
        <v>26</v>
      </c>
      <c r="AM130" s="55">
        <v>23245100665.32</v>
      </c>
      <c r="AN130" s="56">
        <v>1</v>
      </c>
      <c r="AO130" s="56" t="s">
        <v>26</v>
      </c>
      <c r="AP130" s="56" t="s">
        <v>26</v>
      </c>
      <c r="AQ130" s="55">
        <v>39352750543.540001</v>
      </c>
      <c r="AR130" s="56">
        <v>1</v>
      </c>
      <c r="AS130" s="56" t="s">
        <v>26</v>
      </c>
      <c r="AT130" s="56" t="s">
        <v>26</v>
      </c>
      <c r="AU130" s="55">
        <v>41745191027.589996</v>
      </c>
      <c r="AV130" s="56">
        <v>1</v>
      </c>
      <c r="AW130" s="56" t="s">
        <v>26</v>
      </c>
      <c r="AX130" s="56" t="s">
        <v>26</v>
      </c>
      <c r="AY130" s="55">
        <v>675471975608.55005</v>
      </c>
      <c r="AZ130" s="56">
        <v>1</v>
      </c>
      <c r="BA130" s="56" t="s">
        <v>26</v>
      </c>
      <c r="BB130" s="56" t="s">
        <v>26</v>
      </c>
    </row>
    <row r="132" spans="1:54">
      <c r="A132" s="18" t="s">
        <v>103</v>
      </c>
      <c r="AY132" s="46"/>
    </row>
    <row r="133" spans="1:54">
      <c r="A133" s="39" t="s">
        <v>115</v>
      </c>
      <c r="AY133" s="41"/>
    </row>
    <row r="134" spans="1:54">
      <c r="AY134" s="42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32"/>
  <sheetViews>
    <sheetView zoomScaleNormal="100" workbookViewId="0">
      <pane xSplit="2" ySplit="7" topLeftCell="AR98" activePane="bottomRight" state="frozen"/>
      <selection pane="bottomRight" activeCell="H11" sqref="H11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.28515625" style="9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0.28515625" style="9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42578125" style="9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2272800586.98</v>
      </c>
      <c r="D8" s="56">
        <v>0.41009296523834998</v>
      </c>
      <c r="E8" s="56" t="s">
        <v>25</v>
      </c>
      <c r="F8" s="56" t="s">
        <v>25</v>
      </c>
      <c r="G8" s="55">
        <f>+G9+G11</f>
        <v>65205091821.420776</v>
      </c>
      <c r="H8" s="56">
        <f>+G8/G128</f>
        <v>0.45942658204782105</v>
      </c>
      <c r="I8" s="56" t="s">
        <v>26</v>
      </c>
      <c r="J8" s="56" t="s">
        <v>26</v>
      </c>
      <c r="K8" s="55">
        <v>875314465.15999997</v>
      </c>
      <c r="L8" s="56">
        <v>0.32672049988162999</v>
      </c>
      <c r="M8" s="56" t="s">
        <v>26</v>
      </c>
      <c r="N8" s="56" t="s">
        <v>26</v>
      </c>
      <c r="O8" s="55">
        <f>+O9+O11</f>
        <v>77181552442.160004</v>
      </c>
      <c r="P8" s="56">
        <f>+O8/O128</f>
        <v>0.36492607115816611</v>
      </c>
      <c r="Q8" s="56" t="s">
        <v>26</v>
      </c>
      <c r="R8" s="56" t="s">
        <v>26</v>
      </c>
      <c r="S8" s="55">
        <f>+S9+S11</f>
        <v>48972660184.267326</v>
      </c>
      <c r="T8" s="56">
        <f>+S8/S128</f>
        <v>0.46225128361081291</v>
      </c>
      <c r="U8" s="56" t="s">
        <v>26</v>
      </c>
      <c r="V8" s="56" t="s">
        <v>26</v>
      </c>
      <c r="W8" s="55">
        <v>1597073862.01</v>
      </c>
      <c r="X8" s="56">
        <v>0.26954133977674999</v>
      </c>
      <c r="Y8" s="56" t="s">
        <v>26</v>
      </c>
      <c r="Z8" s="56" t="s">
        <v>25</v>
      </c>
      <c r="AA8" s="55">
        <v>64606494851.940002</v>
      </c>
      <c r="AB8" s="56">
        <f>+AA8/AA128</f>
        <v>0.49477228772327497</v>
      </c>
      <c r="AC8" s="56" t="s">
        <v>26</v>
      </c>
      <c r="AD8" s="56" t="s">
        <v>26</v>
      </c>
      <c r="AE8" s="55">
        <f>+AE9+AE11</f>
        <v>260710988213.93814</v>
      </c>
      <c r="AF8" s="56">
        <f>+AE8/AE128</f>
        <v>0.43157303021391236</v>
      </c>
      <c r="AG8" s="56" t="s">
        <v>26</v>
      </c>
      <c r="AH8" s="56" t="s">
        <v>26</v>
      </c>
      <c r="AI8" s="55">
        <v>6185022251.4899998</v>
      </c>
      <c r="AJ8" s="56">
        <v>0.38049604823376998</v>
      </c>
      <c r="AK8" s="56" t="s">
        <v>26</v>
      </c>
      <c r="AL8" s="56" t="s">
        <v>26</v>
      </c>
      <c r="AM8" s="55">
        <v>5151829230.8100004</v>
      </c>
      <c r="AN8" s="56">
        <v>0.22102530660211001</v>
      </c>
      <c r="AO8" s="56" t="s">
        <v>26</v>
      </c>
      <c r="AP8" s="56" t="s">
        <v>26</v>
      </c>
      <c r="AQ8" s="55">
        <v>11336851482.299999</v>
      </c>
      <c r="AR8" s="56">
        <v>0.28654512728579001</v>
      </c>
      <c r="AS8" s="56" t="s">
        <v>26</v>
      </c>
      <c r="AT8" s="56" t="s">
        <v>26</v>
      </c>
      <c r="AU8" s="55">
        <v>18759979935.23</v>
      </c>
      <c r="AV8" s="56">
        <v>0.44195956007491999</v>
      </c>
      <c r="AW8" s="56" t="s">
        <v>26</v>
      </c>
      <c r="AX8" s="56" t="s">
        <v>26</v>
      </c>
      <c r="AY8" s="55">
        <f>+AY9+AY11</f>
        <v>290807819631.46814</v>
      </c>
      <c r="AZ8" s="56">
        <f>+AY8/AY128</f>
        <v>0.42385265680034406</v>
      </c>
      <c r="BA8" s="56" t="s">
        <v>26</v>
      </c>
      <c r="BB8" s="56" t="s">
        <v>26</v>
      </c>
    </row>
    <row r="9" spans="1:54" s="8" customFormat="1">
      <c r="A9" s="26" t="s">
        <v>27</v>
      </c>
      <c r="B9" s="27" t="s">
        <v>25</v>
      </c>
      <c r="C9" s="28">
        <v>2272800586.98</v>
      </c>
      <c r="D9" s="29">
        <v>0.41009296523834998</v>
      </c>
      <c r="E9" s="29">
        <v>0.5</v>
      </c>
      <c r="F9" s="29">
        <v>8.9899999999999994E-2</v>
      </c>
      <c r="G9" s="28">
        <f>+G10</f>
        <v>59503858261.420776</v>
      </c>
      <c r="H9" s="29">
        <f>+G9/G128</f>
        <v>0.4192564331413417</v>
      </c>
      <c r="I9" s="29">
        <v>0.5</v>
      </c>
      <c r="J9" s="29">
        <f>+I9-H9</f>
        <v>8.07435668586583E-2</v>
      </c>
      <c r="K9" s="28">
        <v>875314465.15999997</v>
      </c>
      <c r="L9" s="29">
        <v>0.32672049988162999</v>
      </c>
      <c r="M9" s="29">
        <v>0.5</v>
      </c>
      <c r="N9" s="29">
        <v>0.17330000000000001</v>
      </c>
      <c r="O9" s="28">
        <f>+O10</f>
        <v>75626670562.160004</v>
      </c>
      <c r="P9" s="29">
        <f>+O9/O128</f>
        <v>0.35757435410105398</v>
      </c>
      <c r="Q9" s="29">
        <v>0.5</v>
      </c>
      <c r="R9" s="29">
        <f>+Q9-P9</f>
        <v>0.14242564589894602</v>
      </c>
      <c r="S9" s="28">
        <f>+S10</f>
        <v>47417778304.267326</v>
      </c>
      <c r="T9" s="29">
        <f>+S9/S128</f>
        <v>0.44757480611931461</v>
      </c>
      <c r="U9" s="29">
        <v>0.5</v>
      </c>
      <c r="V9" s="29">
        <f>+U9-T9</f>
        <v>5.2425193880685395E-2</v>
      </c>
      <c r="W9" s="28">
        <v>1597073862.01</v>
      </c>
      <c r="X9" s="29">
        <v>0.26954133977674999</v>
      </c>
      <c r="Y9" s="29">
        <v>0.5</v>
      </c>
      <c r="Z9" s="29">
        <v>0.23050000000000001</v>
      </c>
      <c r="AA9" s="28">
        <f>+AA10</f>
        <v>63051612971.940002</v>
      </c>
      <c r="AB9" s="29">
        <f>+AA9/AA128</f>
        <v>0.48286462322808582</v>
      </c>
      <c r="AC9" s="29">
        <v>0.5</v>
      </c>
      <c r="AD9" s="29">
        <f>+AC9-AB9</f>
        <v>1.7135376771914179E-2</v>
      </c>
      <c r="AE9" s="28">
        <f>+AE10</f>
        <v>250345109013.93814</v>
      </c>
      <c r="AF9" s="29">
        <f>+AE9/AE128</f>
        <v>0.41441366946804187</v>
      </c>
      <c r="AG9" s="29">
        <v>0.5</v>
      </c>
      <c r="AH9" s="29">
        <f>+AG9-AF9</f>
        <v>8.5586330531958132E-2</v>
      </c>
      <c r="AI9" s="28">
        <v>6185022251.4899998</v>
      </c>
      <c r="AJ9" s="29">
        <v>0.38049604823376998</v>
      </c>
      <c r="AK9" s="29">
        <v>0.5</v>
      </c>
      <c r="AL9" s="29">
        <v>0.1195</v>
      </c>
      <c r="AM9" s="28">
        <v>5151829230.8100004</v>
      </c>
      <c r="AN9" s="29">
        <v>0.22102530660211001</v>
      </c>
      <c r="AO9" s="29">
        <v>0.5</v>
      </c>
      <c r="AP9" s="29">
        <v>0.27900000000000003</v>
      </c>
      <c r="AQ9" s="28">
        <v>11336851482.299999</v>
      </c>
      <c r="AR9" s="29">
        <v>0.28654512728579001</v>
      </c>
      <c r="AS9" s="29">
        <v>0.5</v>
      </c>
      <c r="AT9" s="29">
        <v>0.2135</v>
      </c>
      <c r="AU9" s="28">
        <v>18759979935.23</v>
      </c>
      <c r="AV9" s="29">
        <v>0.44195956007491999</v>
      </c>
      <c r="AW9" s="29">
        <v>0.5</v>
      </c>
      <c r="AX9" s="29">
        <v>5.8000000000000003E-2</v>
      </c>
      <c r="AY9" s="28">
        <f>+AY10</f>
        <v>280441940431.46814</v>
      </c>
      <c r="AZ9" s="29">
        <f>+AY9/AY128</f>
        <v>0.4087443786097531</v>
      </c>
      <c r="BA9" s="29">
        <v>0.5</v>
      </c>
      <c r="BB9" s="29">
        <f>+BA9-AZ9</f>
        <v>9.1255621390246899E-2</v>
      </c>
    </row>
    <row r="10" spans="1:54">
      <c r="A10" s="3" t="s">
        <v>28</v>
      </c>
      <c r="B10" s="31" t="s">
        <v>29</v>
      </c>
      <c r="C10" s="2">
        <v>2272800586.98</v>
      </c>
      <c r="D10" s="1">
        <v>1</v>
      </c>
      <c r="E10" s="22" t="s">
        <v>26</v>
      </c>
      <c r="F10" s="22" t="s">
        <v>26</v>
      </c>
      <c r="G10" s="2">
        <v>59503858261.420776</v>
      </c>
      <c r="H10" s="40">
        <f>+G10/G9</f>
        <v>1</v>
      </c>
      <c r="I10" s="22" t="s">
        <v>26</v>
      </c>
      <c r="J10" s="22" t="s">
        <v>26</v>
      </c>
      <c r="K10" s="2">
        <v>875314465.15999997</v>
      </c>
      <c r="L10" s="1">
        <v>1</v>
      </c>
      <c r="M10" s="22" t="s">
        <v>26</v>
      </c>
      <c r="N10" s="22" t="s">
        <v>26</v>
      </c>
      <c r="O10" s="2">
        <v>75626670562.160004</v>
      </c>
      <c r="P10" s="1">
        <f>+O10/O9</f>
        <v>1</v>
      </c>
      <c r="Q10" s="1" t="s">
        <v>26</v>
      </c>
      <c r="R10" s="1" t="s">
        <v>26</v>
      </c>
      <c r="S10" s="2">
        <v>47417778304.267326</v>
      </c>
      <c r="T10" s="1">
        <f>+S10/S9</f>
        <v>1</v>
      </c>
      <c r="U10" s="1"/>
      <c r="V10" s="1"/>
      <c r="W10" s="2">
        <v>1597073862.01</v>
      </c>
      <c r="X10" s="1">
        <v>1</v>
      </c>
      <c r="Y10" s="22" t="s">
        <v>26</v>
      </c>
      <c r="Z10" s="1" t="s">
        <v>25</v>
      </c>
      <c r="AA10" s="2">
        <v>63051612971.940002</v>
      </c>
      <c r="AB10" s="1">
        <f>+AA10/AA9</f>
        <v>1</v>
      </c>
      <c r="AC10" s="1"/>
      <c r="AD10" s="1"/>
      <c r="AE10" s="2">
        <f>+C10+G10+K10+O10+S10+W10+AA10</f>
        <v>250345109013.93814</v>
      </c>
      <c r="AF10" s="1">
        <f>+AE10/AE9</f>
        <v>1</v>
      </c>
      <c r="AG10" s="22" t="s">
        <v>26</v>
      </c>
      <c r="AH10" s="22" t="s">
        <v>26</v>
      </c>
      <c r="AI10" s="2">
        <v>6185022251.4899998</v>
      </c>
      <c r="AJ10" s="1">
        <v>1</v>
      </c>
      <c r="AK10" s="1" t="s">
        <v>25</v>
      </c>
      <c r="AL10" s="1" t="s">
        <v>25</v>
      </c>
      <c r="AM10" s="2">
        <v>5151829230.8100004</v>
      </c>
      <c r="AN10" s="1">
        <v>1</v>
      </c>
      <c r="AO10" s="1" t="s">
        <v>25</v>
      </c>
      <c r="AP10" s="1" t="s">
        <v>25</v>
      </c>
      <c r="AQ10" s="2">
        <v>11336851482.299999</v>
      </c>
      <c r="AR10" s="1">
        <v>1</v>
      </c>
      <c r="AS10" s="1" t="s">
        <v>25</v>
      </c>
      <c r="AT10" s="1" t="s">
        <v>25</v>
      </c>
      <c r="AU10" s="2">
        <v>18759979935.23</v>
      </c>
      <c r="AV10" s="1">
        <v>1</v>
      </c>
      <c r="AW10" s="1" t="s">
        <v>26</v>
      </c>
      <c r="AX10" s="1" t="s">
        <v>26</v>
      </c>
      <c r="AY10" s="2">
        <f>+AE10+AQ10+AU10</f>
        <v>280441940431.46814</v>
      </c>
      <c r="AZ10" s="1">
        <v>1</v>
      </c>
      <c r="BA10" s="1" t="s">
        <v>26</v>
      </c>
      <c r="BB10" s="1"/>
    </row>
    <row r="11" spans="1:54" s="45" customFormat="1">
      <c r="A11" s="26" t="s">
        <v>27</v>
      </c>
      <c r="B11" s="43"/>
      <c r="C11" s="22" t="s">
        <v>26</v>
      </c>
      <c r="D11" s="22" t="s">
        <v>26</v>
      </c>
      <c r="E11" s="22" t="s">
        <v>26</v>
      </c>
      <c r="F11" s="22" t="s">
        <v>26</v>
      </c>
      <c r="G11" s="28">
        <f>+G12</f>
        <v>5701233560</v>
      </c>
      <c r="H11" s="44">
        <f>+G11/G128</f>
        <v>4.0170148906479339E-2</v>
      </c>
      <c r="I11" s="29">
        <v>0.1</v>
      </c>
      <c r="J11" s="29">
        <f>+I11-H11</f>
        <v>5.9829851093520667E-2</v>
      </c>
      <c r="K11" s="22" t="s">
        <v>26</v>
      </c>
      <c r="L11" s="22" t="s">
        <v>26</v>
      </c>
      <c r="M11" s="22" t="s">
        <v>26</v>
      </c>
      <c r="N11" s="22" t="s">
        <v>26</v>
      </c>
      <c r="O11" s="28">
        <f>+O12</f>
        <v>1554881880</v>
      </c>
      <c r="P11" s="44">
        <f>+O11/O128</f>
        <v>7.3517170571121438E-3</v>
      </c>
      <c r="Q11" s="29">
        <v>0.1</v>
      </c>
      <c r="R11" s="29">
        <f>+Q11-P11</f>
        <v>9.2648282942887863E-2</v>
      </c>
      <c r="S11" s="28">
        <f>+S12</f>
        <v>1554881880</v>
      </c>
      <c r="T11" s="44">
        <f>+S11/S128</f>
        <v>1.4676477491498292E-2</v>
      </c>
      <c r="U11" s="29">
        <v>0.1</v>
      </c>
      <c r="V11" s="29">
        <f>+U11-T11</f>
        <v>8.5323522508501712E-2</v>
      </c>
      <c r="W11" s="22" t="s">
        <v>26</v>
      </c>
      <c r="X11" s="22" t="s">
        <v>26</v>
      </c>
      <c r="Y11" s="22" t="s">
        <v>26</v>
      </c>
      <c r="Z11" s="22" t="s">
        <v>26</v>
      </c>
      <c r="AA11" s="28">
        <f>+AA12</f>
        <v>1554881880</v>
      </c>
      <c r="AB11" s="44">
        <f>+AA11/AA128</f>
        <v>1.1907664495189152E-2</v>
      </c>
      <c r="AC11" s="29">
        <v>0.1</v>
      </c>
      <c r="AD11" s="29">
        <f>+AC11-AB11</f>
        <v>8.8092335504810854E-2</v>
      </c>
      <c r="AE11" s="28">
        <f>+AE12</f>
        <v>10365879200</v>
      </c>
      <c r="AF11" s="44">
        <f>+AE11/AE128</f>
        <v>1.7159360745870534E-2</v>
      </c>
      <c r="AG11" s="29">
        <v>0.1</v>
      </c>
      <c r="AH11" s="29">
        <f>+AG11-AF11</f>
        <v>8.2840639254129475E-2</v>
      </c>
      <c r="AI11" s="1" t="s">
        <v>26</v>
      </c>
      <c r="AJ11" s="1" t="s">
        <v>26</v>
      </c>
      <c r="AK11" s="1" t="s">
        <v>26</v>
      </c>
      <c r="AL11" s="1" t="s">
        <v>26</v>
      </c>
      <c r="AM11" s="1" t="s">
        <v>26</v>
      </c>
      <c r="AN11" s="1" t="s">
        <v>26</v>
      </c>
      <c r="AO11" s="1" t="s">
        <v>26</v>
      </c>
      <c r="AP11" s="1" t="s">
        <v>26</v>
      </c>
      <c r="AQ11" s="1" t="s">
        <v>26</v>
      </c>
      <c r="AR11" s="1" t="s">
        <v>26</v>
      </c>
      <c r="AS11" s="1" t="s">
        <v>26</v>
      </c>
      <c r="AT11" s="1" t="s">
        <v>26</v>
      </c>
      <c r="AU11" s="1" t="s">
        <v>26</v>
      </c>
      <c r="AV11" s="1" t="s">
        <v>26</v>
      </c>
      <c r="AW11" s="1" t="s">
        <v>26</v>
      </c>
      <c r="AX11" s="1" t="s">
        <v>26</v>
      </c>
      <c r="AY11" s="28">
        <f>+AY12</f>
        <v>10365879200</v>
      </c>
      <c r="AZ11" s="44">
        <f>+AY11/AY128</f>
        <v>1.5108278190590978E-2</v>
      </c>
      <c r="BA11" s="29">
        <v>0.1</v>
      </c>
      <c r="BB11" s="29">
        <f>+BA11-AZ11</f>
        <v>8.4891721809409029E-2</v>
      </c>
    </row>
    <row r="12" spans="1:54" s="7" customFormat="1" ht="17.25" customHeight="1">
      <c r="A12" s="3" t="s">
        <v>113</v>
      </c>
      <c r="B12" s="31" t="s">
        <v>29</v>
      </c>
      <c r="C12" s="22" t="s">
        <v>26</v>
      </c>
      <c r="D12" s="22" t="s">
        <v>26</v>
      </c>
      <c r="E12" s="22" t="s">
        <v>26</v>
      </c>
      <c r="F12" s="22" t="s">
        <v>26</v>
      </c>
      <c r="G12" s="2">
        <v>5701233560</v>
      </c>
      <c r="H12" s="1">
        <f>+G12/G11</f>
        <v>1</v>
      </c>
      <c r="I12" s="22" t="s">
        <v>26</v>
      </c>
      <c r="J12" s="22" t="s">
        <v>26</v>
      </c>
      <c r="K12" s="22" t="s">
        <v>26</v>
      </c>
      <c r="L12" s="22" t="s">
        <v>26</v>
      </c>
      <c r="M12" s="22" t="s">
        <v>26</v>
      </c>
      <c r="N12" s="22" t="s">
        <v>26</v>
      </c>
      <c r="O12" s="2">
        <v>1554881880</v>
      </c>
      <c r="P12" s="1">
        <f>+O12/O11</f>
        <v>1</v>
      </c>
      <c r="Q12" s="1" t="s">
        <v>26</v>
      </c>
      <c r="R12" s="1" t="s">
        <v>26</v>
      </c>
      <c r="S12" s="2">
        <v>1554881880</v>
      </c>
      <c r="T12" s="1">
        <f>+S12/S11</f>
        <v>1</v>
      </c>
      <c r="U12" s="1" t="s">
        <v>26</v>
      </c>
      <c r="V12" s="1" t="s">
        <v>26</v>
      </c>
      <c r="W12" s="22" t="s">
        <v>26</v>
      </c>
      <c r="X12" s="22" t="s">
        <v>26</v>
      </c>
      <c r="Y12" s="22" t="s">
        <v>26</v>
      </c>
      <c r="Z12" s="22" t="s">
        <v>26</v>
      </c>
      <c r="AA12" s="47">
        <v>1554881880</v>
      </c>
      <c r="AB12" s="1">
        <f>+AA12/AA11</f>
        <v>1</v>
      </c>
      <c r="AC12" s="1" t="s">
        <v>26</v>
      </c>
      <c r="AD12" s="1" t="s">
        <v>26</v>
      </c>
      <c r="AE12" s="2">
        <f>G12+O12+S12+AA12</f>
        <v>10365879200</v>
      </c>
      <c r="AF12" s="1">
        <f>+AE12/AE11</f>
        <v>1</v>
      </c>
      <c r="AG12" s="1" t="s">
        <v>26</v>
      </c>
      <c r="AH12" s="1" t="s">
        <v>26</v>
      </c>
      <c r="AI12" s="1" t="s">
        <v>26</v>
      </c>
      <c r="AJ12" s="1" t="s">
        <v>26</v>
      </c>
      <c r="AK12" s="1" t="s">
        <v>26</v>
      </c>
      <c r="AL12" s="1" t="s">
        <v>26</v>
      </c>
      <c r="AM12" s="1" t="s">
        <v>26</v>
      </c>
      <c r="AN12" s="1" t="s">
        <v>26</v>
      </c>
      <c r="AO12" s="1" t="s">
        <v>26</v>
      </c>
      <c r="AP12" s="1" t="s">
        <v>26</v>
      </c>
      <c r="AQ12" s="1" t="s">
        <v>26</v>
      </c>
      <c r="AR12" s="1" t="s">
        <v>26</v>
      </c>
      <c r="AS12" s="1" t="s">
        <v>26</v>
      </c>
      <c r="AT12" s="1" t="s">
        <v>26</v>
      </c>
      <c r="AU12" s="1" t="s">
        <v>26</v>
      </c>
      <c r="AV12" s="1" t="s">
        <v>26</v>
      </c>
      <c r="AW12" s="1" t="s">
        <v>26</v>
      </c>
      <c r="AX12" s="1" t="s">
        <v>26</v>
      </c>
      <c r="AY12" s="2">
        <f>+AE12</f>
        <v>10365879200</v>
      </c>
      <c r="AZ12" s="1">
        <v>1</v>
      </c>
      <c r="BA12" s="1" t="s">
        <v>26</v>
      </c>
      <c r="BB12" s="1"/>
    </row>
    <row r="13" spans="1:54">
      <c r="A13" s="13" t="s">
        <v>30</v>
      </c>
      <c r="B13" s="25" t="s">
        <v>25</v>
      </c>
      <c r="C13" s="55">
        <v>2280053496.7600002</v>
      </c>
      <c r="D13" s="56">
        <v>0.41140164462506001</v>
      </c>
      <c r="E13" s="56" t="s">
        <v>26</v>
      </c>
      <c r="F13" s="56" t="s">
        <v>26</v>
      </c>
      <c r="G13" s="55">
        <v>45353642127.800003</v>
      </c>
      <c r="H13" s="56">
        <v>0.31955585375543</v>
      </c>
      <c r="I13" s="56" t="s">
        <v>26</v>
      </c>
      <c r="J13" s="56" t="s">
        <v>26</v>
      </c>
      <c r="K13" s="55">
        <v>948744071.88999999</v>
      </c>
      <c r="L13" s="56">
        <v>0.35412888712055002</v>
      </c>
      <c r="M13" s="56" t="s">
        <v>26</v>
      </c>
      <c r="N13" s="56" t="s">
        <v>26</v>
      </c>
      <c r="O13" s="55">
        <v>78930162784.199997</v>
      </c>
      <c r="P13" s="56">
        <v>0.37319376572916002</v>
      </c>
      <c r="Q13" s="56" t="s">
        <v>26</v>
      </c>
      <c r="R13" s="56" t="s">
        <v>26</v>
      </c>
      <c r="S13" s="55">
        <v>27307656069.560001</v>
      </c>
      <c r="T13" s="56">
        <v>0.25775604231124999</v>
      </c>
      <c r="U13" s="56" t="s">
        <v>26</v>
      </c>
      <c r="V13" s="56" t="s">
        <v>26</v>
      </c>
      <c r="W13" s="55">
        <v>2927386117.0300002</v>
      </c>
      <c r="X13" s="56">
        <v>0.49406079129932001</v>
      </c>
      <c r="Y13" s="56" t="s">
        <v>26</v>
      </c>
      <c r="Z13" s="56" t="s">
        <v>26</v>
      </c>
      <c r="AA13" s="55">
        <v>39267703535.620003</v>
      </c>
      <c r="AB13" s="56">
        <v>0.30072164658495998</v>
      </c>
      <c r="AC13" s="56" t="s">
        <v>26</v>
      </c>
      <c r="AD13" s="56" t="s">
        <v>26</v>
      </c>
      <c r="AE13" s="55">
        <v>197015348202.85999</v>
      </c>
      <c r="AF13" s="56">
        <v>0.32613320752243002</v>
      </c>
      <c r="AG13" s="56" t="s">
        <v>26</v>
      </c>
      <c r="AH13" s="56" t="s">
        <v>26</v>
      </c>
      <c r="AI13" s="55">
        <v>6588152121.5500002</v>
      </c>
      <c r="AJ13" s="56">
        <v>0.40529617283248998</v>
      </c>
      <c r="AK13" s="56" t="s">
        <v>26</v>
      </c>
      <c r="AL13" s="56" t="s">
        <v>26</v>
      </c>
      <c r="AM13" s="55">
        <v>11365373620.530001</v>
      </c>
      <c r="AN13" s="56">
        <v>0.48760063204391002</v>
      </c>
      <c r="AO13" s="56" t="s">
        <v>26</v>
      </c>
      <c r="AP13" s="56" t="s">
        <v>26</v>
      </c>
      <c r="AQ13" s="55">
        <v>17953525742.080002</v>
      </c>
      <c r="AR13" s="56">
        <v>0.45378519133155998</v>
      </c>
      <c r="AS13" s="56" t="s">
        <v>26</v>
      </c>
      <c r="AT13" s="56" t="s">
        <v>26</v>
      </c>
      <c r="AU13" s="55">
        <v>14195979178.83</v>
      </c>
      <c r="AV13" s="56">
        <v>0.33443792234160002</v>
      </c>
      <c r="AW13" s="56" t="s">
        <v>26</v>
      </c>
      <c r="AX13" s="56" t="s">
        <v>26</v>
      </c>
      <c r="AY13" s="55">
        <v>229164853123.76999</v>
      </c>
      <c r="AZ13" s="56">
        <v>0.33400797806902</v>
      </c>
      <c r="BA13" s="56" t="s">
        <v>26</v>
      </c>
      <c r="BB13" s="56" t="s">
        <v>26</v>
      </c>
    </row>
    <row r="14" spans="1:54" s="7" customFormat="1">
      <c r="A14" s="5" t="s">
        <v>31</v>
      </c>
      <c r="B14" s="24" t="s">
        <v>25</v>
      </c>
      <c r="C14" s="10">
        <v>2280053496.7600002</v>
      </c>
      <c r="D14" s="11">
        <v>0.41140164462506001</v>
      </c>
      <c r="E14" s="11">
        <v>0.5</v>
      </c>
      <c r="F14" s="11">
        <v>8.8599999999999998E-2</v>
      </c>
      <c r="G14" s="10">
        <v>45353642127.800003</v>
      </c>
      <c r="H14" s="11">
        <v>0.31955585375543</v>
      </c>
      <c r="I14" s="11">
        <v>0.5</v>
      </c>
      <c r="J14" s="11">
        <v>0.1804</v>
      </c>
      <c r="K14" s="10">
        <v>948744071.88999999</v>
      </c>
      <c r="L14" s="11">
        <v>0.35412888712055002</v>
      </c>
      <c r="M14" s="11">
        <v>0.5</v>
      </c>
      <c r="N14" s="11">
        <v>0.1459</v>
      </c>
      <c r="O14" s="10">
        <v>78930162784.199997</v>
      </c>
      <c r="P14" s="11">
        <v>0.37319376572916002</v>
      </c>
      <c r="Q14" s="11">
        <v>0.5</v>
      </c>
      <c r="R14" s="11">
        <v>0.1268</v>
      </c>
      <c r="S14" s="10">
        <v>27307656069.560001</v>
      </c>
      <c r="T14" s="11">
        <v>0.25775604231124999</v>
      </c>
      <c r="U14" s="11">
        <v>0.5</v>
      </c>
      <c r="V14" s="11">
        <v>0.2422</v>
      </c>
      <c r="W14" s="10">
        <v>2927386117.0300002</v>
      </c>
      <c r="X14" s="11">
        <v>0.49406079129932001</v>
      </c>
      <c r="Y14" s="11">
        <v>0.5</v>
      </c>
      <c r="Z14" s="11">
        <v>5.8999999999999999E-3</v>
      </c>
      <c r="AA14" s="10">
        <v>39267703535.620003</v>
      </c>
      <c r="AB14" s="11">
        <v>0.30072164658495998</v>
      </c>
      <c r="AC14" s="11">
        <v>0.5</v>
      </c>
      <c r="AD14" s="11">
        <v>0.1993</v>
      </c>
      <c r="AE14" s="10">
        <v>197015348202.85999</v>
      </c>
      <c r="AF14" s="11">
        <v>0.32613320752243002</v>
      </c>
      <c r="AG14" s="11">
        <v>0.5</v>
      </c>
      <c r="AH14" s="11">
        <v>0.1739</v>
      </c>
      <c r="AI14" s="10">
        <v>6588152121.5500002</v>
      </c>
      <c r="AJ14" s="11">
        <v>0.40529617283248998</v>
      </c>
      <c r="AK14" s="11">
        <v>0.5</v>
      </c>
      <c r="AL14" s="11">
        <v>9.4700000000000006E-2</v>
      </c>
      <c r="AM14" s="10">
        <v>11365373620.530001</v>
      </c>
      <c r="AN14" s="11">
        <v>0.48760063204391002</v>
      </c>
      <c r="AO14" s="11">
        <v>0.5</v>
      </c>
      <c r="AP14" s="11">
        <v>1.24E-2</v>
      </c>
      <c r="AQ14" s="10">
        <v>17953525742.080002</v>
      </c>
      <c r="AR14" s="11">
        <v>0.45378519133155998</v>
      </c>
      <c r="AS14" s="11">
        <v>0.5</v>
      </c>
      <c r="AT14" s="11">
        <v>4.6199999999999998E-2</v>
      </c>
      <c r="AU14" s="10">
        <v>14195979178.83</v>
      </c>
      <c r="AV14" s="11">
        <v>0.33443792234160002</v>
      </c>
      <c r="AW14" s="11">
        <v>0.5</v>
      </c>
      <c r="AX14" s="11">
        <v>0.1656</v>
      </c>
      <c r="AY14" s="10">
        <v>229164853123.76999</v>
      </c>
      <c r="AZ14" s="11">
        <v>0.33400797806902</v>
      </c>
      <c r="BA14" s="11">
        <v>0.5</v>
      </c>
      <c r="BB14" s="11">
        <v>0.16600000000000001</v>
      </c>
    </row>
    <row r="15" spans="1:54">
      <c r="A15" s="3" t="s">
        <v>32</v>
      </c>
      <c r="B15" s="31" t="s">
        <v>29</v>
      </c>
      <c r="C15" s="2">
        <v>993912854.88999999</v>
      </c>
      <c r="D15" s="1">
        <v>0.43591646261912997</v>
      </c>
      <c r="E15" s="22" t="s">
        <v>26</v>
      </c>
      <c r="F15" s="22" t="s">
        <v>26</v>
      </c>
      <c r="G15" s="2">
        <v>18800107158.549999</v>
      </c>
      <c r="H15" s="1">
        <v>0.41452254497167002</v>
      </c>
      <c r="I15" s="22" t="s">
        <v>26</v>
      </c>
      <c r="J15" s="22" t="s">
        <v>26</v>
      </c>
      <c r="K15" s="2">
        <v>287626400.92000002</v>
      </c>
      <c r="L15" s="1">
        <v>0.30316542621133002</v>
      </c>
      <c r="M15" s="1" t="s">
        <v>26</v>
      </c>
      <c r="N15" s="1" t="s">
        <v>26</v>
      </c>
      <c r="O15" s="2">
        <v>23293258716.349998</v>
      </c>
      <c r="P15" s="1">
        <v>0.29511225993585</v>
      </c>
      <c r="Q15" s="1" t="s">
        <v>26</v>
      </c>
      <c r="R15" s="1" t="s">
        <v>26</v>
      </c>
      <c r="S15" s="2">
        <v>11893816761.57</v>
      </c>
      <c r="T15" s="1">
        <v>0.43554879742418001</v>
      </c>
      <c r="U15" s="1" t="s">
        <v>26</v>
      </c>
      <c r="V15" s="1" t="s">
        <v>26</v>
      </c>
      <c r="W15" s="2">
        <v>1206099545.21</v>
      </c>
      <c r="X15" s="1">
        <v>0.41200562446939998</v>
      </c>
      <c r="Y15" s="22" t="s">
        <v>26</v>
      </c>
      <c r="Z15" s="22" t="s">
        <v>26</v>
      </c>
      <c r="AA15" s="2">
        <v>20151680753.02</v>
      </c>
      <c r="AB15" s="1">
        <v>0.51318714716128999</v>
      </c>
      <c r="AC15" s="22" t="s">
        <v>26</v>
      </c>
      <c r="AD15" s="22" t="s">
        <v>26</v>
      </c>
      <c r="AE15" s="2">
        <v>76626502190.509995</v>
      </c>
      <c r="AF15" s="1">
        <v>0.38893671426863002</v>
      </c>
      <c r="AG15" s="22" t="s">
        <v>26</v>
      </c>
      <c r="AH15" s="22" t="s">
        <v>26</v>
      </c>
      <c r="AI15" s="2">
        <v>1729761946.04</v>
      </c>
      <c r="AJ15" s="1">
        <v>0.26255646714378</v>
      </c>
      <c r="AK15" s="1" t="s">
        <v>26</v>
      </c>
      <c r="AL15" s="1" t="s">
        <v>26</v>
      </c>
      <c r="AM15" s="2">
        <v>6820816712.1999998</v>
      </c>
      <c r="AN15" s="1">
        <v>0.60014012208794998</v>
      </c>
      <c r="AO15" s="1" t="s">
        <v>25</v>
      </c>
      <c r="AP15" s="1" t="s">
        <v>25</v>
      </c>
      <c r="AQ15" s="2">
        <v>8550578658.2399998</v>
      </c>
      <c r="AR15" s="1">
        <v>0.47626180957865999</v>
      </c>
      <c r="AS15" s="1" t="s">
        <v>26</v>
      </c>
      <c r="AT15" s="1" t="s">
        <v>26</v>
      </c>
      <c r="AU15" s="2">
        <v>7869300247.7600002</v>
      </c>
      <c r="AV15" s="1">
        <v>0.55433303674432</v>
      </c>
      <c r="AW15" s="1" t="s">
        <v>26</v>
      </c>
      <c r="AX15" s="1" t="s">
        <v>26</v>
      </c>
      <c r="AY15" s="2">
        <v>93046381096.509995</v>
      </c>
      <c r="AZ15" s="1">
        <v>0.40602378518427001</v>
      </c>
      <c r="BA15" s="1" t="s">
        <v>26</v>
      </c>
      <c r="BB15" s="1" t="s">
        <v>26</v>
      </c>
    </row>
    <row r="16" spans="1:54" s="7" customFormat="1">
      <c r="A16" s="3" t="s">
        <v>33</v>
      </c>
      <c r="B16" s="31" t="s">
        <v>29</v>
      </c>
      <c r="C16" s="2">
        <v>1286140641.8699999</v>
      </c>
      <c r="D16" s="1">
        <v>0.56408353738087003</v>
      </c>
      <c r="E16" s="22" t="s">
        <v>26</v>
      </c>
      <c r="F16" s="22" t="s">
        <v>26</v>
      </c>
      <c r="G16" s="2">
        <v>26553534969.25</v>
      </c>
      <c r="H16" s="1">
        <v>0.58547745502833004</v>
      </c>
      <c r="I16" s="22" t="s">
        <v>26</v>
      </c>
      <c r="J16" s="22" t="s">
        <v>26</v>
      </c>
      <c r="K16" s="2">
        <v>661117670.97000003</v>
      </c>
      <c r="L16" s="1">
        <v>0.69683457378866998</v>
      </c>
      <c r="M16" s="1" t="s">
        <v>26</v>
      </c>
      <c r="N16" s="1" t="s">
        <v>26</v>
      </c>
      <c r="O16" s="2">
        <v>55636904067.849998</v>
      </c>
      <c r="P16" s="1">
        <v>0.70488774006415</v>
      </c>
      <c r="Q16" s="1" t="s">
        <v>26</v>
      </c>
      <c r="R16" s="1" t="s">
        <v>26</v>
      </c>
      <c r="S16" s="2">
        <v>15413839307.99</v>
      </c>
      <c r="T16" s="1">
        <v>0.56445120257582004</v>
      </c>
      <c r="U16" s="1" t="s">
        <v>26</v>
      </c>
      <c r="V16" s="1" t="s">
        <v>26</v>
      </c>
      <c r="W16" s="2">
        <v>1721286571.8199999</v>
      </c>
      <c r="X16" s="1">
        <v>0.58799437553059997</v>
      </c>
      <c r="Y16" s="22" t="s">
        <v>26</v>
      </c>
      <c r="Z16" s="22" t="s">
        <v>26</v>
      </c>
      <c r="AA16" s="2">
        <v>19116022782.599998</v>
      </c>
      <c r="AB16" s="1">
        <v>0.48681285283871001</v>
      </c>
      <c r="AC16" s="22" t="s">
        <v>26</v>
      </c>
      <c r="AD16" s="22" t="s">
        <v>26</v>
      </c>
      <c r="AE16" s="2">
        <v>120388846012.35001</v>
      </c>
      <c r="AF16" s="1">
        <v>0.61106328573137003</v>
      </c>
      <c r="AG16" s="22" t="s">
        <v>26</v>
      </c>
      <c r="AH16" s="22" t="s">
        <v>26</v>
      </c>
      <c r="AI16" s="2">
        <v>4858390175.5100002</v>
      </c>
      <c r="AJ16" s="1">
        <v>0.73744353285622</v>
      </c>
      <c r="AK16" s="1" t="s">
        <v>26</v>
      </c>
      <c r="AL16" s="1" t="s">
        <v>26</v>
      </c>
      <c r="AM16" s="2">
        <v>4544556908.3299999</v>
      </c>
      <c r="AN16" s="1">
        <v>0.39985987791205002</v>
      </c>
      <c r="AO16" s="1" t="s">
        <v>25</v>
      </c>
      <c r="AP16" s="1" t="s">
        <v>25</v>
      </c>
      <c r="AQ16" s="2">
        <v>9402947083.8400002</v>
      </c>
      <c r="AR16" s="1">
        <v>0.52373819042133996</v>
      </c>
      <c r="AS16" s="1" t="s">
        <v>26</v>
      </c>
      <c r="AT16" s="1" t="s">
        <v>26</v>
      </c>
      <c r="AU16" s="2">
        <v>6326678931.0699997</v>
      </c>
      <c r="AV16" s="1">
        <v>0.44566696325568</v>
      </c>
      <c r="AW16" s="1" t="s">
        <v>26</v>
      </c>
      <c r="AX16" s="1" t="s">
        <v>26</v>
      </c>
      <c r="AY16" s="2">
        <v>136118472027.25999</v>
      </c>
      <c r="AZ16" s="1">
        <v>0.59397621481573004</v>
      </c>
      <c r="BA16" s="1" t="s">
        <v>26</v>
      </c>
      <c r="BB16" s="1" t="s">
        <v>26</v>
      </c>
    </row>
    <row r="17" spans="1:56" s="7" customFormat="1">
      <c r="A17" s="13" t="s">
        <v>34</v>
      </c>
      <c r="B17" s="25" t="s">
        <v>25</v>
      </c>
      <c r="C17" s="55">
        <v>225926820.58000001</v>
      </c>
      <c r="D17" s="56">
        <v>4.07651248901E-2</v>
      </c>
      <c r="E17" s="56" t="s">
        <v>26</v>
      </c>
      <c r="F17" s="56" t="s">
        <v>26</v>
      </c>
      <c r="G17" s="55">
        <v>18712653313.990002</v>
      </c>
      <c r="H17" s="56">
        <v>0.13184691736401999</v>
      </c>
      <c r="I17" s="56" t="s">
        <v>26</v>
      </c>
      <c r="J17" s="56" t="s">
        <v>26</v>
      </c>
      <c r="K17" s="55">
        <v>146057333.53999999</v>
      </c>
      <c r="L17" s="56">
        <v>5.451746420853E-2</v>
      </c>
      <c r="M17" s="56" t="s">
        <v>26</v>
      </c>
      <c r="N17" s="56" t="s">
        <v>26</v>
      </c>
      <c r="O17" s="55">
        <v>21089153737.639999</v>
      </c>
      <c r="P17" s="56">
        <v>9.971271338828E-2</v>
      </c>
      <c r="Q17" s="56" t="s">
        <v>26</v>
      </c>
      <c r="R17" s="56" t="s">
        <v>26</v>
      </c>
      <c r="S17" s="55">
        <v>15629785515.809999</v>
      </c>
      <c r="T17" s="56">
        <v>0.14752901700779</v>
      </c>
      <c r="U17" s="56" t="s">
        <v>26</v>
      </c>
      <c r="V17" s="56" t="s">
        <v>26</v>
      </c>
      <c r="W17" s="55">
        <v>1277072649.6900001</v>
      </c>
      <c r="X17" s="56">
        <v>0.21553409718725</v>
      </c>
      <c r="Y17" s="56" t="s">
        <v>26</v>
      </c>
      <c r="Z17" s="56" t="s">
        <v>26</v>
      </c>
      <c r="AA17" s="55">
        <v>12260225444.16</v>
      </c>
      <c r="AB17" s="56">
        <v>9.389179532045E-2</v>
      </c>
      <c r="AC17" s="56" t="s">
        <v>26</v>
      </c>
      <c r="AD17" s="56" t="s">
        <v>26</v>
      </c>
      <c r="AE17" s="55">
        <v>69340874815.410004</v>
      </c>
      <c r="AF17" s="56">
        <v>0.11478477246693999</v>
      </c>
      <c r="AG17" s="56" t="s">
        <v>26</v>
      </c>
      <c r="AH17" s="56" t="s">
        <v>26</v>
      </c>
      <c r="AI17" s="55">
        <v>2087871314.4100001</v>
      </c>
      <c r="AJ17" s="56">
        <v>0.12844364208427</v>
      </c>
      <c r="AK17" s="56" t="s">
        <v>26</v>
      </c>
      <c r="AL17" s="56" t="s">
        <v>26</v>
      </c>
      <c r="AM17" s="55">
        <v>4359559789.6899996</v>
      </c>
      <c r="AN17" s="56">
        <v>0.18703512791221999</v>
      </c>
      <c r="AO17" s="56" t="s">
        <v>26</v>
      </c>
      <c r="AP17" s="56" t="s">
        <v>26</v>
      </c>
      <c r="AQ17" s="55">
        <v>6447431104.1000004</v>
      </c>
      <c r="AR17" s="56">
        <v>0.16296235063810999</v>
      </c>
      <c r="AS17" s="56" t="s">
        <v>26</v>
      </c>
      <c r="AT17" s="56" t="s">
        <v>26</v>
      </c>
      <c r="AU17" s="55">
        <v>4896199212.7799997</v>
      </c>
      <c r="AV17" s="56">
        <v>0.11534778062613001</v>
      </c>
      <c r="AW17" s="56" t="s">
        <v>26</v>
      </c>
      <c r="AX17" s="56" t="s">
        <v>26</v>
      </c>
      <c r="AY17" s="55">
        <v>80684505132.289993</v>
      </c>
      <c r="AZ17" s="56">
        <v>0.11759773828049</v>
      </c>
      <c r="BA17" s="56" t="s">
        <v>26</v>
      </c>
      <c r="BB17" s="56" t="s">
        <v>26</v>
      </c>
      <c r="BD17" s="19"/>
    </row>
    <row r="18" spans="1:56" s="7" customFormat="1">
      <c r="A18" s="5" t="s">
        <v>35</v>
      </c>
      <c r="B18" s="24" t="s">
        <v>25</v>
      </c>
      <c r="C18" s="22" t="s">
        <v>26</v>
      </c>
      <c r="D18" s="22" t="s">
        <v>26</v>
      </c>
      <c r="E18" s="22" t="s">
        <v>26</v>
      </c>
      <c r="F18" s="22" t="s">
        <v>26</v>
      </c>
      <c r="G18" s="10">
        <v>14402776063.700001</v>
      </c>
      <c r="H18" s="11">
        <v>0.10148008374971999</v>
      </c>
      <c r="I18" s="11">
        <v>0.15</v>
      </c>
      <c r="J18" s="11">
        <v>4.8500000000000001E-2</v>
      </c>
      <c r="K18" s="22" t="s">
        <v>26</v>
      </c>
      <c r="L18" s="22" t="s">
        <v>26</v>
      </c>
      <c r="M18" s="22" t="s">
        <v>26</v>
      </c>
      <c r="N18" s="22" t="s">
        <v>26</v>
      </c>
      <c r="O18" s="10">
        <v>5216878259.6899996</v>
      </c>
      <c r="P18" s="11">
        <v>2.4666190647640002E-2</v>
      </c>
      <c r="Q18" s="11">
        <v>0.13850000000000001</v>
      </c>
      <c r="R18" s="11">
        <v>0.1138</v>
      </c>
      <c r="S18" s="10">
        <v>2867440280.1700001</v>
      </c>
      <c r="T18" s="11">
        <v>2.706567185033E-2</v>
      </c>
      <c r="U18" s="11">
        <v>0.05</v>
      </c>
      <c r="V18" s="11">
        <v>2.29E-2</v>
      </c>
      <c r="W18" s="10">
        <v>408963734.58999997</v>
      </c>
      <c r="X18" s="11">
        <v>6.9021624837539999E-2</v>
      </c>
      <c r="Y18" s="11">
        <v>0.15</v>
      </c>
      <c r="Z18" s="11">
        <v>8.1000000000000003E-2</v>
      </c>
      <c r="AA18" s="10">
        <v>4847722017.6899996</v>
      </c>
      <c r="AB18" s="11">
        <v>3.7125037017339997E-2</v>
      </c>
      <c r="AC18" s="11">
        <v>0.1376</v>
      </c>
      <c r="AD18" s="11">
        <v>0.10050000000000001</v>
      </c>
      <c r="AE18" s="10">
        <v>27743780355.84</v>
      </c>
      <c r="AF18" s="11">
        <v>4.592620909378E-2</v>
      </c>
      <c r="AG18" s="11">
        <v>0.14510000000000001</v>
      </c>
      <c r="AH18" s="11">
        <v>9.9199999999999997E-2</v>
      </c>
      <c r="AI18" s="10">
        <v>622391538.87</v>
      </c>
      <c r="AJ18" s="11">
        <v>3.8288871303109998E-2</v>
      </c>
      <c r="AK18" s="11">
        <v>0.05</v>
      </c>
      <c r="AL18" s="11">
        <v>1.17E-2</v>
      </c>
      <c r="AM18" s="10">
        <v>1118105142.45</v>
      </c>
      <c r="AN18" s="11">
        <v>4.7969278648729997E-2</v>
      </c>
      <c r="AO18" s="11">
        <v>0.15</v>
      </c>
      <c r="AP18" s="11">
        <v>0.10199999999999999</v>
      </c>
      <c r="AQ18" s="10">
        <v>1740496681.3199999</v>
      </c>
      <c r="AR18" s="11">
        <v>4.3992006410950003E-2</v>
      </c>
      <c r="AS18" s="11">
        <v>0.1469</v>
      </c>
      <c r="AT18" s="11">
        <v>0.10290000000000001</v>
      </c>
      <c r="AU18" s="10">
        <v>1653612691.8800001</v>
      </c>
      <c r="AV18" s="11">
        <v>3.8956861380490003E-2</v>
      </c>
      <c r="AW18" s="11">
        <v>0.05</v>
      </c>
      <c r="AX18" s="11">
        <v>1.0999999999999999E-2</v>
      </c>
      <c r="AY18" s="10">
        <v>31137889729.040001</v>
      </c>
      <c r="AZ18" s="11">
        <v>4.5383502085789999E-2</v>
      </c>
      <c r="BA18" s="11">
        <v>0.1452</v>
      </c>
      <c r="BB18" s="11">
        <v>9.98E-2</v>
      </c>
    </row>
    <row r="19" spans="1:56" s="7" customFormat="1">
      <c r="A19" s="3" t="s">
        <v>36</v>
      </c>
      <c r="B19" s="31" t="s">
        <v>37</v>
      </c>
      <c r="C19" s="22" t="s">
        <v>26</v>
      </c>
      <c r="D19" s="22" t="s">
        <v>26</v>
      </c>
      <c r="E19" s="22" t="s">
        <v>26</v>
      </c>
      <c r="F19" s="22" t="s">
        <v>26</v>
      </c>
      <c r="G19" s="22" t="s">
        <v>26</v>
      </c>
      <c r="H19" s="22" t="s">
        <v>26</v>
      </c>
      <c r="I19" s="22" t="s">
        <v>26</v>
      </c>
      <c r="J19" s="22" t="s">
        <v>26</v>
      </c>
      <c r="K19" s="22" t="s">
        <v>26</v>
      </c>
      <c r="L19" s="22" t="s">
        <v>26</v>
      </c>
      <c r="M19" s="22" t="s">
        <v>26</v>
      </c>
      <c r="N19" s="22" t="s">
        <v>26</v>
      </c>
      <c r="O19" s="2">
        <v>4000977880</v>
      </c>
      <c r="P19" s="1">
        <v>0.76692950857507003</v>
      </c>
      <c r="Q19" s="1" t="s">
        <v>26</v>
      </c>
      <c r="R19" s="1" t="s">
        <v>26</v>
      </c>
      <c r="S19" s="2">
        <v>986241047.41999996</v>
      </c>
      <c r="T19" s="1">
        <v>0.34394475596944002</v>
      </c>
      <c r="U19" s="1" t="s">
        <v>26</v>
      </c>
      <c r="V19" s="1" t="s">
        <v>26</v>
      </c>
      <c r="W19" s="22" t="s">
        <v>26</v>
      </c>
      <c r="X19" s="22" t="s">
        <v>26</v>
      </c>
      <c r="Y19" s="22" t="s">
        <v>26</v>
      </c>
      <c r="Z19" s="22" t="s">
        <v>26</v>
      </c>
      <c r="AA19" s="2">
        <v>4000977880</v>
      </c>
      <c r="AB19" s="1">
        <v>0.82533154033995004</v>
      </c>
      <c r="AC19" s="22" t="s">
        <v>26</v>
      </c>
      <c r="AD19" s="22" t="s">
        <v>26</v>
      </c>
      <c r="AE19" s="2">
        <v>8988196807.4200001</v>
      </c>
      <c r="AF19" s="1">
        <v>0.32397159623303001</v>
      </c>
      <c r="AG19" s="22" t="s">
        <v>26</v>
      </c>
      <c r="AH19" s="22" t="s">
        <v>26</v>
      </c>
      <c r="AI19" s="2">
        <v>358087520.25999999</v>
      </c>
      <c r="AJ19" s="1">
        <v>0.57534124083714</v>
      </c>
      <c r="AK19" s="1" t="s">
        <v>26</v>
      </c>
      <c r="AL19" s="1" t="s">
        <v>26</v>
      </c>
      <c r="AM19" s="1" t="s">
        <v>26</v>
      </c>
      <c r="AN19" s="1" t="s">
        <v>26</v>
      </c>
      <c r="AO19" s="1" t="s">
        <v>26</v>
      </c>
      <c r="AP19" s="1" t="s">
        <v>26</v>
      </c>
      <c r="AQ19" s="2">
        <v>358087520.25999999</v>
      </c>
      <c r="AR19" s="1">
        <v>0.20573869752422</v>
      </c>
      <c r="AS19" s="1" t="s">
        <v>26</v>
      </c>
      <c r="AT19" s="1" t="s">
        <v>26</v>
      </c>
      <c r="AU19" s="2">
        <v>639156216.33000004</v>
      </c>
      <c r="AV19" s="1">
        <v>0.38652111190761002</v>
      </c>
      <c r="AW19" s="1" t="s">
        <v>26</v>
      </c>
      <c r="AX19" s="1" t="s">
        <v>26</v>
      </c>
      <c r="AY19" s="2">
        <v>9985440544.0100002</v>
      </c>
      <c r="AZ19" s="1">
        <v>0.32068456247044003</v>
      </c>
      <c r="BA19" s="1" t="s">
        <v>26</v>
      </c>
      <c r="BB19" s="1" t="s">
        <v>26</v>
      </c>
      <c r="BD19" s="20"/>
    </row>
    <row r="20" spans="1:56" s="7" customFormat="1">
      <c r="A20" s="3" t="s">
        <v>38</v>
      </c>
      <c r="B20" s="31" t="s">
        <v>39</v>
      </c>
      <c r="C20" s="22" t="s">
        <v>26</v>
      </c>
      <c r="D20" s="22" t="s">
        <v>26</v>
      </c>
      <c r="E20" s="22" t="s">
        <v>26</v>
      </c>
      <c r="F20" s="22" t="s">
        <v>26</v>
      </c>
      <c r="G20" s="2">
        <v>14402776063.700001</v>
      </c>
      <c r="H20" s="1">
        <v>1</v>
      </c>
      <c r="I20" s="22" t="s">
        <v>26</v>
      </c>
      <c r="J20" s="22" t="s">
        <v>26</v>
      </c>
      <c r="K20" s="22" t="s">
        <v>26</v>
      </c>
      <c r="L20" s="22" t="s">
        <v>26</v>
      </c>
      <c r="M20" s="22" t="s">
        <v>26</v>
      </c>
      <c r="N20" s="22" t="s">
        <v>26</v>
      </c>
      <c r="O20" s="2">
        <v>1215900379.6900001</v>
      </c>
      <c r="P20" s="1">
        <v>0.23307049142493</v>
      </c>
      <c r="Q20" s="1" t="s">
        <v>26</v>
      </c>
      <c r="R20" s="1" t="s">
        <v>26</v>
      </c>
      <c r="S20" s="2">
        <v>1881199232.75</v>
      </c>
      <c r="T20" s="1">
        <v>0.65605524403056004</v>
      </c>
      <c r="U20" s="1" t="s">
        <v>26</v>
      </c>
      <c r="V20" s="1" t="s">
        <v>26</v>
      </c>
      <c r="W20" s="2">
        <v>408963734.58999997</v>
      </c>
      <c r="X20" s="1">
        <v>1</v>
      </c>
      <c r="Y20" s="22" t="s">
        <v>26</v>
      </c>
      <c r="Z20" s="22" t="s">
        <v>26</v>
      </c>
      <c r="AA20" s="2">
        <v>846744137.69000006</v>
      </c>
      <c r="AB20" s="1">
        <v>0.17466845966005001</v>
      </c>
      <c r="AC20" s="22" t="s">
        <v>26</v>
      </c>
      <c r="AD20" s="22" t="s">
        <v>26</v>
      </c>
      <c r="AE20" s="2">
        <v>18755583548.419998</v>
      </c>
      <c r="AF20" s="1">
        <v>0.67602840376697004</v>
      </c>
      <c r="AG20" s="22" t="s">
        <v>26</v>
      </c>
      <c r="AH20" s="22" t="s">
        <v>26</v>
      </c>
      <c r="AI20" s="2">
        <v>264304018.61000001</v>
      </c>
      <c r="AJ20" s="1">
        <v>0.42465875916286</v>
      </c>
      <c r="AK20" s="1" t="s">
        <v>26</v>
      </c>
      <c r="AL20" s="1" t="s">
        <v>26</v>
      </c>
      <c r="AM20" s="2">
        <v>1118105142.45</v>
      </c>
      <c r="AN20" s="1">
        <v>1</v>
      </c>
      <c r="AO20" s="1" t="s">
        <v>26</v>
      </c>
      <c r="AP20" s="1" t="s">
        <v>26</v>
      </c>
      <c r="AQ20" s="2">
        <v>1382409161.0599999</v>
      </c>
      <c r="AR20" s="1">
        <v>0.79426130247577997</v>
      </c>
      <c r="AS20" s="1" t="s">
        <v>26</v>
      </c>
      <c r="AT20" s="1" t="s">
        <v>26</v>
      </c>
      <c r="AU20" s="2">
        <v>1014456475.55</v>
      </c>
      <c r="AV20" s="1">
        <v>0.61347888809239004</v>
      </c>
      <c r="AW20" s="1" t="s">
        <v>26</v>
      </c>
      <c r="AX20" s="1" t="s">
        <v>26</v>
      </c>
      <c r="AY20" s="2">
        <v>21152449185.029999</v>
      </c>
      <c r="AZ20" s="1">
        <v>0.67931543752956003</v>
      </c>
      <c r="BA20" s="1" t="s">
        <v>26</v>
      </c>
      <c r="BB20" s="1" t="s">
        <v>26</v>
      </c>
    </row>
    <row r="21" spans="1:56" s="7" customFormat="1">
      <c r="A21" s="5" t="s">
        <v>41</v>
      </c>
      <c r="B21" s="24" t="s">
        <v>25</v>
      </c>
      <c r="C21" s="22" t="s">
        <v>26</v>
      </c>
      <c r="D21" s="22" t="s">
        <v>26</v>
      </c>
      <c r="E21" s="22" t="s">
        <v>26</v>
      </c>
      <c r="F21" s="22" t="s">
        <v>26</v>
      </c>
      <c r="G21" s="22" t="s">
        <v>26</v>
      </c>
      <c r="H21" s="22" t="s">
        <v>26</v>
      </c>
      <c r="I21" s="22" t="s">
        <v>26</v>
      </c>
      <c r="J21" s="22" t="s">
        <v>26</v>
      </c>
      <c r="K21" s="10">
        <v>16064021.33</v>
      </c>
      <c r="L21" s="11">
        <v>5.9960680280599999E-3</v>
      </c>
      <c r="M21" s="11">
        <v>0.15</v>
      </c>
      <c r="N21" s="11">
        <v>0.14399999999999999</v>
      </c>
      <c r="O21" s="10">
        <v>328819639.91000003</v>
      </c>
      <c r="P21" s="11">
        <v>1.5547090660300001E-3</v>
      </c>
      <c r="Q21" s="11">
        <v>0.15</v>
      </c>
      <c r="R21" s="11">
        <v>0.1484</v>
      </c>
      <c r="S21" s="10">
        <v>329862714.04000002</v>
      </c>
      <c r="T21" s="11">
        <v>3.1135630044700001E-3</v>
      </c>
      <c r="U21" s="11">
        <v>0.15</v>
      </c>
      <c r="V21" s="11">
        <v>0.1469</v>
      </c>
      <c r="W21" s="10">
        <v>136224178.59</v>
      </c>
      <c r="X21" s="11">
        <v>2.299082621071E-2</v>
      </c>
      <c r="Y21" s="11">
        <v>0.15</v>
      </c>
      <c r="Z21" s="11">
        <v>0.127</v>
      </c>
      <c r="AA21" s="22" t="s">
        <v>26</v>
      </c>
      <c r="AB21" s="22" t="s">
        <v>26</v>
      </c>
      <c r="AC21" s="22" t="s">
        <v>26</v>
      </c>
      <c r="AD21" s="22" t="s">
        <v>26</v>
      </c>
      <c r="AE21" s="10">
        <v>810970553.87</v>
      </c>
      <c r="AF21" s="11">
        <v>1.34245595763E-3</v>
      </c>
      <c r="AG21" s="11">
        <v>0.15</v>
      </c>
      <c r="AH21" s="11">
        <v>0.1487</v>
      </c>
      <c r="AI21" s="10">
        <v>8480916.3699999992</v>
      </c>
      <c r="AJ21" s="11">
        <v>5.2173703391000001E-4</v>
      </c>
      <c r="AK21" s="11">
        <v>0.15</v>
      </c>
      <c r="AL21" s="11">
        <v>0.14949999999999999</v>
      </c>
      <c r="AM21" s="1" t="s">
        <v>26</v>
      </c>
      <c r="AN21" s="1" t="s">
        <v>26</v>
      </c>
      <c r="AO21" s="1" t="s">
        <v>26</v>
      </c>
      <c r="AP21" s="1" t="s">
        <v>26</v>
      </c>
      <c r="AQ21" s="10">
        <v>8480916.3699999992</v>
      </c>
      <c r="AR21" s="11">
        <v>2.1435980391E-4</v>
      </c>
      <c r="AS21" s="11">
        <v>0.15</v>
      </c>
      <c r="AT21" s="11">
        <v>0.14979999999999999</v>
      </c>
      <c r="AU21" s="10">
        <v>182959683.94</v>
      </c>
      <c r="AV21" s="11">
        <v>4.3102808054599996E-3</v>
      </c>
      <c r="AW21" s="11">
        <v>0.15</v>
      </c>
      <c r="AX21" s="11">
        <v>0.1457</v>
      </c>
      <c r="AY21" s="10">
        <v>1002411154.1799999</v>
      </c>
      <c r="AZ21" s="11">
        <v>1.46101515236E-3</v>
      </c>
      <c r="BA21" s="11">
        <v>0.15</v>
      </c>
      <c r="BB21" s="11">
        <v>0.14849999999999999</v>
      </c>
    </row>
    <row r="22" spans="1:56" s="7" customFormat="1">
      <c r="A22" s="3" t="s">
        <v>38</v>
      </c>
      <c r="B22" s="31" t="s">
        <v>39</v>
      </c>
      <c r="C22" s="22" t="s">
        <v>26</v>
      </c>
      <c r="D22" s="22" t="s">
        <v>26</v>
      </c>
      <c r="E22" s="22" t="s">
        <v>26</v>
      </c>
      <c r="F22" s="22" t="s">
        <v>26</v>
      </c>
      <c r="G22" s="22" t="s">
        <v>26</v>
      </c>
      <c r="H22" s="22" t="s">
        <v>26</v>
      </c>
      <c r="I22" s="22" t="s">
        <v>26</v>
      </c>
      <c r="J22" s="22" t="s">
        <v>26</v>
      </c>
      <c r="K22" s="2">
        <v>16064021.33</v>
      </c>
      <c r="L22" s="1">
        <v>1</v>
      </c>
      <c r="M22" s="22" t="s">
        <v>26</v>
      </c>
      <c r="N22" s="22" t="s">
        <v>26</v>
      </c>
      <c r="O22" s="2">
        <v>328819639.91000003</v>
      </c>
      <c r="P22" s="1">
        <v>1</v>
      </c>
      <c r="Q22" s="1" t="s">
        <v>26</v>
      </c>
      <c r="R22" s="1" t="s">
        <v>26</v>
      </c>
      <c r="S22" s="2">
        <v>329862714.04000002</v>
      </c>
      <c r="T22" s="1">
        <v>1</v>
      </c>
      <c r="U22" s="1" t="s">
        <v>26</v>
      </c>
      <c r="V22" s="1" t="s">
        <v>26</v>
      </c>
      <c r="W22" s="2">
        <v>136224178.59</v>
      </c>
      <c r="X22" s="1">
        <v>1</v>
      </c>
      <c r="Y22" s="22" t="s">
        <v>26</v>
      </c>
      <c r="Z22" s="22" t="s">
        <v>26</v>
      </c>
      <c r="AA22" s="22" t="s">
        <v>26</v>
      </c>
      <c r="AB22" s="22" t="s">
        <v>26</v>
      </c>
      <c r="AC22" s="22" t="s">
        <v>26</v>
      </c>
      <c r="AD22" s="22" t="s">
        <v>26</v>
      </c>
      <c r="AE22" s="2">
        <v>810970553.87</v>
      </c>
      <c r="AF22" s="1">
        <v>1</v>
      </c>
      <c r="AG22" s="22" t="s">
        <v>26</v>
      </c>
      <c r="AH22" s="22" t="s">
        <v>26</v>
      </c>
      <c r="AI22" s="2">
        <v>8480916.3699999992</v>
      </c>
      <c r="AJ22" s="1">
        <v>1</v>
      </c>
      <c r="AK22" s="1" t="s">
        <v>25</v>
      </c>
      <c r="AL22" s="1" t="s">
        <v>25</v>
      </c>
      <c r="AM22" s="1" t="s">
        <v>26</v>
      </c>
      <c r="AN22" s="1" t="s">
        <v>26</v>
      </c>
      <c r="AO22" s="1" t="s">
        <v>26</v>
      </c>
      <c r="AP22" s="1" t="s">
        <v>26</v>
      </c>
      <c r="AQ22" s="2">
        <v>8480916.3699999992</v>
      </c>
      <c r="AR22" s="1">
        <v>1</v>
      </c>
      <c r="AS22" s="1" t="s">
        <v>25</v>
      </c>
      <c r="AT22" s="1" t="s">
        <v>25</v>
      </c>
      <c r="AU22" s="2">
        <v>182959683.94</v>
      </c>
      <c r="AV22" s="1">
        <v>1</v>
      </c>
      <c r="AW22" s="1" t="s">
        <v>26</v>
      </c>
      <c r="AX22" s="1" t="s">
        <v>26</v>
      </c>
      <c r="AY22" s="2">
        <v>1002411154.1799999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42</v>
      </c>
      <c r="B23" s="24" t="s">
        <v>25</v>
      </c>
      <c r="C23" s="10">
        <v>138611909.5</v>
      </c>
      <c r="D23" s="11">
        <v>2.501045155912E-2</v>
      </c>
      <c r="E23" s="11">
        <v>0.13500000000000001</v>
      </c>
      <c r="F23" s="11">
        <v>0.11</v>
      </c>
      <c r="G23" s="22" t="s">
        <v>26</v>
      </c>
      <c r="H23" s="22" t="s">
        <v>26</v>
      </c>
      <c r="I23" s="22" t="s">
        <v>26</v>
      </c>
      <c r="J23" s="22" t="s">
        <v>26</v>
      </c>
      <c r="K23" s="10">
        <v>33360273.530000001</v>
      </c>
      <c r="L23" s="11">
        <v>1.2452079427150001E-2</v>
      </c>
      <c r="M23" s="11">
        <v>0.13500000000000001</v>
      </c>
      <c r="N23" s="11">
        <v>0.1225</v>
      </c>
      <c r="O23" s="22" t="s">
        <v>26</v>
      </c>
      <c r="P23" s="22" t="s">
        <v>26</v>
      </c>
      <c r="Q23" s="22" t="s">
        <v>26</v>
      </c>
      <c r="R23" s="22" t="s">
        <v>26</v>
      </c>
      <c r="S23" s="22" t="s">
        <v>26</v>
      </c>
      <c r="T23" s="22" t="s">
        <v>26</v>
      </c>
      <c r="U23" s="22" t="s">
        <v>26</v>
      </c>
      <c r="V23" s="22" t="s">
        <v>26</v>
      </c>
      <c r="W23" s="22" t="s">
        <v>26</v>
      </c>
      <c r="X23" s="22" t="s">
        <v>26</v>
      </c>
      <c r="Y23" s="22" t="s">
        <v>26</v>
      </c>
      <c r="Z23" s="22" t="s">
        <v>26</v>
      </c>
      <c r="AA23" s="22" t="s">
        <v>26</v>
      </c>
      <c r="AB23" s="22" t="s">
        <v>26</v>
      </c>
      <c r="AC23" s="22" t="s">
        <v>26</v>
      </c>
      <c r="AD23" s="22" t="s">
        <v>26</v>
      </c>
      <c r="AE23" s="10">
        <v>171972183.03</v>
      </c>
      <c r="AF23" s="11">
        <v>2.8467751456000002E-4</v>
      </c>
      <c r="AG23" s="11">
        <v>0.13500000000000001</v>
      </c>
      <c r="AH23" s="11">
        <v>0.13469999999999999</v>
      </c>
      <c r="AI23" s="1" t="s">
        <v>26</v>
      </c>
      <c r="AJ23" s="1" t="s">
        <v>26</v>
      </c>
      <c r="AK23" s="1" t="s">
        <v>26</v>
      </c>
      <c r="AL23" s="1" t="s">
        <v>26</v>
      </c>
      <c r="AM23" s="1" t="s">
        <v>26</v>
      </c>
      <c r="AN23" s="1" t="s">
        <v>26</v>
      </c>
      <c r="AO23" s="1" t="s">
        <v>26</v>
      </c>
      <c r="AP23" s="1" t="s">
        <v>26</v>
      </c>
      <c r="AQ23" s="1" t="s">
        <v>26</v>
      </c>
      <c r="AR23" s="1" t="s">
        <v>26</v>
      </c>
      <c r="AS23" s="1" t="s">
        <v>26</v>
      </c>
      <c r="AT23" s="1" t="s">
        <v>26</v>
      </c>
      <c r="AU23" s="1" t="s">
        <v>26</v>
      </c>
      <c r="AV23" s="1" t="s">
        <v>26</v>
      </c>
      <c r="AW23" s="1" t="s">
        <v>26</v>
      </c>
      <c r="AX23" s="1" t="s">
        <v>26</v>
      </c>
      <c r="AY23" s="10">
        <v>171972183.03</v>
      </c>
      <c r="AZ23" s="11">
        <v>2.5064961033999998E-4</v>
      </c>
      <c r="BA23" s="11">
        <v>0.13500000000000001</v>
      </c>
      <c r="BB23" s="11">
        <v>0.13469999999999999</v>
      </c>
    </row>
    <row r="24" spans="1:56" s="7" customFormat="1">
      <c r="A24" s="3" t="s">
        <v>38</v>
      </c>
      <c r="B24" s="31" t="s">
        <v>43</v>
      </c>
      <c r="C24" s="2">
        <v>138611909.5</v>
      </c>
      <c r="D24" s="1">
        <v>1</v>
      </c>
      <c r="E24" s="22" t="s">
        <v>26</v>
      </c>
      <c r="F24" s="22" t="s">
        <v>26</v>
      </c>
      <c r="G24" s="22" t="s">
        <v>26</v>
      </c>
      <c r="H24" s="22" t="s">
        <v>26</v>
      </c>
      <c r="I24" s="22" t="s">
        <v>26</v>
      </c>
      <c r="J24" s="22" t="s">
        <v>26</v>
      </c>
      <c r="K24" s="2">
        <v>33360273.530000001</v>
      </c>
      <c r="L24" s="1">
        <v>1</v>
      </c>
      <c r="M24" s="22" t="s">
        <v>26</v>
      </c>
      <c r="N24" s="22" t="s">
        <v>26</v>
      </c>
      <c r="O24" s="22" t="s">
        <v>26</v>
      </c>
      <c r="P24" s="22" t="s">
        <v>26</v>
      </c>
      <c r="Q24" s="22" t="s">
        <v>26</v>
      </c>
      <c r="R24" s="22" t="s">
        <v>26</v>
      </c>
      <c r="S24" s="22" t="s">
        <v>26</v>
      </c>
      <c r="T24" s="22" t="s">
        <v>26</v>
      </c>
      <c r="U24" s="22" t="s">
        <v>26</v>
      </c>
      <c r="V24" s="22" t="s">
        <v>26</v>
      </c>
      <c r="W24" s="22" t="s">
        <v>26</v>
      </c>
      <c r="X24" s="22" t="s">
        <v>26</v>
      </c>
      <c r="Y24" s="22" t="s">
        <v>26</v>
      </c>
      <c r="Z24" s="22" t="s">
        <v>26</v>
      </c>
      <c r="AA24" s="22" t="s">
        <v>26</v>
      </c>
      <c r="AB24" s="22" t="s">
        <v>26</v>
      </c>
      <c r="AC24" s="22" t="s">
        <v>26</v>
      </c>
      <c r="AD24" s="22" t="s">
        <v>26</v>
      </c>
      <c r="AE24" s="2">
        <v>171972183.03</v>
      </c>
      <c r="AF24" s="1">
        <v>1</v>
      </c>
      <c r="AG24" s="22" t="s">
        <v>26</v>
      </c>
      <c r="AH24" s="22" t="s">
        <v>26</v>
      </c>
      <c r="AI24" s="1" t="s">
        <v>26</v>
      </c>
      <c r="AJ24" s="1" t="s">
        <v>26</v>
      </c>
      <c r="AK24" s="1" t="s">
        <v>26</v>
      </c>
      <c r="AL24" s="1" t="s">
        <v>26</v>
      </c>
      <c r="AM24" s="1" t="s">
        <v>26</v>
      </c>
      <c r="AN24" s="1" t="s">
        <v>26</v>
      </c>
      <c r="AO24" s="1" t="s">
        <v>26</v>
      </c>
      <c r="AP24" s="1" t="s">
        <v>26</v>
      </c>
      <c r="AQ24" s="1" t="s">
        <v>26</v>
      </c>
      <c r="AR24" s="1" t="s">
        <v>26</v>
      </c>
      <c r="AS24" s="1" t="s">
        <v>26</v>
      </c>
      <c r="AT24" s="1" t="s">
        <v>26</v>
      </c>
      <c r="AU24" s="1" t="s">
        <v>26</v>
      </c>
      <c r="AV24" s="1" t="s">
        <v>26</v>
      </c>
      <c r="AW24" s="1" t="s">
        <v>26</v>
      </c>
      <c r="AX24" s="1" t="s">
        <v>26</v>
      </c>
      <c r="AY24" s="2">
        <v>171972183.03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44</v>
      </c>
      <c r="B25" s="24" t="s">
        <v>25</v>
      </c>
      <c r="C25" s="10">
        <v>20813688.199999999</v>
      </c>
      <c r="D25" s="11">
        <v>3.7555195824800001E-3</v>
      </c>
      <c r="E25" s="11">
        <v>0.13500000000000001</v>
      </c>
      <c r="F25" s="11">
        <v>0.13120000000000001</v>
      </c>
      <c r="G25" s="10">
        <v>1300855512.5</v>
      </c>
      <c r="H25" s="11">
        <v>9.1656584654900009E-3</v>
      </c>
      <c r="I25" s="11">
        <v>0.13500000000000001</v>
      </c>
      <c r="J25" s="11">
        <v>0.1258</v>
      </c>
      <c r="K25" s="22" t="s">
        <v>26</v>
      </c>
      <c r="L25" s="22" t="s">
        <v>26</v>
      </c>
      <c r="M25" s="22" t="s">
        <v>26</v>
      </c>
      <c r="N25" s="22" t="s">
        <v>26</v>
      </c>
      <c r="O25" s="10">
        <v>6572727569.6599998</v>
      </c>
      <c r="P25" s="11">
        <v>3.107685156484E-2</v>
      </c>
      <c r="Q25" s="11">
        <v>0.14699999999999999</v>
      </c>
      <c r="R25" s="11">
        <v>0.1159</v>
      </c>
      <c r="S25" s="10">
        <v>2352389583.8899999</v>
      </c>
      <c r="T25" s="11">
        <v>2.2204125743090001E-2</v>
      </c>
      <c r="U25" s="11">
        <v>0.1454</v>
      </c>
      <c r="V25" s="11">
        <v>0.1232</v>
      </c>
      <c r="W25" s="10">
        <v>221725688.78</v>
      </c>
      <c r="X25" s="11">
        <v>3.7421086549789997E-2</v>
      </c>
      <c r="Y25" s="11">
        <v>0.15</v>
      </c>
      <c r="Z25" s="11">
        <v>0.11260000000000001</v>
      </c>
      <c r="AA25" s="10">
        <v>2681159889.46</v>
      </c>
      <c r="AB25" s="11">
        <v>2.0532976062239999E-2</v>
      </c>
      <c r="AC25" s="11">
        <v>0.05</v>
      </c>
      <c r="AD25" s="11">
        <v>2.9499999999999998E-2</v>
      </c>
      <c r="AE25" s="10">
        <v>13149671932.49</v>
      </c>
      <c r="AF25" s="11">
        <v>2.1767566457789999E-2</v>
      </c>
      <c r="AG25" s="11">
        <v>0.14480000000000001</v>
      </c>
      <c r="AH25" s="11">
        <v>0.123</v>
      </c>
      <c r="AI25" s="10">
        <v>391688677.99000001</v>
      </c>
      <c r="AJ25" s="11">
        <v>2.4096274524669999E-2</v>
      </c>
      <c r="AK25" s="11">
        <v>0.15</v>
      </c>
      <c r="AL25" s="11">
        <v>0.12590000000000001</v>
      </c>
      <c r="AM25" s="10">
        <v>425453984.88999999</v>
      </c>
      <c r="AN25" s="11">
        <v>1.8252953124499999E-2</v>
      </c>
      <c r="AO25" s="11">
        <v>0.15</v>
      </c>
      <c r="AP25" s="11">
        <v>0.13170000000000001</v>
      </c>
      <c r="AQ25" s="10">
        <v>817142662.88</v>
      </c>
      <c r="AR25" s="11">
        <v>2.0653728128229999E-2</v>
      </c>
      <c r="AS25" s="11">
        <v>0.15</v>
      </c>
      <c r="AT25" s="11">
        <v>0.1293</v>
      </c>
      <c r="AU25" s="10">
        <v>938452589.82000005</v>
      </c>
      <c r="AV25" s="11">
        <v>2.210866403802E-2</v>
      </c>
      <c r="AW25" s="11">
        <v>0.1409</v>
      </c>
      <c r="AX25" s="11">
        <v>0.1188</v>
      </c>
      <c r="AY25" s="10">
        <v>14905267185.190001</v>
      </c>
      <c r="AZ25" s="11">
        <v>2.1724440232620001E-2</v>
      </c>
      <c r="BA25" s="11">
        <v>0.1449</v>
      </c>
      <c r="BB25" s="11">
        <v>0.1232</v>
      </c>
    </row>
    <row r="26" spans="1:56" s="7" customFormat="1">
      <c r="A26" s="3" t="s">
        <v>36</v>
      </c>
      <c r="B26" s="31" t="s">
        <v>37</v>
      </c>
      <c r="C26" s="2">
        <v>20813688.199999999</v>
      </c>
      <c r="D26" s="1">
        <v>1</v>
      </c>
      <c r="E26" s="22" t="s">
        <v>26</v>
      </c>
      <c r="F26" s="22" t="s">
        <v>26</v>
      </c>
      <c r="G26" s="2">
        <v>1300855512.5</v>
      </c>
      <c r="H26" s="1">
        <v>1</v>
      </c>
      <c r="I26" s="22" t="s">
        <v>26</v>
      </c>
      <c r="J26" s="22" t="s">
        <v>26</v>
      </c>
      <c r="K26" s="22" t="s">
        <v>26</v>
      </c>
      <c r="L26" s="22" t="s">
        <v>26</v>
      </c>
      <c r="M26" s="22" t="s">
        <v>26</v>
      </c>
      <c r="N26" s="22" t="s">
        <v>26</v>
      </c>
      <c r="O26" s="2">
        <v>1300855512.5</v>
      </c>
      <c r="P26" s="1">
        <v>0.19791715063695001</v>
      </c>
      <c r="Q26" s="1" t="s">
        <v>25</v>
      </c>
      <c r="R26" s="1" t="s">
        <v>25</v>
      </c>
      <c r="S26" s="2">
        <v>728479087</v>
      </c>
      <c r="T26" s="1">
        <v>0.30967620839205001</v>
      </c>
      <c r="U26" s="1" t="s">
        <v>26</v>
      </c>
      <c r="V26" s="1" t="s">
        <v>26</v>
      </c>
      <c r="W26" s="22" t="s">
        <v>26</v>
      </c>
      <c r="X26" s="22" t="s">
        <v>26</v>
      </c>
      <c r="Y26" s="22" t="s">
        <v>26</v>
      </c>
      <c r="Z26" s="22" t="s">
        <v>26</v>
      </c>
      <c r="AA26" s="2">
        <v>1169729276.8399999</v>
      </c>
      <c r="AB26" s="1">
        <v>0.43627732961333998</v>
      </c>
      <c r="AC26" s="22" t="s">
        <v>26</v>
      </c>
      <c r="AD26" s="22" t="s">
        <v>26</v>
      </c>
      <c r="AE26" s="2">
        <v>4520733077.04</v>
      </c>
      <c r="AF26" s="1">
        <v>0.34379055996600999</v>
      </c>
      <c r="AG26" s="22" t="s">
        <v>26</v>
      </c>
      <c r="AH26" s="22" t="s">
        <v>26</v>
      </c>
      <c r="AI26" s="1" t="s">
        <v>26</v>
      </c>
      <c r="AJ26" s="1" t="s">
        <v>26</v>
      </c>
      <c r="AK26" s="1" t="s">
        <v>26</v>
      </c>
      <c r="AL26" s="1" t="s">
        <v>26</v>
      </c>
      <c r="AM26" s="1" t="s">
        <v>26</v>
      </c>
      <c r="AN26" s="1" t="s">
        <v>26</v>
      </c>
      <c r="AO26" s="1" t="s">
        <v>26</v>
      </c>
      <c r="AP26" s="1" t="s">
        <v>26</v>
      </c>
      <c r="AQ26" s="1" t="s">
        <v>26</v>
      </c>
      <c r="AR26" s="1" t="s">
        <v>26</v>
      </c>
      <c r="AS26" s="1" t="s">
        <v>26</v>
      </c>
      <c r="AT26" s="1" t="s">
        <v>26</v>
      </c>
      <c r="AU26" s="2">
        <v>572376425.5</v>
      </c>
      <c r="AV26" s="1">
        <v>0.60991512166829998</v>
      </c>
      <c r="AW26" s="1" t="s">
        <v>26</v>
      </c>
      <c r="AX26" s="1" t="s">
        <v>26</v>
      </c>
      <c r="AY26" s="2">
        <v>5093109502.54</v>
      </c>
      <c r="AZ26" s="1">
        <v>0.34169863842497999</v>
      </c>
      <c r="BA26" s="1" t="s">
        <v>26</v>
      </c>
      <c r="BB26" s="1" t="s">
        <v>26</v>
      </c>
    </row>
    <row r="27" spans="1:56" s="7" customFormat="1">
      <c r="A27" s="3" t="s">
        <v>38</v>
      </c>
      <c r="B27" s="31" t="s">
        <v>39</v>
      </c>
      <c r="C27" s="22" t="s">
        <v>26</v>
      </c>
      <c r="D27" s="22" t="s">
        <v>26</v>
      </c>
      <c r="E27" s="22" t="s">
        <v>26</v>
      </c>
      <c r="F27" s="22" t="s">
        <v>26</v>
      </c>
      <c r="G27" s="22" t="s">
        <v>26</v>
      </c>
      <c r="H27" s="22" t="s">
        <v>26</v>
      </c>
      <c r="I27" s="22" t="s">
        <v>26</v>
      </c>
      <c r="J27" s="22" t="s">
        <v>26</v>
      </c>
      <c r="K27" s="22" t="s">
        <v>26</v>
      </c>
      <c r="L27" s="22" t="s">
        <v>26</v>
      </c>
      <c r="M27" s="22" t="s">
        <v>26</v>
      </c>
      <c r="N27" s="22" t="s">
        <v>26</v>
      </c>
      <c r="O27" s="2">
        <v>5271872057.1599998</v>
      </c>
      <c r="P27" s="1">
        <v>0.80208284936304997</v>
      </c>
      <c r="Q27" s="1" t="s">
        <v>25</v>
      </c>
      <c r="R27" s="1" t="s">
        <v>25</v>
      </c>
      <c r="S27" s="2">
        <v>1623910496.8900001</v>
      </c>
      <c r="T27" s="1">
        <v>0.69032379160794999</v>
      </c>
      <c r="U27" s="1" t="s">
        <v>26</v>
      </c>
      <c r="V27" s="1" t="s">
        <v>26</v>
      </c>
      <c r="W27" s="2">
        <v>221725688.78</v>
      </c>
      <c r="X27" s="1">
        <v>1</v>
      </c>
      <c r="Y27" s="22" t="s">
        <v>26</v>
      </c>
      <c r="Z27" s="22" t="s">
        <v>26</v>
      </c>
      <c r="AA27" s="2">
        <v>1511430612.6199999</v>
      </c>
      <c r="AB27" s="1">
        <v>0.56372267038666002</v>
      </c>
      <c r="AC27" s="22" t="s">
        <v>26</v>
      </c>
      <c r="AD27" s="22" t="s">
        <v>26</v>
      </c>
      <c r="AE27" s="2">
        <v>8628938855.4500008</v>
      </c>
      <c r="AF27" s="1">
        <v>0.65620944003398995</v>
      </c>
      <c r="AG27" s="22" t="s">
        <v>26</v>
      </c>
      <c r="AH27" s="22" t="s">
        <v>26</v>
      </c>
      <c r="AI27" s="2">
        <v>391688677.99000001</v>
      </c>
      <c r="AJ27" s="1">
        <v>1</v>
      </c>
      <c r="AK27" s="1" t="s">
        <v>26</v>
      </c>
      <c r="AL27" s="1" t="s">
        <v>26</v>
      </c>
      <c r="AM27" s="2">
        <v>425453984.88999999</v>
      </c>
      <c r="AN27" s="1">
        <v>1</v>
      </c>
      <c r="AO27" s="1" t="s">
        <v>26</v>
      </c>
      <c r="AP27" s="1" t="s">
        <v>26</v>
      </c>
      <c r="AQ27" s="2">
        <v>817142662.88</v>
      </c>
      <c r="AR27" s="1">
        <v>1</v>
      </c>
      <c r="AS27" s="1" t="s">
        <v>26</v>
      </c>
      <c r="AT27" s="1" t="s">
        <v>26</v>
      </c>
      <c r="AU27" s="2">
        <v>366076164.31999999</v>
      </c>
      <c r="AV27" s="1">
        <v>0.39008487833170002</v>
      </c>
      <c r="AW27" s="1" t="s">
        <v>26</v>
      </c>
      <c r="AX27" s="1" t="s">
        <v>26</v>
      </c>
      <c r="AY27" s="2">
        <v>9812157682.6499996</v>
      </c>
      <c r="AZ27" s="1">
        <v>0.65830136157501995</v>
      </c>
      <c r="BA27" s="1" t="s">
        <v>26</v>
      </c>
      <c r="BB27" s="1" t="s">
        <v>26</v>
      </c>
    </row>
    <row r="28" spans="1:56" s="7" customFormat="1">
      <c r="A28" s="5" t="s">
        <v>45</v>
      </c>
      <c r="B28" s="24" t="s">
        <v>25</v>
      </c>
      <c r="C28" s="10">
        <v>33063556.84</v>
      </c>
      <c r="D28" s="11">
        <v>5.9658256617500004E-3</v>
      </c>
      <c r="E28" s="11">
        <v>0.09</v>
      </c>
      <c r="F28" s="11">
        <v>8.4000000000000005E-2</v>
      </c>
      <c r="G28" s="10">
        <v>40184938.299999997</v>
      </c>
      <c r="H28" s="11">
        <v>2.8313783995999997E-4</v>
      </c>
      <c r="I28" s="11">
        <v>0.09</v>
      </c>
      <c r="J28" s="11">
        <v>8.9700000000000002E-2</v>
      </c>
      <c r="K28" s="22" t="s">
        <v>26</v>
      </c>
      <c r="L28" s="22" t="s">
        <v>26</v>
      </c>
      <c r="M28" s="22" t="s">
        <v>26</v>
      </c>
      <c r="N28" s="22" t="s">
        <v>26</v>
      </c>
      <c r="O28" s="22" t="s">
        <v>26</v>
      </c>
      <c r="P28" s="22" t="s">
        <v>26</v>
      </c>
      <c r="Q28" s="22" t="s">
        <v>26</v>
      </c>
      <c r="R28" s="22" t="s">
        <v>26</v>
      </c>
      <c r="S28" s="10">
        <v>52902305.609999999</v>
      </c>
      <c r="T28" s="11">
        <v>4.9934307391000005E-4</v>
      </c>
      <c r="U28" s="11">
        <v>0.1134</v>
      </c>
      <c r="V28" s="11">
        <v>0.1129</v>
      </c>
      <c r="W28" s="22" t="s">
        <v>26</v>
      </c>
      <c r="X28" s="22" t="s">
        <v>26</v>
      </c>
      <c r="Y28" s="22" t="s">
        <v>26</v>
      </c>
      <c r="Z28" s="22" t="s">
        <v>26</v>
      </c>
      <c r="AA28" s="10">
        <v>35606907.380000003</v>
      </c>
      <c r="AB28" s="11">
        <v>2.7268637718000003E-4</v>
      </c>
      <c r="AC28" s="11">
        <v>0.09</v>
      </c>
      <c r="AD28" s="11">
        <v>8.9700000000000002E-2</v>
      </c>
      <c r="AE28" s="10">
        <v>161757708.13</v>
      </c>
      <c r="AF28" s="11">
        <v>2.6776878388000002E-4</v>
      </c>
      <c r="AG28" s="11">
        <v>9.7600000000000006E-2</v>
      </c>
      <c r="AH28" s="11">
        <v>9.7299999999999998E-2</v>
      </c>
      <c r="AI28" s="1" t="s">
        <v>26</v>
      </c>
      <c r="AJ28" s="1" t="s">
        <v>26</v>
      </c>
      <c r="AK28" s="1" t="s">
        <v>26</v>
      </c>
      <c r="AL28" s="1" t="s">
        <v>26</v>
      </c>
      <c r="AM28" s="10">
        <v>214866855.68000001</v>
      </c>
      <c r="AN28" s="11">
        <v>9.2182816098200001E-3</v>
      </c>
      <c r="AO28" s="11">
        <v>0.13500000000000001</v>
      </c>
      <c r="AP28" s="11">
        <v>0.1258</v>
      </c>
      <c r="AQ28" s="10">
        <v>214866855.68000001</v>
      </c>
      <c r="AR28" s="11">
        <v>5.4308774006999998E-3</v>
      </c>
      <c r="AS28" s="11">
        <v>0.13500000000000001</v>
      </c>
      <c r="AT28" s="11">
        <v>0.12959999999999999</v>
      </c>
      <c r="AU28" s="1" t="s">
        <v>26</v>
      </c>
      <c r="AV28" s="1" t="s">
        <v>26</v>
      </c>
      <c r="AW28" s="1" t="s">
        <v>26</v>
      </c>
      <c r="AX28" s="1" t="s">
        <v>26</v>
      </c>
      <c r="AY28" s="10">
        <v>376624563.81</v>
      </c>
      <c r="AZ28" s="11">
        <v>5.4893063807000004E-4</v>
      </c>
      <c r="BA28" s="11">
        <v>0.11899999999999999</v>
      </c>
      <c r="BB28" s="11">
        <v>0.11849999999999999</v>
      </c>
    </row>
    <row r="29" spans="1:56" s="7" customFormat="1">
      <c r="A29" s="3" t="s">
        <v>36</v>
      </c>
      <c r="B29" s="31" t="s">
        <v>46</v>
      </c>
      <c r="C29" s="2">
        <v>33063556.84</v>
      </c>
      <c r="D29" s="1">
        <v>1</v>
      </c>
      <c r="E29" s="22" t="s">
        <v>26</v>
      </c>
      <c r="F29" s="22" t="s">
        <v>26</v>
      </c>
      <c r="G29" s="2">
        <v>40184938.299999997</v>
      </c>
      <c r="H29" s="1">
        <v>1</v>
      </c>
      <c r="I29" s="22" t="s">
        <v>26</v>
      </c>
      <c r="J29" s="22" t="s">
        <v>26</v>
      </c>
      <c r="K29" s="22" t="s">
        <v>26</v>
      </c>
      <c r="L29" s="22" t="s">
        <v>26</v>
      </c>
      <c r="M29" s="22" t="s">
        <v>26</v>
      </c>
      <c r="N29" s="22" t="s">
        <v>26</v>
      </c>
      <c r="O29" s="22" t="s">
        <v>26</v>
      </c>
      <c r="P29" s="22" t="s">
        <v>26</v>
      </c>
      <c r="Q29" s="22" t="s">
        <v>26</v>
      </c>
      <c r="R29" s="22" t="s">
        <v>26</v>
      </c>
      <c r="S29" s="2">
        <v>25433505.289999999</v>
      </c>
      <c r="T29" s="1">
        <v>0.48076364530305998</v>
      </c>
      <c r="U29" s="1" t="s">
        <v>26</v>
      </c>
      <c r="V29" s="1" t="s">
        <v>26</v>
      </c>
      <c r="W29" s="22" t="s">
        <v>26</v>
      </c>
      <c r="X29" s="22" t="s">
        <v>26</v>
      </c>
      <c r="Y29" s="22" t="s">
        <v>26</v>
      </c>
      <c r="Z29" s="22" t="s">
        <v>26</v>
      </c>
      <c r="AA29" s="2">
        <v>35606907.380000003</v>
      </c>
      <c r="AB29" s="1">
        <v>1</v>
      </c>
      <c r="AC29" s="22" t="s">
        <v>26</v>
      </c>
      <c r="AD29" s="22" t="s">
        <v>26</v>
      </c>
      <c r="AE29" s="2">
        <v>134288907.81</v>
      </c>
      <c r="AF29" s="1">
        <v>0.83018552477311003</v>
      </c>
      <c r="AG29" s="22" t="s">
        <v>26</v>
      </c>
      <c r="AH29" s="22" t="s">
        <v>26</v>
      </c>
      <c r="AI29" s="1" t="s">
        <v>26</v>
      </c>
      <c r="AJ29" s="1" t="s">
        <v>26</v>
      </c>
      <c r="AK29" s="1" t="s">
        <v>26</v>
      </c>
      <c r="AL29" s="1" t="s">
        <v>26</v>
      </c>
      <c r="AM29" s="1" t="s">
        <v>26</v>
      </c>
      <c r="AN29" s="1" t="s">
        <v>26</v>
      </c>
      <c r="AO29" s="1" t="s">
        <v>26</v>
      </c>
      <c r="AP29" s="1" t="s">
        <v>26</v>
      </c>
      <c r="AQ29" s="1" t="s">
        <v>26</v>
      </c>
      <c r="AR29" s="1" t="s">
        <v>26</v>
      </c>
      <c r="AS29" s="1" t="s">
        <v>26</v>
      </c>
      <c r="AT29" s="1" t="s">
        <v>26</v>
      </c>
      <c r="AU29" s="1" t="s">
        <v>26</v>
      </c>
      <c r="AV29" s="1" t="s">
        <v>26</v>
      </c>
      <c r="AW29" s="1" t="s">
        <v>26</v>
      </c>
      <c r="AX29" s="1" t="s">
        <v>26</v>
      </c>
      <c r="AY29" s="2">
        <v>134288907.81</v>
      </c>
      <c r="AZ29" s="1">
        <v>0.35655907955527</v>
      </c>
      <c r="BA29" s="1" t="s">
        <v>26</v>
      </c>
      <c r="BB29" s="1" t="s">
        <v>26</v>
      </c>
    </row>
    <row r="30" spans="1:56" s="7" customFormat="1">
      <c r="A30" s="3" t="s">
        <v>38</v>
      </c>
      <c r="B30" s="31" t="s">
        <v>43</v>
      </c>
      <c r="C30" s="22" t="s">
        <v>26</v>
      </c>
      <c r="D30" s="22" t="s">
        <v>26</v>
      </c>
      <c r="E30" s="22" t="s">
        <v>26</v>
      </c>
      <c r="F30" s="22" t="s">
        <v>26</v>
      </c>
      <c r="G30" s="22" t="s">
        <v>26</v>
      </c>
      <c r="H30" s="22" t="s">
        <v>26</v>
      </c>
      <c r="I30" s="22" t="s">
        <v>26</v>
      </c>
      <c r="J30" s="22" t="s">
        <v>26</v>
      </c>
      <c r="K30" s="22" t="s">
        <v>26</v>
      </c>
      <c r="L30" s="22" t="s">
        <v>26</v>
      </c>
      <c r="M30" s="22" t="s">
        <v>26</v>
      </c>
      <c r="N30" s="22" t="s">
        <v>26</v>
      </c>
      <c r="O30" s="22" t="s">
        <v>26</v>
      </c>
      <c r="P30" s="22" t="s">
        <v>26</v>
      </c>
      <c r="Q30" s="22" t="s">
        <v>26</v>
      </c>
      <c r="R30" s="22" t="s">
        <v>26</v>
      </c>
      <c r="S30" s="2">
        <v>27468800.32</v>
      </c>
      <c r="T30" s="1">
        <v>0.51923635469693996</v>
      </c>
      <c r="U30" s="1" t="s">
        <v>26</v>
      </c>
      <c r="V30" s="1" t="s">
        <v>26</v>
      </c>
      <c r="W30" s="22" t="s">
        <v>26</v>
      </c>
      <c r="X30" s="22" t="s">
        <v>26</v>
      </c>
      <c r="Y30" s="22" t="s">
        <v>26</v>
      </c>
      <c r="Z30" s="22" t="s">
        <v>26</v>
      </c>
      <c r="AA30" s="22" t="s">
        <v>26</v>
      </c>
      <c r="AB30" s="22" t="s">
        <v>26</v>
      </c>
      <c r="AC30" s="22" t="s">
        <v>26</v>
      </c>
      <c r="AD30" s="22" t="s">
        <v>26</v>
      </c>
      <c r="AE30" s="2">
        <v>27468800.32</v>
      </c>
      <c r="AF30" s="1">
        <v>0.16981447522689</v>
      </c>
      <c r="AG30" s="22" t="s">
        <v>26</v>
      </c>
      <c r="AH30" s="22" t="s">
        <v>26</v>
      </c>
      <c r="AI30" s="1" t="s">
        <v>26</v>
      </c>
      <c r="AJ30" s="1" t="s">
        <v>26</v>
      </c>
      <c r="AK30" s="1" t="s">
        <v>26</v>
      </c>
      <c r="AL30" s="1" t="s">
        <v>26</v>
      </c>
      <c r="AM30" s="2">
        <v>214866855.68000001</v>
      </c>
      <c r="AN30" s="1">
        <v>1</v>
      </c>
      <c r="AO30" s="1" t="s">
        <v>26</v>
      </c>
      <c r="AP30" s="1" t="s">
        <v>26</v>
      </c>
      <c r="AQ30" s="2">
        <v>214866855.68000001</v>
      </c>
      <c r="AR30" s="1">
        <v>1</v>
      </c>
      <c r="AS30" s="1" t="s">
        <v>26</v>
      </c>
      <c r="AT30" s="1" t="s">
        <v>26</v>
      </c>
      <c r="AU30" s="1" t="s">
        <v>26</v>
      </c>
      <c r="AV30" s="1" t="s">
        <v>26</v>
      </c>
      <c r="AW30" s="1" t="s">
        <v>26</v>
      </c>
      <c r="AX30" s="1" t="s">
        <v>26</v>
      </c>
      <c r="AY30" s="2">
        <v>242335656</v>
      </c>
      <c r="AZ30" s="1">
        <v>0.64344092044473</v>
      </c>
      <c r="BA30" s="1" t="s">
        <v>26</v>
      </c>
      <c r="BB30" s="1" t="s">
        <v>26</v>
      </c>
    </row>
    <row r="31" spans="1:56" s="7" customFormat="1">
      <c r="A31" s="5" t="s">
        <v>47</v>
      </c>
      <c r="B31" s="24" t="s">
        <v>25</v>
      </c>
      <c r="C31" s="22" t="s">
        <v>26</v>
      </c>
      <c r="D31" s="22" t="s">
        <v>26</v>
      </c>
      <c r="E31" s="22" t="s">
        <v>26</v>
      </c>
      <c r="F31" s="22" t="s">
        <v>26</v>
      </c>
      <c r="G31" s="22" t="s">
        <v>26</v>
      </c>
      <c r="H31" s="22" t="s">
        <v>26</v>
      </c>
      <c r="I31" s="22" t="s">
        <v>26</v>
      </c>
      <c r="J31" s="22" t="s">
        <v>26</v>
      </c>
      <c r="K31" s="10">
        <v>22226712.350000001</v>
      </c>
      <c r="L31" s="11">
        <v>8.2963584617400006E-3</v>
      </c>
      <c r="M31" s="11">
        <v>0.13500000000000001</v>
      </c>
      <c r="N31" s="11">
        <v>0.12670000000000001</v>
      </c>
      <c r="O31" s="22" t="s">
        <v>26</v>
      </c>
      <c r="P31" s="22" t="s">
        <v>26</v>
      </c>
      <c r="Q31" s="22" t="s">
        <v>26</v>
      </c>
      <c r="R31" s="22" t="s">
        <v>26</v>
      </c>
      <c r="S31" s="22" t="s">
        <v>26</v>
      </c>
      <c r="T31" s="22" t="s">
        <v>26</v>
      </c>
      <c r="U31" s="22" t="s">
        <v>26</v>
      </c>
      <c r="V31" s="22" t="s">
        <v>26</v>
      </c>
      <c r="W31" s="22" t="s">
        <v>26</v>
      </c>
      <c r="X31" s="22" t="s">
        <v>26</v>
      </c>
      <c r="Y31" s="22" t="s">
        <v>26</v>
      </c>
      <c r="Z31" s="22" t="s">
        <v>26</v>
      </c>
      <c r="AA31" s="22" t="s">
        <v>26</v>
      </c>
      <c r="AB31" s="22" t="s">
        <v>26</v>
      </c>
      <c r="AC31" s="22" t="s">
        <v>26</v>
      </c>
      <c r="AD31" s="22" t="s">
        <v>26</v>
      </c>
      <c r="AE31" s="10">
        <v>22226712.350000001</v>
      </c>
      <c r="AF31" s="11">
        <v>3.6793422729999997E-5</v>
      </c>
      <c r="AG31" s="11">
        <v>0.13500000000000001</v>
      </c>
      <c r="AH31" s="11">
        <v>0.13500000000000001</v>
      </c>
      <c r="AI31" s="10">
        <v>3063003.92</v>
      </c>
      <c r="AJ31" s="11">
        <v>1.8843277193E-4</v>
      </c>
      <c r="AK31" s="11">
        <v>0.13500000000000001</v>
      </c>
      <c r="AL31" s="11">
        <v>0.1348</v>
      </c>
      <c r="AM31" s="1" t="s">
        <v>26</v>
      </c>
      <c r="AN31" s="1" t="s">
        <v>26</v>
      </c>
      <c r="AO31" s="1" t="s">
        <v>26</v>
      </c>
      <c r="AP31" s="1" t="s">
        <v>26</v>
      </c>
      <c r="AQ31" s="10">
        <v>3063003.92</v>
      </c>
      <c r="AR31" s="11">
        <v>7.7419100840000004E-5</v>
      </c>
      <c r="AS31" s="11">
        <v>0.13500000000000001</v>
      </c>
      <c r="AT31" s="11">
        <v>0.13489999999999999</v>
      </c>
      <c r="AU31" s="1" t="s">
        <v>26</v>
      </c>
      <c r="AV31" s="1" t="s">
        <v>26</v>
      </c>
      <c r="AW31" s="1" t="s">
        <v>26</v>
      </c>
      <c r="AX31" s="1" t="s">
        <v>26</v>
      </c>
      <c r="AY31" s="10">
        <v>25289716.27</v>
      </c>
      <c r="AZ31" s="11">
        <v>3.6859784050000001E-5</v>
      </c>
      <c r="BA31" s="11">
        <v>0.13500000000000001</v>
      </c>
      <c r="BB31" s="11">
        <v>0.13500000000000001</v>
      </c>
    </row>
    <row r="32" spans="1:56" s="7" customFormat="1">
      <c r="A32" s="3" t="s">
        <v>38</v>
      </c>
      <c r="B32" s="31" t="s">
        <v>43</v>
      </c>
      <c r="C32" s="22" t="s">
        <v>26</v>
      </c>
      <c r="D32" s="22" t="s">
        <v>26</v>
      </c>
      <c r="E32" s="22" t="s">
        <v>26</v>
      </c>
      <c r="F32" s="22" t="s">
        <v>26</v>
      </c>
      <c r="G32" s="22" t="s">
        <v>26</v>
      </c>
      <c r="H32" s="22" t="s">
        <v>26</v>
      </c>
      <c r="I32" s="22" t="s">
        <v>26</v>
      </c>
      <c r="J32" s="22" t="s">
        <v>26</v>
      </c>
      <c r="K32" s="2">
        <v>22226712.350000001</v>
      </c>
      <c r="L32" s="1">
        <v>1</v>
      </c>
      <c r="M32" s="22" t="s">
        <v>26</v>
      </c>
      <c r="N32" s="22" t="s">
        <v>26</v>
      </c>
      <c r="O32" s="22" t="s">
        <v>26</v>
      </c>
      <c r="P32" s="22" t="s">
        <v>26</v>
      </c>
      <c r="Q32" s="22" t="s">
        <v>26</v>
      </c>
      <c r="R32" s="22" t="s">
        <v>26</v>
      </c>
      <c r="S32" s="22" t="s">
        <v>26</v>
      </c>
      <c r="T32" s="22" t="s">
        <v>26</v>
      </c>
      <c r="U32" s="22" t="s">
        <v>26</v>
      </c>
      <c r="V32" s="22" t="s">
        <v>26</v>
      </c>
      <c r="W32" s="22" t="s">
        <v>26</v>
      </c>
      <c r="X32" s="22" t="s">
        <v>26</v>
      </c>
      <c r="Y32" s="22" t="s">
        <v>26</v>
      </c>
      <c r="Z32" s="22" t="s">
        <v>26</v>
      </c>
      <c r="AA32" s="22" t="s">
        <v>26</v>
      </c>
      <c r="AB32" s="22" t="s">
        <v>26</v>
      </c>
      <c r="AC32" s="22" t="s">
        <v>26</v>
      </c>
      <c r="AD32" s="22" t="s">
        <v>26</v>
      </c>
      <c r="AE32" s="2">
        <v>22226712.350000001</v>
      </c>
      <c r="AF32" s="1">
        <v>1</v>
      </c>
      <c r="AG32" s="22" t="s">
        <v>26</v>
      </c>
      <c r="AH32" s="22" t="s">
        <v>26</v>
      </c>
      <c r="AI32" s="2">
        <v>3063003.92</v>
      </c>
      <c r="AJ32" s="1">
        <v>1</v>
      </c>
      <c r="AK32" s="1" t="s">
        <v>26</v>
      </c>
      <c r="AL32" s="1" t="s">
        <v>26</v>
      </c>
      <c r="AM32" s="1" t="s">
        <v>26</v>
      </c>
      <c r="AN32" s="1" t="s">
        <v>26</v>
      </c>
      <c r="AO32" s="1" t="s">
        <v>26</v>
      </c>
      <c r="AP32" s="1" t="s">
        <v>26</v>
      </c>
      <c r="AQ32" s="2">
        <v>3063003.92</v>
      </c>
      <c r="AR32" s="1">
        <v>1</v>
      </c>
      <c r="AS32" s="1" t="s">
        <v>26</v>
      </c>
      <c r="AT32" s="1" t="s">
        <v>26</v>
      </c>
      <c r="AU32" s="2" t="s">
        <v>25</v>
      </c>
      <c r="AV32" s="1" t="s">
        <v>25</v>
      </c>
      <c r="AW32" s="1" t="s">
        <v>25</v>
      </c>
      <c r="AX32" s="1" t="s">
        <v>25</v>
      </c>
      <c r="AY32" s="2">
        <v>25289716.27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48</v>
      </c>
      <c r="B33" s="24" t="s">
        <v>25</v>
      </c>
      <c r="C33" s="22" t="s">
        <v>26</v>
      </c>
      <c r="D33" s="22" t="s">
        <v>26</v>
      </c>
      <c r="E33" s="22" t="s">
        <v>26</v>
      </c>
      <c r="F33" s="22" t="s">
        <v>26</v>
      </c>
      <c r="G33" s="22" t="s">
        <v>26</v>
      </c>
      <c r="H33" s="22" t="s">
        <v>26</v>
      </c>
      <c r="I33" s="22" t="s">
        <v>26</v>
      </c>
      <c r="J33" s="22" t="s">
        <v>26</v>
      </c>
      <c r="K33" s="10">
        <v>44174192.07</v>
      </c>
      <c r="L33" s="11">
        <v>1.6488490353389999E-2</v>
      </c>
      <c r="M33" s="11">
        <v>0.13500000000000001</v>
      </c>
      <c r="N33" s="11">
        <v>0.11849999999999999</v>
      </c>
      <c r="O33" s="22" t="s">
        <v>26</v>
      </c>
      <c r="P33" s="22" t="s">
        <v>26</v>
      </c>
      <c r="Q33" s="22" t="s">
        <v>26</v>
      </c>
      <c r="R33" s="22" t="s">
        <v>26</v>
      </c>
      <c r="S33" s="10">
        <v>100000000.17</v>
      </c>
      <c r="T33" s="11">
        <v>9.4389662038999996E-4</v>
      </c>
      <c r="U33" s="11">
        <v>0.13500000000000001</v>
      </c>
      <c r="V33" s="11">
        <v>0.1341</v>
      </c>
      <c r="W33" s="22" t="s">
        <v>26</v>
      </c>
      <c r="X33" s="22" t="s">
        <v>26</v>
      </c>
      <c r="Y33" s="22" t="s">
        <v>26</v>
      </c>
      <c r="Z33" s="22" t="s">
        <v>26</v>
      </c>
      <c r="AA33" s="22" t="s">
        <v>26</v>
      </c>
      <c r="AB33" s="22" t="s">
        <v>26</v>
      </c>
      <c r="AC33" s="22" t="s">
        <v>26</v>
      </c>
      <c r="AD33" s="22" t="s">
        <v>26</v>
      </c>
      <c r="AE33" s="10">
        <v>144174192.24000001</v>
      </c>
      <c r="AF33" s="11">
        <v>2.3866156715999999E-4</v>
      </c>
      <c r="AG33" s="11">
        <v>0.13500000000000001</v>
      </c>
      <c r="AH33" s="11">
        <v>0.1348</v>
      </c>
      <c r="AI33" s="1" t="s">
        <v>26</v>
      </c>
      <c r="AJ33" s="1" t="s">
        <v>26</v>
      </c>
      <c r="AK33" s="1" t="s">
        <v>26</v>
      </c>
      <c r="AL33" s="1" t="s">
        <v>26</v>
      </c>
      <c r="AM33" s="1" t="s">
        <v>26</v>
      </c>
      <c r="AN33" s="1" t="s">
        <v>26</v>
      </c>
      <c r="AO33" s="1" t="s">
        <v>26</v>
      </c>
      <c r="AP33" s="1" t="s">
        <v>26</v>
      </c>
      <c r="AQ33" s="1" t="s">
        <v>26</v>
      </c>
      <c r="AR33" s="1" t="s">
        <v>26</v>
      </c>
      <c r="AS33" s="1" t="s">
        <v>26</v>
      </c>
      <c r="AT33" s="1" t="s">
        <v>26</v>
      </c>
      <c r="AU33" s="1" t="s">
        <v>26</v>
      </c>
      <c r="AV33" s="1" t="s">
        <v>26</v>
      </c>
      <c r="AW33" s="1" t="s">
        <v>26</v>
      </c>
      <c r="AX33" s="1" t="s">
        <v>26</v>
      </c>
      <c r="AY33" s="10">
        <v>144174192.24000001</v>
      </c>
      <c r="AZ33" s="11">
        <v>2.1013401394000001E-4</v>
      </c>
      <c r="BA33" s="11">
        <v>0.13500000000000001</v>
      </c>
      <c r="BB33" s="11">
        <v>0.1348</v>
      </c>
    </row>
    <row r="34" spans="1:54" s="7" customFormat="1">
      <c r="A34" s="3" t="s">
        <v>38</v>
      </c>
      <c r="B34" s="31" t="s">
        <v>43</v>
      </c>
      <c r="C34" s="22" t="s">
        <v>26</v>
      </c>
      <c r="D34" s="22" t="s">
        <v>26</v>
      </c>
      <c r="E34" s="22" t="s">
        <v>26</v>
      </c>
      <c r="F34" s="22" t="s">
        <v>26</v>
      </c>
      <c r="G34" s="22" t="s">
        <v>26</v>
      </c>
      <c r="H34" s="22" t="s">
        <v>26</v>
      </c>
      <c r="I34" s="22" t="s">
        <v>26</v>
      </c>
      <c r="J34" s="22" t="s">
        <v>26</v>
      </c>
      <c r="K34" s="2">
        <v>44174192.07</v>
      </c>
      <c r="L34" s="1">
        <v>1</v>
      </c>
      <c r="M34" s="22" t="s">
        <v>26</v>
      </c>
      <c r="N34" s="22" t="s">
        <v>26</v>
      </c>
      <c r="O34" s="22" t="s">
        <v>26</v>
      </c>
      <c r="P34" s="22" t="s">
        <v>26</v>
      </c>
      <c r="Q34" s="22" t="s">
        <v>26</v>
      </c>
      <c r="R34" s="22" t="s">
        <v>26</v>
      </c>
      <c r="S34" s="2">
        <v>100000000.17</v>
      </c>
      <c r="T34" s="1">
        <v>1</v>
      </c>
      <c r="U34" s="1" t="s">
        <v>26</v>
      </c>
      <c r="V34" s="1" t="s">
        <v>26</v>
      </c>
      <c r="W34" s="22" t="s">
        <v>26</v>
      </c>
      <c r="X34" s="22" t="s">
        <v>26</v>
      </c>
      <c r="Y34" s="22" t="s">
        <v>26</v>
      </c>
      <c r="Z34" s="22" t="s">
        <v>26</v>
      </c>
      <c r="AA34" s="22" t="s">
        <v>26</v>
      </c>
      <c r="AB34" s="22" t="s">
        <v>26</v>
      </c>
      <c r="AC34" s="22" t="s">
        <v>26</v>
      </c>
      <c r="AD34" s="22" t="s">
        <v>26</v>
      </c>
      <c r="AE34" s="2">
        <v>144174192.24000001</v>
      </c>
      <c r="AF34" s="1">
        <v>1</v>
      </c>
      <c r="AG34" s="22" t="s">
        <v>26</v>
      </c>
      <c r="AH34" s="22" t="s">
        <v>26</v>
      </c>
      <c r="AI34" s="1" t="s">
        <v>26</v>
      </c>
      <c r="AJ34" s="1" t="s">
        <v>26</v>
      </c>
      <c r="AK34" s="1" t="s">
        <v>26</v>
      </c>
      <c r="AL34" s="1" t="s">
        <v>26</v>
      </c>
      <c r="AM34" s="1" t="s">
        <v>26</v>
      </c>
      <c r="AN34" s="1" t="s">
        <v>26</v>
      </c>
      <c r="AO34" s="1" t="s">
        <v>26</v>
      </c>
      <c r="AP34" s="1" t="s">
        <v>26</v>
      </c>
      <c r="AQ34" s="1" t="s">
        <v>26</v>
      </c>
      <c r="AR34" s="1" t="s">
        <v>26</v>
      </c>
      <c r="AS34" s="1" t="s">
        <v>26</v>
      </c>
      <c r="AT34" s="1" t="s">
        <v>26</v>
      </c>
      <c r="AU34" s="1" t="s">
        <v>26</v>
      </c>
      <c r="AV34" s="1" t="s">
        <v>26</v>
      </c>
      <c r="AW34" s="1" t="s">
        <v>26</v>
      </c>
      <c r="AX34" s="1" t="s">
        <v>26</v>
      </c>
      <c r="AY34" s="2">
        <v>144174192.24000001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49</v>
      </c>
      <c r="B35" s="24" t="s">
        <v>25</v>
      </c>
      <c r="C35" s="10">
        <v>8794810.8699999992</v>
      </c>
      <c r="D35" s="11">
        <v>1.58689243968E-3</v>
      </c>
      <c r="E35" s="11">
        <v>0.13500000000000001</v>
      </c>
      <c r="F35" s="11">
        <v>0.13339999999999999</v>
      </c>
      <c r="G35" s="10">
        <v>264438199.49000001</v>
      </c>
      <c r="H35" s="11">
        <v>1.86319710257E-3</v>
      </c>
      <c r="I35" s="11">
        <v>0.09</v>
      </c>
      <c r="J35" s="11">
        <v>8.8099999999999998E-2</v>
      </c>
      <c r="K35" s="10">
        <v>10598859.380000001</v>
      </c>
      <c r="L35" s="11">
        <v>3.9561377912099996E-3</v>
      </c>
      <c r="M35" s="11">
        <v>0.13500000000000001</v>
      </c>
      <c r="N35" s="11">
        <v>0.13100000000000001</v>
      </c>
      <c r="O35" s="10">
        <v>790593622.11000001</v>
      </c>
      <c r="P35" s="11">
        <v>3.7380464018999999E-3</v>
      </c>
      <c r="Q35" s="11">
        <v>0.1032</v>
      </c>
      <c r="R35" s="11">
        <v>9.9500000000000005E-2</v>
      </c>
      <c r="S35" s="10">
        <v>511066019.76999998</v>
      </c>
      <c r="T35" s="11">
        <v>4.8239348803899998E-3</v>
      </c>
      <c r="U35" s="11">
        <v>0.13500000000000001</v>
      </c>
      <c r="V35" s="11">
        <v>0.13020000000000001</v>
      </c>
      <c r="W35" s="22" t="s">
        <v>26</v>
      </c>
      <c r="X35" s="22" t="s">
        <v>26</v>
      </c>
      <c r="Y35" s="22" t="s">
        <v>26</v>
      </c>
      <c r="Z35" s="22" t="s">
        <v>26</v>
      </c>
      <c r="AA35" s="10">
        <v>558803807.30999994</v>
      </c>
      <c r="AB35" s="11">
        <v>4.2794557848200004E-3</v>
      </c>
      <c r="AC35" s="11">
        <v>0.09</v>
      </c>
      <c r="AD35" s="11">
        <v>8.5699999999999998E-2</v>
      </c>
      <c r="AE35" s="10">
        <v>2144295318.9300001</v>
      </c>
      <c r="AF35" s="11">
        <v>3.5496011687299999E-3</v>
      </c>
      <c r="AG35" s="11">
        <v>0.106</v>
      </c>
      <c r="AH35" s="11">
        <v>0.10249999999999999</v>
      </c>
      <c r="AI35" s="10">
        <v>51554885.5</v>
      </c>
      <c r="AJ35" s="11">
        <v>3.1716022032399998E-3</v>
      </c>
      <c r="AK35" s="11">
        <v>0.09</v>
      </c>
      <c r="AL35" s="11">
        <v>8.6800000000000002E-2</v>
      </c>
      <c r="AM35" s="10">
        <v>1835694148.9000001</v>
      </c>
      <c r="AN35" s="11">
        <v>7.8755495167009998E-2</v>
      </c>
      <c r="AO35" s="11">
        <v>0.13500000000000001</v>
      </c>
      <c r="AP35" s="11">
        <v>5.62E-2</v>
      </c>
      <c r="AQ35" s="10">
        <v>1887249034.4000001</v>
      </c>
      <c r="AR35" s="11">
        <v>4.770125247089E-2</v>
      </c>
      <c r="AS35" s="11">
        <v>0.1338</v>
      </c>
      <c r="AT35" s="11">
        <v>8.6099999999999996E-2</v>
      </c>
      <c r="AU35" s="10">
        <v>228560001.88999999</v>
      </c>
      <c r="AV35" s="11">
        <v>5.3845621495800002E-3</v>
      </c>
      <c r="AW35" s="11">
        <v>0.13500000000000001</v>
      </c>
      <c r="AX35" s="11">
        <v>0.12959999999999999</v>
      </c>
      <c r="AY35" s="10">
        <v>4260104355.2199998</v>
      </c>
      <c r="AZ35" s="11">
        <v>6.2091059019500003E-3</v>
      </c>
      <c r="BA35" s="11">
        <v>0.11990000000000001</v>
      </c>
      <c r="BB35" s="11">
        <v>0.1137</v>
      </c>
    </row>
    <row r="36" spans="1:54" s="7" customFormat="1">
      <c r="A36" s="3" t="s">
        <v>36</v>
      </c>
      <c r="B36" s="31" t="s">
        <v>46</v>
      </c>
      <c r="C36" s="22" t="s">
        <v>26</v>
      </c>
      <c r="D36" s="22" t="s">
        <v>26</v>
      </c>
      <c r="E36" s="22" t="s">
        <v>26</v>
      </c>
      <c r="F36" s="22" t="s">
        <v>26</v>
      </c>
      <c r="G36" s="2">
        <v>264438199.49000001</v>
      </c>
      <c r="H36" s="1">
        <v>1</v>
      </c>
      <c r="I36" s="22" t="s">
        <v>26</v>
      </c>
      <c r="J36" s="22" t="s">
        <v>26</v>
      </c>
      <c r="K36" s="22" t="s">
        <v>26</v>
      </c>
      <c r="L36" s="22" t="s">
        <v>26</v>
      </c>
      <c r="M36" s="22" t="s">
        <v>26</v>
      </c>
      <c r="N36" s="22" t="s">
        <v>26</v>
      </c>
      <c r="O36" s="2">
        <v>558803807.30999994</v>
      </c>
      <c r="P36" s="1">
        <v>0.70681547596933003</v>
      </c>
      <c r="Q36" s="22" t="s">
        <v>26</v>
      </c>
      <c r="R36" s="22" t="s">
        <v>26</v>
      </c>
      <c r="S36" s="1" t="s">
        <v>26</v>
      </c>
      <c r="T36" s="1" t="s">
        <v>26</v>
      </c>
      <c r="U36" s="1" t="s">
        <v>26</v>
      </c>
      <c r="V36" s="1" t="s">
        <v>26</v>
      </c>
      <c r="W36" s="22" t="s">
        <v>26</v>
      </c>
      <c r="X36" s="22" t="s">
        <v>26</v>
      </c>
      <c r="Y36" s="22" t="s">
        <v>26</v>
      </c>
      <c r="Z36" s="22" t="s">
        <v>26</v>
      </c>
      <c r="AA36" s="2">
        <v>558803807.30999994</v>
      </c>
      <c r="AB36" s="1">
        <v>1</v>
      </c>
      <c r="AC36" s="22" t="s">
        <v>26</v>
      </c>
      <c r="AD36" s="22" t="s">
        <v>26</v>
      </c>
      <c r="AE36" s="2">
        <v>1382045814.1099999</v>
      </c>
      <c r="AF36" s="1">
        <v>0.64452214296659005</v>
      </c>
      <c r="AG36" s="22" t="s">
        <v>26</v>
      </c>
      <c r="AH36" s="22" t="s">
        <v>26</v>
      </c>
      <c r="AI36" s="2">
        <v>51554885.5</v>
      </c>
      <c r="AJ36" s="1">
        <v>1</v>
      </c>
      <c r="AK36" s="1" t="s">
        <v>26</v>
      </c>
      <c r="AL36" s="1" t="s">
        <v>26</v>
      </c>
      <c r="AM36" s="1" t="s">
        <v>26</v>
      </c>
      <c r="AN36" s="1" t="s">
        <v>26</v>
      </c>
      <c r="AO36" s="1" t="s">
        <v>26</v>
      </c>
      <c r="AP36" s="1" t="s">
        <v>26</v>
      </c>
      <c r="AQ36" s="2">
        <v>51554885.5</v>
      </c>
      <c r="AR36" s="1">
        <v>2.7317478806600001E-2</v>
      </c>
      <c r="AS36" s="1" t="s">
        <v>26</v>
      </c>
      <c r="AT36" s="1" t="s">
        <v>26</v>
      </c>
      <c r="AU36" s="1" t="s">
        <v>26</v>
      </c>
      <c r="AV36" s="1" t="s">
        <v>26</v>
      </c>
      <c r="AW36" s="1" t="s">
        <v>26</v>
      </c>
      <c r="AX36" s="1" t="s">
        <v>26</v>
      </c>
      <c r="AY36" s="2">
        <v>1433600699.6099999</v>
      </c>
      <c r="AZ36" s="1">
        <v>0.33651774230679998</v>
      </c>
      <c r="BA36" s="1" t="s">
        <v>26</v>
      </c>
      <c r="BB36" s="1" t="s">
        <v>26</v>
      </c>
    </row>
    <row r="37" spans="1:54" s="7" customFormat="1">
      <c r="A37" s="3" t="s">
        <v>38</v>
      </c>
      <c r="B37" s="31" t="s">
        <v>43</v>
      </c>
      <c r="C37" s="2">
        <v>8794810.8699999992</v>
      </c>
      <c r="D37" s="1">
        <v>1</v>
      </c>
      <c r="E37" s="22" t="s">
        <v>26</v>
      </c>
      <c r="F37" s="22" t="s">
        <v>26</v>
      </c>
      <c r="G37" s="22" t="s">
        <v>26</v>
      </c>
      <c r="H37" s="22" t="s">
        <v>26</v>
      </c>
      <c r="I37" s="22" t="s">
        <v>26</v>
      </c>
      <c r="J37" s="22" t="s">
        <v>26</v>
      </c>
      <c r="K37" s="2">
        <v>10598859.380000001</v>
      </c>
      <c r="L37" s="1">
        <v>1</v>
      </c>
      <c r="M37" s="22" t="s">
        <v>26</v>
      </c>
      <c r="N37" s="22" t="s">
        <v>26</v>
      </c>
      <c r="O37" s="2">
        <v>231789814.80000001</v>
      </c>
      <c r="P37" s="1">
        <v>0.29318452403067002</v>
      </c>
      <c r="Q37" s="22" t="s">
        <v>26</v>
      </c>
      <c r="R37" s="22" t="s">
        <v>26</v>
      </c>
      <c r="S37" s="2">
        <v>511066019.76999998</v>
      </c>
      <c r="T37" s="1">
        <v>1</v>
      </c>
      <c r="U37" s="1" t="s">
        <v>26</v>
      </c>
      <c r="V37" s="1" t="s">
        <v>26</v>
      </c>
      <c r="W37" s="22" t="s">
        <v>26</v>
      </c>
      <c r="X37" s="22" t="s">
        <v>26</v>
      </c>
      <c r="Y37" s="22" t="s">
        <v>26</v>
      </c>
      <c r="Z37" s="22" t="s">
        <v>26</v>
      </c>
      <c r="AA37" s="22" t="s">
        <v>26</v>
      </c>
      <c r="AB37" s="22" t="s">
        <v>26</v>
      </c>
      <c r="AC37" s="22" t="s">
        <v>26</v>
      </c>
      <c r="AD37" s="22" t="s">
        <v>26</v>
      </c>
      <c r="AE37" s="2">
        <v>762249504.82000005</v>
      </c>
      <c r="AF37" s="1">
        <v>0.35547785703341001</v>
      </c>
      <c r="AG37" s="22" t="s">
        <v>26</v>
      </c>
      <c r="AH37" s="22" t="s">
        <v>26</v>
      </c>
      <c r="AI37" s="1" t="s">
        <v>26</v>
      </c>
      <c r="AJ37" s="1" t="s">
        <v>26</v>
      </c>
      <c r="AK37" s="1" t="s">
        <v>26</v>
      </c>
      <c r="AL37" s="1" t="s">
        <v>26</v>
      </c>
      <c r="AM37" s="2">
        <v>1835694148.9000001</v>
      </c>
      <c r="AN37" s="1">
        <v>1</v>
      </c>
      <c r="AO37" s="1" t="s">
        <v>26</v>
      </c>
      <c r="AP37" s="1" t="s">
        <v>26</v>
      </c>
      <c r="AQ37" s="2">
        <v>1835694148.9000001</v>
      </c>
      <c r="AR37" s="1">
        <v>0.97268252119340004</v>
      </c>
      <c r="AS37" s="1" t="s">
        <v>26</v>
      </c>
      <c r="AT37" s="1" t="s">
        <v>26</v>
      </c>
      <c r="AU37" s="2">
        <v>228560001.88999999</v>
      </c>
      <c r="AV37" s="1">
        <v>1</v>
      </c>
      <c r="AW37" s="1" t="s">
        <v>26</v>
      </c>
      <c r="AX37" s="1" t="s">
        <v>26</v>
      </c>
      <c r="AY37" s="2">
        <v>2826503655.6100001</v>
      </c>
      <c r="AZ37" s="1">
        <v>0.66348225769320002</v>
      </c>
      <c r="BA37" s="1" t="s">
        <v>26</v>
      </c>
      <c r="BB37" s="1" t="s">
        <v>26</v>
      </c>
    </row>
    <row r="38" spans="1:54" s="7" customFormat="1">
      <c r="A38" s="5" t="s">
        <v>50</v>
      </c>
      <c r="B38" s="24" t="s">
        <v>25</v>
      </c>
      <c r="C38" s="22" t="s">
        <v>26</v>
      </c>
      <c r="D38" s="22" t="s">
        <v>26</v>
      </c>
      <c r="E38" s="22" t="s">
        <v>26</v>
      </c>
      <c r="F38" s="22" t="s">
        <v>26</v>
      </c>
      <c r="G38" s="22" t="s">
        <v>26</v>
      </c>
      <c r="H38" s="22" t="s">
        <v>26</v>
      </c>
      <c r="I38" s="22" t="s">
        <v>26</v>
      </c>
      <c r="J38" s="22" t="s">
        <v>26</v>
      </c>
      <c r="K38" s="22" t="s">
        <v>26</v>
      </c>
      <c r="L38" s="22" t="s">
        <v>26</v>
      </c>
      <c r="M38" s="22" t="s">
        <v>26</v>
      </c>
      <c r="N38" s="22" t="s">
        <v>26</v>
      </c>
      <c r="O38" s="10">
        <v>100657946.91</v>
      </c>
      <c r="P38" s="11">
        <v>4.7592602033E-4</v>
      </c>
      <c r="Q38" s="11">
        <v>0.13500000000000001</v>
      </c>
      <c r="R38" s="11">
        <v>0.13450000000000001</v>
      </c>
      <c r="S38" s="10">
        <v>55110079.890000001</v>
      </c>
      <c r="T38" s="11">
        <v>5.2018218068999996E-4</v>
      </c>
      <c r="U38" s="11">
        <v>0.13500000000000001</v>
      </c>
      <c r="V38" s="11">
        <v>0.13450000000000001</v>
      </c>
      <c r="W38" s="22" t="s">
        <v>26</v>
      </c>
      <c r="X38" s="22" t="s">
        <v>26</v>
      </c>
      <c r="Y38" s="22" t="s">
        <v>26</v>
      </c>
      <c r="Z38" s="22" t="s">
        <v>26</v>
      </c>
      <c r="AA38" s="22" t="s">
        <v>26</v>
      </c>
      <c r="AB38" s="22" t="s">
        <v>26</v>
      </c>
      <c r="AC38" s="22" t="s">
        <v>26</v>
      </c>
      <c r="AD38" s="22" t="s">
        <v>26</v>
      </c>
      <c r="AE38" s="10">
        <v>155768026.80000001</v>
      </c>
      <c r="AF38" s="11">
        <v>2.5785364782000001E-4</v>
      </c>
      <c r="AG38" s="11">
        <v>0.13500000000000001</v>
      </c>
      <c r="AH38" s="11">
        <v>0.13469999999999999</v>
      </c>
      <c r="AI38" s="10">
        <v>97634025.239999995</v>
      </c>
      <c r="AJ38" s="11">
        <v>6.0063423002300002E-3</v>
      </c>
      <c r="AK38" s="11">
        <v>0.13500000000000001</v>
      </c>
      <c r="AL38" s="11">
        <v>0.129</v>
      </c>
      <c r="AM38" s="1" t="s">
        <v>26</v>
      </c>
      <c r="AN38" s="1" t="s">
        <v>26</v>
      </c>
      <c r="AO38" s="1" t="s">
        <v>26</v>
      </c>
      <c r="AP38" s="1" t="s">
        <v>26</v>
      </c>
      <c r="AQ38" s="10">
        <v>97634025.239999995</v>
      </c>
      <c r="AR38" s="11">
        <v>2.4677534352000002E-3</v>
      </c>
      <c r="AS38" s="11">
        <v>0.13500000000000001</v>
      </c>
      <c r="AT38" s="11">
        <v>0.13250000000000001</v>
      </c>
      <c r="AU38" s="10">
        <v>33944280.810000002</v>
      </c>
      <c r="AV38" s="11">
        <v>7.9968099462999999E-4</v>
      </c>
      <c r="AW38" s="11">
        <v>0.13500000000000001</v>
      </c>
      <c r="AX38" s="11">
        <v>0.13420000000000001</v>
      </c>
      <c r="AY38" s="10">
        <v>287346332.85000002</v>
      </c>
      <c r="AZ38" s="11">
        <v>4.1880753673000001E-4</v>
      </c>
      <c r="BA38" s="11">
        <v>0.13500000000000001</v>
      </c>
      <c r="BB38" s="11">
        <v>0.1346</v>
      </c>
    </row>
    <row r="39" spans="1:54" s="7" customFormat="1">
      <c r="A39" s="3" t="s">
        <v>38</v>
      </c>
      <c r="B39" s="31" t="s">
        <v>43</v>
      </c>
      <c r="C39" s="22" t="s">
        <v>26</v>
      </c>
      <c r="D39" s="22" t="s">
        <v>26</v>
      </c>
      <c r="E39" s="22" t="s">
        <v>26</v>
      </c>
      <c r="F39" s="22" t="s">
        <v>26</v>
      </c>
      <c r="G39" s="22" t="s">
        <v>26</v>
      </c>
      <c r="H39" s="22" t="s">
        <v>26</v>
      </c>
      <c r="I39" s="22" t="s">
        <v>26</v>
      </c>
      <c r="J39" s="22" t="s">
        <v>26</v>
      </c>
      <c r="K39" s="22" t="s">
        <v>26</v>
      </c>
      <c r="L39" s="22" t="s">
        <v>26</v>
      </c>
      <c r="M39" s="22" t="s">
        <v>26</v>
      </c>
      <c r="N39" s="22" t="s">
        <v>26</v>
      </c>
      <c r="O39" s="2">
        <v>100657946.91</v>
      </c>
      <c r="P39" s="1">
        <v>1</v>
      </c>
      <c r="Q39" s="22" t="s">
        <v>26</v>
      </c>
      <c r="R39" s="22" t="s">
        <v>26</v>
      </c>
      <c r="S39" s="2">
        <v>55110079.890000001</v>
      </c>
      <c r="T39" s="1">
        <v>1</v>
      </c>
      <c r="U39" s="1" t="s">
        <v>26</v>
      </c>
      <c r="V39" s="1" t="s">
        <v>26</v>
      </c>
      <c r="W39" s="22" t="s">
        <v>26</v>
      </c>
      <c r="X39" s="22" t="s">
        <v>26</v>
      </c>
      <c r="Y39" s="22" t="s">
        <v>26</v>
      </c>
      <c r="Z39" s="22" t="s">
        <v>26</v>
      </c>
      <c r="AA39" s="22" t="s">
        <v>26</v>
      </c>
      <c r="AB39" s="22" t="s">
        <v>26</v>
      </c>
      <c r="AC39" s="22" t="s">
        <v>26</v>
      </c>
      <c r="AD39" s="22" t="s">
        <v>26</v>
      </c>
      <c r="AE39" s="2">
        <v>155768026.80000001</v>
      </c>
      <c r="AF39" s="1">
        <v>1</v>
      </c>
      <c r="AG39" s="22" t="s">
        <v>26</v>
      </c>
      <c r="AH39" s="22" t="s">
        <v>26</v>
      </c>
      <c r="AI39" s="2">
        <v>97634025.239999995</v>
      </c>
      <c r="AJ39" s="1">
        <v>1</v>
      </c>
      <c r="AK39" s="1" t="s">
        <v>26</v>
      </c>
      <c r="AL39" s="1" t="s">
        <v>26</v>
      </c>
      <c r="AM39" s="1" t="s">
        <v>26</v>
      </c>
      <c r="AN39" s="1" t="s">
        <v>26</v>
      </c>
      <c r="AO39" s="1" t="s">
        <v>26</v>
      </c>
      <c r="AP39" s="1" t="s">
        <v>26</v>
      </c>
      <c r="AQ39" s="2">
        <v>97634025.239999995</v>
      </c>
      <c r="AR39" s="1">
        <v>1</v>
      </c>
      <c r="AS39" s="1" t="s">
        <v>26</v>
      </c>
      <c r="AT39" s="1" t="s">
        <v>26</v>
      </c>
      <c r="AU39" s="2">
        <v>33944280.810000002</v>
      </c>
      <c r="AV39" s="1">
        <v>1</v>
      </c>
      <c r="AW39" s="1" t="s">
        <v>26</v>
      </c>
      <c r="AX39" s="1" t="s">
        <v>26</v>
      </c>
      <c r="AY39" s="2">
        <v>287346332.85000002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51</v>
      </c>
      <c r="B40" s="24" t="s">
        <v>25</v>
      </c>
      <c r="C40" s="10">
        <v>24642855.170000002</v>
      </c>
      <c r="D40" s="11">
        <v>4.4464356470599996E-3</v>
      </c>
      <c r="E40" s="11">
        <v>0.13500000000000001</v>
      </c>
      <c r="F40" s="11">
        <v>0.13059999999999999</v>
      </c>
      <c r="G40" s="10">
        <v>2704398600</v>
      </c>
      <c r="H40" s="11">
        <v>1.905484020628E-2</v>
      </c>
      <c r="I40" s="11">
        <v>0.13500000000000001</v>
      </c>
      <c r="J40" s="11">
        <v>0.1159</v>
      </c>
      <c r="K40" s="22" t="s">
        <v>26</v>
      </c>
      <c r="L40" s="22" t="s">
        <v>26</v>
      </c>
      <c r="M40" s="22" t="s">
        <v>26</v>
      </c>
      <c r="N40" s="22" t="s">
        <v>26</v>
      </c>
      <c r="O40" s="10">
        <v>5480776554.8800001</v>
      </c>
      <c r="P40" s="11">
        <v>2.5913941761760002E-2</v>
      </c>
      <c r="Q40" s="11">
        <v>0.05</v>
      </c>
      <c r="R40" s="11">
        <v>2.41E-2</v>
      </c>
      <c r="S40" s="10">
        <v>8655622763.3999996</v>
      </c>
      <c r="T40" s="11">
        <v>8.1700130598910001E-2</v>
      </c>
      <c r="U40" s="11">
        <v>0.14630000000000001</v>
      </c>
      <c r="V40" s="11">
        <v>6.4600000000000005E-2</v>
      </c>
      <c r="W40" s="10">
        <v>510159047.73000002</v>
      </c>
      <c r="X40" s="11">
        <v>8.6100559589219999E-2</v>
      </c>
      <c r="Y40" s="11">
        <v>0.15</v>
      </c>
      <c r="Z40" s="11">
        <v>6.3899999999999998E-2</v>
      </c>
      <c r="AA40" s="10">
        <v>3954961320</v>
      </c>
      <c r="AB40" s="11">
        <v>3.0288057952039999E-2</v>
      </c>
      <c r="AC40" s="11">
        <v>0.13500000000000001</v>
      </c>
      <c r="AD40" s="11">
        <v>0.1047</v>
      </c>
      <c r="AE40" s="10">
        <v>21330561141.18</v>
      </c>
      <c r="AF40" s="11">
        <v>3.5309961313590002E-2</v>
      </c>
      <c r="AG40" s="11">
        <v>0.14050000000000001</v>
      </c>
      <c r="AH40" s="11">
        <v>0.1052</v>
      </c>
      <c r="AI40" s="10">
        <v>913058266.51999998</v>
      </c>
      <c r="AJ40" s="11">
        <v>5.6170381947189998E-2</v>
      </c>
      <c r="AK40" s="11">
        <v>0.14610000000000001</v>
      </c>
      <c r="AL40" s="11">
        <v>8.9899999999999994E-2</v>
      </c>
      <c r="AM40" s="10">
        <v>645101562.41999996</v>
      </c>
      <c r="AN40" s="11">
        <v>2.767633868193E-2</v>
      </c>
      <c r="AO40" s="11">
        <v>0.15</v>
      </c>
      <c r="AP40" s="11">
        <v>0.12230000000000001</v>
      </c>
      <c r="AQ40" s="10">
        <v>1558159828.9400001</v>
      </c>
      <c r="AR40" s="11">
        <v>3.938334265138E-2</v>
      </c>
      <c r="AS40" s="11">
        <v>0.1477</v>
      </c>
      <c r="AT40" s="11">
        <v>0.10829999999999999</v>
      </c>
      <c r="AU40" s="10">
        <v>1858669964.4400001</v>
      </c>
      <c r="AV40" s="11">
        <v>4.3787731257949998E-2</v>
      </c>
      <c r="AW40" s="11">
        <v>0.14099999999999999</v>
      </c>
      <c r="AX40" s="11">
        <v>9.7199999999999995E-2</v>
      </c>
      <c r="AY40" s="10">
        <v>24747390934.560001</v>
      </c>
      <c r="AZ40" s="11">
        <v>3.6069344386209998E-2</v>
      </c>
      <c r="BA40" s="11">
        <v>0.14099999999999999</v>
      </c>
      <c r="BB40" s="11">
        <v>0.10489999999999999</v>
      </c>
    </row>
    <row r="41" spans="1:54" s="7" customFormat="1">
      <c r="A41" s="3" t="s">
        <v>36</v>
      </c>
      <c r="B41" s="31" t="s">
        <v>37</v>
      </c>
      <c r="C41" s="2">
        <v>24642855.170000002</v>
      </c>
      <c r="D41" s="1">
        <v>1</v>
      </c>
      <c r="E41" s="22" t="s">
        <v>26</v>
      </c>
      <c r="F41" s="22" t="s">
        <v>26</v>
      </c>
      <c r="G41" s="2">
        <v>2704398600</v>
      </c>
      <c r="H41" s="1">
        <v>1</v>
      </c>
      <c r="I41" s="22" t="s">
        <v>26</v>
      </c>
      <c r="J41" s="22" t="s">
        <v>26</v>
      </c>
      <c r="K41" s="22" t="s">
        <v>26</v>
      </c>
      <c r="L41" s="22" t="s">
        <v>26</v>
      </c>
      <c r="M41" s="22" t="s">
        <v>26</v>
      </c>
      <c r="N41" s="22" t="s">
        <v>26</v>
      </c>
      <c r="O41" s="2">
        <v>4698509760.1899996</v>
      </c>
      <c r="P41" s="1">
        <v>0.85727081064935995</v>
      </c>
      <c r="Q41" s="22" t="s">
        <v>26</v>
      </c>
      <c r="R41" s="22" t="s">
        <v>26</v>
      </c>
      <c r="S41" s="2">
        <v>2164056549</v>
      </c>
      <c r="T41" s="1">
        <v>0.25001742891923001</v>
      </c>
      <c r="U41" s="1" t="s">
        <v>26</v>
      </c>
      <c r="V41" s="1" t="s">
        <v>26</v>
      </c>
      <c r="W41" s="22" t="s">
        <v>26</v>
      </c>
      <c r="X41" s="22" t="s">
        <v>26</v>
      </c>
      <c r="Y41" s="22" t="s">
        <v>26</v>
      </c>
      <c r="Z41" s="22" t="s">
        <v>26</v>
      </c>
      <c r="AA41" s="2">
        <v>3954961320</v>
      </c>
      <c r="AB41" s="1">
        <v>1</v>
      </c>
      <c r="AC41" s="22" t="s">
        <v>26</v>
      </c>
      <c r="AD41" s="22" t="s">
        <v>26</v>
      </c>
      <c r="AE41" s="2">
        <v>13546569084.360001</v>
      </c>
      <c r="AF41" s="1">
        <v>0.63507795199103001</v>
      </c>
      <c r="AG41" s="22" t="s">
        <v>26</v>
      </c>
      <c r="AH41" s="22" t="s">
        <v>26</v>
      </c>
      <c r="AI41" s="2">
        <v>240075029.59999999</v>
      </c>
      <c r="AJ41" s="1">
        <v>0.26293505946231999</v>
      </c>
      <c r="AK41" s="1" t="s">
        <v>26</v>
      </c>
      <c r="AL41" s="1" t="s">
        <v>26</v>
      </c>
      <c r="AM41" s="1" t="s">
        <v>26</v>
      </c>
      <c r="AN41" s="1" t="s">
        <v>26</v>
      </c>
      <c r="AO41" s="1" t="s">
        <v>26</v>
      </c>
      <c r="AP41" s="1" t="s">
        <v>26</v>
      </c>
      <c r="AQ41" s="2">
        <v>240075029.59999999</v>
      </c>
      <c r="AR41" s="1">
        <v>0.1540759973021</v>
      </c>
      <c r="AS41" s="1" t="s">
        <v>26</v>
      </c>
      <c r="AT41" s="1" t="s">
        <v>26</v>
      </c>
      <c r="AU41" s="2">
        <v>1110013283.8</v>
      </c>
      <c r="AV41" s="1">
        <v>0.59720838289569</v>
      </c>
      <c r="AW41" s="1" t="s">
        <v>26</v>
      </c>
      <c r="AX41" s="1" t="s">
        <v>26</v>
      </c>
      <c r="AY41" s="2">
        <v>14896657397.76</v>
      </c>
      <c r="AZ41" s="1">
        <v>0.60194860287096996</v>
      </c>
      <c r="BA41" s="1" t="s">
        <v>26</v>
      </c>
      <c r="BB41" s="1" t="s">
        <v>26</v>
      </c>
    </row>
    <row r="42" spans="1:54" s="7" customFormat="1">
      <c r="A42" s="3" t="s">
        <v>38</v>
      </c>
      <c r="B42" s="31" t="s">
        <v>39</v>
      </c>
      <c r="C42" s="22" t="s">
        <v>26</v>
      </c>
      <c r="D42" s="22" t="s">
        <v>26</v>
      </c>
      <c r="E42" s="22" t="s">
        <v>26</v>
      </c>
      <c r="F42" s="22" t="s">
        <v>26</v>
      </c>
      <c r="G42" s="22" t="s">
        <v>26</v>
      </c>
      <c r="H42" s="22" t="s">
        <v>26</v>
      </c>
      <c r="I42" s="22" t="s">
        <v>26</v>
      </c>
      <c r="J42" s="22" t="s">
        <v>26</v>
      </c>
      <c r="K42" s="22" t="s">
        <v>26</v>
      </c>
      <c r="L42" s="22" t="s">
        <v>26</v>
      </c>
      <c r="M42" s="22" t="s">
        <v>26</v>
      </c>
      <c r="N42" s="22" t="s">
        <v>26</v>
      </c>
      <c r="O42" s="2">
        <v>782266794.69000006</v>
      </c>
      <c r="P42" s="1">
        <v>0.14272918935064</v>
      </c>
      <c r="Q42" s="22" t="s">
        <v>26</v>
      </c>
      <c r="R42" s="22" t="s">
        <v>26</v>
      </c>
      <c r="S42" s="2">
        <v>6491566214.3999996</v>
      </c>
      <c r="T42" s="1">
        <v>0.74998257108077004</v>
      </c>
      <c r="U42" s="1" t="s">
        <v>26</v>
      </c>
      <c r="V42" s="1" t="s">
        <v>26</v>
      </c>
      <c r="W42" s="2">
        <v>510159047.73000002</v>
      </c>
      <c r="X42" s="1">
        <v>1</v>
      </c>
      <c r="Y42" s="22" t="s">
        <v>26</v>
      </c>
      <c r="Z42" s="22" t="s">
        <v>26</v>
      </c>
      <c r="AA42" s="22" t="s">
        <v>26</v>
      </c>
      <c r="AB42" s="22" t="s">
        <v>26</v>
      </c>
      <c r="AC42" s="22" t="s">
        <v>26</v>
      </c>
      <c r="AD42" s="22" t="s">
        <v>26</v>
      </c>
      <c r="AE42" s="2">
        <v>7783992056.8199997</v>
      </c>
      <c r="AF42" s="1">
        <v>0.36492204800896999</v>
      </c>
      <c r="AG42" s="22" t="s">
        <v>26</v>
      </c>
      <c r="AH42" s="22" t="s">
        <v>26</v>
      </c>
      <c r="AI42" s="2">
        <v>672983236.91999996</v>
      </c>
      <c r="AJ42" s="1">
        <v>0.73706494053768001</v>
      </c>
      <c r="AK42" s="1" t="s">
        <v>26</v>
      </c>
      <c r="AL42" s="1" t="s">
        <v>26</v>
      </c>
      <c r="AM42" s="2">
        <v>645101562.41999996</v>
      </c>
      <c r="AN42" s="1">
        <v>1</v>
      </c>
      <c r="AO42" s="1" t="s">
        <v>26</v>
      </c>
      <c r="AP42" s="1" t="s">
        <v>26</v>
      </c>
      <c r="AQ42" s="2">
        <v>1318084799.3399999</v>
      </c>
      <c r="AR42" s="1">
        <v>0.84592400269790002</v>
      </c>
      <c r="AS42" s="1" t="s">
        <v>26</v>
      </c>
      <c r="AT42" s="1" t="s">
        <v>26</v>
      </c>
      <c r="AU42" s="2">
        <v>748656680.63999999</v>
      </c>
      <c r="AV42" s="1">
        <v>0.40279161710431</v>
      </c>
      <c r="AW42" s="1" t="s">
        <v>26</v>
      </c>
      <c r="AX42" s="1" t="s">
        <v>26</v>
      </c>
      <c r="AY42" s="2">
        <v>9850733536.7999992</v>
      </c>
      <c r="AZ42" s="1">
        <v>0.39805139712902998</v>
      </c>
      <c r="BA42" s="1" t="s">
        <v>26</v>
      </c>
      <c r="BB42" s="1" t="s">
        <v>26</v>
      </c>
    </row>
    <row r="43" spans="1:54" s="7" customFormat="1">
      <c r="A43" s="5" t="s">
        <v>52</v>
      </c>
      <c r="B43" s="24" t="s">
        <v>25</v>
      </c>
      <c r="C43" s="22" t="s">
        <v>26</v>
      </c>
      <c r="D43" s="22" t="s">
        <v>26</v>
      </c>
      <c r="E43" s="22" t="s">
        <v>26</v>
      </c>
      <c r="F43" s="22" t="s">
        <v>26</v>
      </c>
      <c r="G43" s="22" t="s">
        <v>26</v>
      </c>
      <c r="H43" s="22" t="s">
        <v>26</v>
      </c>
      <c r="I43" s="22" t="s">
        <v>26</v>
      </c>
      <c r="J43" s="22" t="s">
        <v>26</v>
      </c>
      <c r="K43" s="10">
        <v>19633274.879999999</v>
      </c>
      <c r="L43" s="11">
        <v>7.3283301469699996E-3</v>
      </c>
      <c r="M43" s="11">
        <v>0.15</v>
      </c>
      <c r="N43" s="11">
        <v>0.14269999999999999</v>
      </c>
      <c r="O43" s="22" t="s">
        <v>26</v>
      </c>
      <c r="P43" s="22" t="s">
        <v>26</v>
      </c>
      <c r="Q43" s="22" t="s">
        <v>26</v>
      </c>
      <c r="R43" s="22" t="s">
        <v>26</v>
      </c>
      <c r="S43" s="22" t="s">
        <v>26</v>
      </c>
      <c r="T43" s="22" t="s">
        <v>26</v>
      </c>
      <c r="U43" s="22" t="s">
        <v>26</v>
      </c>
      <c r="V43" s="22" t="s">
        <v>26</v>
      </c>
      <c r="W43" s="22" t="s">
        <v>26</v>
      </c>
      <c r="X43" s="22" t="s">
        <v>26</v>
      </c>
      <c r="Y43" s="22" t="s">
        <v>26</v>
      </c>
      <c r="Z43" s="22" t="s">
        <v>26</v>
      </c>
      <c r="AA43" s="10">
        <v>181971502.31999999</v>
      </c>
      <c r="AB43" s="11">
        <v>1.3935821268400001E-3</v>
      </c>
      <c r="AC43" s="11">
        <v>0.15</v>
      </c>
      <c r="AD43" s="11">
        <v>0.14860000000000001</v>
      </c>
      <c r="AE43" s="10">
        <v>201604777.19999999</v>
      </c>
      <c r="AF43" s="11">
        <v>3.3373040852000002E-4</v>
      </c>
      <c r="AG43" s="11">
        <v>0.15</v>
      </c>
      <c r="AH43" s="11">
        <v>0.1497</v>
      </c>
      <c r="AI43" s="1" t="s">
        <v>26</v>
      </c>
      <c r="AJ43" s="1" t="s">
        <v>26</v>
      </c>
      <c r="AK43" s="1" t="s">
        <v>26</v>
      </c>
      <c r="AL43" s="1" t="s">
        <v>26</v>
      </c>
      <c r="AM43" s="10">
        <v>120338095.34999999</v>
      </c>
      <c r="AN43" s="11">
        <v>5.1627806802300004E-3</v>
      </c>
      <c r="AO43" s="11">
        <v>0.15</v>
      </c>
      <c r="AP43" s="11">
        <v>0.14480000000000001</v>
      </c>
      <c r="AQ43" s="10">
        <v>120338095.34999999</v>
      </c>
      <c r="AR43" s="11">
        <v>3.041611236E-3</v>
      </c>
      <c r="AS43" s="11">
        <v>0.15</v>
      </c>
      <c r="AT43" s="11">
        <v>0.14699999999999999</v>
      </c>
      <c r="AU43" s="1" t="s">
        <v>26</v>
      </c>
      <c r="AV43" s="1" t="s">
        <v>26</v>
      </c>
      <c r="AW43" s="1" t="s">
        <v>26</v>
      </c>
      <c r="AX43" s="1" t="s">
        <v>26</v>
      </c>
      <c r="AY43" s="10">
        <v>321942872.55000001</v>
      </c>
      <c r="AZ43" s="11">
        <v>4.6923202422999999E-4</v>
      </c>
      <c r="BA43" s="11">
        <v>0.15</v>
      </c>
      <c r="BB43" s="11">
        <v>0.14949999999999999</v>
      </c>
    </row>
    <row r="44" spans="1:54" s="7" customFormat="1">
      <c r="A44" s="3" t="s">
        <v>38</v>
      </c>
      <c r="B44" s="31" t="s">
        <v>39</v>
      </c>
      <c r="C44" s="22" t="s">
        <v>26</v>
      </c>
      <c r="D44" s="22" t="s">
        <v>26</v>
      </c>
      <c r="E44" s="22" t="s">
        <v>26</v>
      </c>
      <c r="F44" s="22" t="s">
        <v>26</v>
      </c>
      <c r="G44" s="22" t="s">
        <v>26</v>
      </c>
      <c r="H44" s="22" t="s">
        <v>26</v>
      </c>
      <c r="I44" s="22" t="s">
        <v>26</v>
      </c>
      <c r="J44" s="22" t="s">
        <v>26</v>
      </c>
      <c r="K44" s="2">
        <v>19633274.879999999</v>
      </c>
      <c r="L44" s="1">
        <v>1</v>
      </c>
      <c r="M44" s="22" t="s">
        <v>26</v>
      </c>
      <c r="N44" s="22" t="s">
        <v>26</v>
      </c>
      <c r="O44" s="22" t="s">
        <v>26</v>
      </c>
      <c r="P44" s="22" t="s">
        <v>26</v>
      </c>
      <c r="Q44" s="22" t="s">
        <v>26</v>
      </c>
      <c r="R44" s="22" t="s">
        <v>26</v>
      </c>
      <c r="S44" s="22" t="s">
        <v>26</v>
      </c>
      <c r="T44" s="22" t="s">
        <v>26</v>
      </c>
      <c r="U44" s="22" t="s">
        <v>26</v>
      </c>
      <c r="V44" s="22" t="s">
        <v>26</v>
      </c>
      <c r="W44" s="22" t="s">
        <v>26</v>
      </c>
      <c r="X44" s="22" t="s">
        <v>26</v>
      </c>
      <c r="Y44" s="22" t="s">
        <v>26</v>
      </c>
      <c r="Z44" s="22" t="s">
        <v>26</v>
      </c>
      <c r="AA44" s="2">
        <v>181971502.31999999</v>
      </c>
      <c r="AB44" s="1">
        <v>1</v>
      </c>
      <c r="AC44" s="22" t="s">
        <v>26</v>
      </c>
      <c r="AD44" s="22" t="s">
        <v>26</v>
      </c>
      <c r="AE44" s="2">
        <v>201604777.19999999</v>
      </c>
      <c r="AF44" s="1">
        <v>1</v>
      </c>
      <c r="AG44" s="22" t="s">
        <v>26</v>
      </c>
      <c r="AH44" s="22" t="s">
        <v>26</v>
      </c>
      <c r="AI44" s="1" t="s">
        <v>26</v>
      </c>
      <c r="AJ44" s="1" t="s">
        <v>26</v>
      </c>
      <c r="AK44" s="1" t="s">
        <v>26</v>
      </c>
      <c r="AL44" s="1" t="s">
        <v>26</v>
      </c>
      <c r="AM44" s="2">
        <v>120338095.34999999</v>
      </c>
      <c r="AN44" s="1">
        <v>1</v>
      </c>
      <c r="AO44" s="1" t="s">
        <v>26</v>
      </c>
      <c r="AP44" s="1" t="s">
        <v>26</v>
      </c>
      <c r="AQ44" s="2">
        <v>120338095.34999999</v>
      </c>
      <c r="AR44" s="1">
        <v>1</v>
      </c>
      <c r="AS44" s="1" t="s">
        <v>25</v>
      </c>
      <c r="AT44" s="1" t="s">
        <v>25</v>
      </c>
      <c r="AU44" s="1" t="s">
        <v>26</v>
      </c>
      <c r="AV44" s="1" t="s">
        <v>26</v>
      </c>
      <c r="AW44" s="1" t="s">
        <v>26</v>
      </c>
      <c r="AX44" s="1" t="s">
        <v>26</v>
      </c>
      <c r="AY44" s="2">
        <v>321942872.55000001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53</v>
      </c>
      <c r="B45" s="24" t="s">
        <v>25</v>
      </c>
      <c r="C45" s="22" t="s">
        <v>26</v>
      </c>
      <c r="D45" s="22" t="s">
        <v>26</v>
      </c>
      <c r="E45" s="22" t="s">
        <v>26</v>
      </c>
      <c r="F45" s="22" t="s">
        <v>26</v>
      </c>
      <c r="G45" s="22" t="s">
        <v>26</v>
      </c>
      <c r="H45" s="22" t="s">
        <v>26</v>
      </c>
      <c r="I45" s="22" t="s">
        <v>26</v>
      </c>
      <c r="J45" s="22" t="s">
        <v>26</v>
      </c>
      <c r="K45" s="22" t="s">
        <v>26</v>
      </c>
      <c r="L45" s="22" t="s">
        <v>26</v>
      </c>
      <c r="M45" s="22" t="s">
        <v>26</v>
      </c>
      <c r="N45" s="22" t="s">
        <v>26</v>
      </c>
      <c r="O45" s="10">
        <v>2598700144.48</v>
      </c>
      <c r="P45" s="11">
        <v>1.228704792578E-2</v>
      </c>
      <c r="Q45" s="11">
        <v>0.15</v>
      </c>
      <c r="R45" s="11">
        <v>0.13769999999999999</v>
      </c>
      <c r="S45" s="10">
        <v>705391768.87</v>
      </c>
      <c r="T45" s="11">
        <v>6.65816905558E-3</v>
      </c>
      <c r="U45" s="11">
        <v>0.15</v>
      </c>
      <c r="V45" s="11">
        <v>0.14330000000000001</v>
      </c>
      <c r="W45" s="22" t="s">
        <v>26</v>
      </c>
      <c r="X45" s="22" t="s">
        <v>26</v>
      </c>
      <c r="Y45" s="22" t="s">
        <v>26</v>
      </c>
      <c r="Z45" s="22" t="s">
        <v>26</v>
      </c>
      <c r="AA45" s="22" t="s">
        <v>26</v>
      </c>
      <c r="AB45" s="22" t="s">
        <v>26</v>
      </c>
      <c r="AC45" s="22" t="s">
        <v>26</v>
      </c>
      <c r="AD45" s="22" t="s">
        <v>26</v>
      </c>
      <c r="AE45" s="10">
        <v>3304091913.3499999</v>
      </c>
      <c r="AF45" s="11">
        <v>5.4694931307599998E-3</v>
      </c>
      <c r="AG45" s="11">
        <v>0.15</v>
      </c>
      <c r="AH45" s="11">
        <v>0.14449999999999999</v>
      </c>
      <c r="AI45" s="1" t="s">
        <v>26</v>
      </c>
      <c r="AJ45" s="1" t="s">
        <v>26</v>
      </c>
      <c r="AK45" s="1" t="s">
        <v>26</v>
      </c>
      <c r="AL45" s="1" t="s">
        <v>26</v>
      </c>
      <c r="AM45" s="1" t="s">
        <v>26</v>
      </c>
      <c r="AN45" s="1" t="s">
        <v>26</v>
      </c>
      <c r="AO45" s="1" t="s">
        <v>26</v>
      </c>
      <c r="AP45" s="1" t="s">
        <v>26</v>
      </c>
      <c r="AQ45" s="1" t="s">
        <v>26</v>
      </c>
      <c r="AR45" s="1" t="s">
        <v>26</v>
      </c>
      <c r="AS45" s="1" t="s">
        <v>26</v>
      </c>
      <c r="AT45" s="1" t="s">
        <v>26</v>
      </c>
      <c r="AU45" s="1" t="s">
        <v>26</v>
      </c>
      <c r="AV45" s="1" t="s">
        <v>26</v>
      </c>
      <c r="AW45" s="1" t="s">
        <v>26</v>
      </c>
      <c r="AX45" s="1" t="s">
        <v>26</v>
      </c>
      <c r="AY45" s="10">
        <v>3304091913.3499999</v>
      </c>
      <c r="AZ45" s="11">
        <v>4.8157169142200003E-3</v>
      </c>
      <c r="BA45" s="11">
        <v>0.15</v>
      </c>
      <c r="BB45" s="11">
        <v>0.1452</v>
      </c>
    </row>
    <row r="46" spans="1:54" s="7" customFormat="1">
      <c r="A46" s="3" t="s">
        <v>38</v>
      </c>
      <c r="B46" s="31" t="s">
        <v>39</v>
      </c>
      <c r="C46" s="22" t="s">
        <v>26</v>
      </c>
      <c r="D46" s="22" t="s">
        <v>26</v>
      </c>
      <c r="E46" s="22" t="s">
        <v>26</v>
      </c>
      <c r="F46" s="22" t="s">
        <v>26</v>
      </c>
      <c r="G46" s="22" t="s">
        <v>26</v>
      </c>
      <c r="H46" s="22" t="s">
        <v>26</v>
      </c>
      <c r="I46" s="22" t="s">
        <v>26</v>
      </c>
      <c r="J46" s="22" t="s">
        <v>26</v>
      </c>
      <c r="K46" s="22" t="s">
        <v>26</v>
      </c>
      <c r="L46" s="22" t="s">
        <v>26</v>
      </c>
      <c r="M46" s="22" t="s">
        <v>26</v>
      </c>
      <c r="N46" s="22" t="s">
        <v>26</v>
      </c>
      <c r="O46" s="2">
        <v>2598700144.48</v>
      </c>
      <c r="P46" s="1">
        <v>1</v>
      </c>
      <c r="Q46" s="22" t="s">
        <v>26</v>
      </c>
      <c r="R46" s="22" t="s">
        <v>26</v>
      </c>
      <c r="S46" s="2">
        <v>705391768.87</v>
      </c>
      <c r="T46" s="1">
        <v>1</v>
      </c>
      <c r="U46" s="1" t="s">
        <v>26</v>
      </c>
      <c r="V46" s="1" t="s">
        <v>26</v>
      </c>
      <c r="W46" s="22" t="s">
        <v>26</v>
      </c>
      <c r="X46" s="22" t="s">
        <v>26</v>
      </c>
      <c r="Y46" s="22" t="s">
        <v>26</v>
      </c>
      <c r="Z46" s="22" t="s">
        <v>26</v>
      </c>
      <c r="AA46" s="22" t="s">
        <v>26</v>
      </c>
      <c r="AB46" s="22" t="s">
        <v>26</v>
      </c>
      <c r="AC46" s="22" t="s">
        <v>26</v>
      </c>
      <c r="AD46" s="22" t="s">
        <v>26</v>
      </c>
      <c r="AE46" s="2">
        <v>3304091913.3499999</v>
      </c>
      <c r="AF46" s="1">
        <v>1</v>
      </c>
      <c r="AG46" s="1" t="s">
        <v>26</v>
      </c>
      <c r="AH46" s="1" t="s">
        <v>26</v>
      </c>
      <c r="AI46" s="1" t="s">
        <v>26</v>
      </c>
      <c r="AJ46" s="1" t="s">
        <v>26</v>
      </c>
      <c r="AK46" s="1" t="s">
        <v>26</v>
      </c>
      <c r="AL46" s="1" t="s">
        <v>26</v>
      </c>
      <c r="AM46" s="1" t="s">
        <v>26</v>
      </c>
      <c r="AN46" s="1" t="s">
        <v>26</v>
      </c>
      <c r="AO46" s="1" t="s">
        <v>26</v>
      </c>
      <c r="AP46" s="1" t="s">
        <v>26</v>
      </c>
      <c r="AQ46" s="1" t="s">
        <v>26</v>
      </c>
      <c r="AR46" s="1" t="s">
        <v>26</v>
      </c>
      <c r="AS46" s="1" t="s">
        <v>26</v>
      </c>
      <c r="AT46" s="1" t="s">
        <v>26</v>
      </c>
      <c r="AU46" s="1" t="s">
        <v>26</v>
      </c>
      <c r="AV46" s="1" t="s">
        <v>26</v>
      </c>
      <c r="AW46" s="1" t="s">
        <v>26</v>
      </c>
      <c r="AX46" s="1" t="s">
        <v>26</v>
      </c>
      <c r="AY46" s="2">
        <v>3304091913.3499999</v>
      </c>
      <c r="AZ46" s="1">
        <v>1</v>
      </c>
      <c r="BA46" s="1" t="s">
        <v>26</v>
      </c>
      <c r="BB46" s="1" t="s">
        <v>26</v>
      </c>
    </row>
    <row r="47" spans="1:54" s="8" customFormat="1">
      <c r="A47" s="13" t="s">
        <v>54</v>
      </c>
      <c r="B47" s="25" t="s">
        <v>25</v>
      </c>
      <c r="C47" s="55">
        <v>73588522.379999995</v>
      </c>
      <c r="D47" s="56">
        <v>1.327795123039E-2</v>
      </c>
      <c r="E47" s="56" t="s">
        <v>26</v>
      </c>
      <c r="F47" s="56" t="s">
        <v>26</v>
      </c>
      <c r="G47" s="55">
        <v>388537347.19999999</v>
      </c>
      <c r="H47" s="56">
        <v>2.7375835296899998E-3</v>
      </c>
      <c r="I47" s="56" t="s">
        <v>26</v>
      </c>
      <c r="J47" s="56" t="s">
        <v>26</v>
      </c>
      <c r="K47" s="55">
        <v>97572749.310000002</v>
      </c>
      <c r="L47" s="56">
        <v>3.6420073811489997E-2</v>
      </c>
      <c r="M47" s="56" t="s">
        <v>26</v>
      </c>
      <c r="N47" s="56" t="s">
        <v>26</v>
      </c>
      <c r="O47" s="55">
        <v>3704243086.7399998</v>
      </c>
      <c r="P47" s="56">
        <v>1.751422242085E-2</v>
      </c>
      <c r="Q47" s="56" t="s">
        <v>26</v>
      </c>
      <c r="R47" s="56" t="s">
        <v>26</v>
      </c>
      <c r="S47" s="55">
        <v>1999075214.3</v>
      </c>
      <c r="T47" s="56">
        <v>1.8869203354839999E-2</v>
      </c>
      <c r="U47" s="56" t="s">
        <v>26</v>
      </c>
      <c r="V47" s="56" t="s">
        <v>26</v>
      </c>
      <c r="W47" s="55">
        <v>116727925.06</v>
      </c>
      <c r="X47" s="56">
        <v>1.970040463278E-2</v>
      </c>
      <c r="Y47" s="56" t="s">
        <v>26</v>
      </c>
      <c r="Z47" s="56" t="s">
        <v>26</v>
      </c>
      <c r="AA47" s="55">
        <v>2584822679.0799999</v>
      </c>
      <c r="AB47" s="56">
        <v>1.9795202219499999E-2</v>
      </c>
      <c r="AC47" s="56" t="s">
        <v>26</v>
      </c>
      <c r="AD47" s="56" t="s">
        <v>26</v>
      </c>
      <c r="AE47" s="55">
        <v>8964567524.0699997</v>
      </c>
      <c r="AF47" s="56">
        <v>1.4839672072989999E-2</v>
      </c>
      <c r="AG47" s="56" t="s">
        <v>26</v>
      </c>
      <c r="AH47" s="56" t="s">
        <v>26</v>
      </c>
      <c r="AI47" s="55">
        <v>205180071.55000001</v>
      </c>
      <c r="AJ47" s="56">
        <v>1.262246168674E-2</v>
      </c>
      <c r="AK47" s="56" t="s">
        <v>26</v>
      </c>
      <c r="AL47" s="56" t="s">
        <v>26</v>
      </c>
      <c r="AM47" s="55">
        <v>232228606.25</v>
      </c>
      <c r="AN47" s="56">
        <v>9.9631405853300003E-3</v>
      </c>
      <c r="AO47" s="56" t="s">
        <v>26</v>
      </c>
      <c r="AP47" s="56" t="s">
        <v>26</v>
      </c>
      <c r="AQ47" s="55">
        <v>437408677.80000001</v>
      </c>
      <c r="AR47" s="56">
        <v>1.105574377964E-2</v>
      </c>
      <c r="AS47" s="56" t="s">
        <v>26</v>
      </c>
      <c r="AT47" s="56" t="s">
        <v>26</v>
      </c>
      <c r="AU47" s="55">
        <v>719444047.51999998</v>
      </c>
      <c r="AV47" s="56">
        <v>1.6949121259099999E-2</v>
      </c>
      <c r="AW47" s="56" t="s">
        <v>26</v>
      </c>
      <c r="AX47" s="56" t="s">
        <v>26</v>
      </c>
      <c r="AY47" s="55">
        <v>10121420249.389999</v>
      </c>
      <c r="AZ47" s="56">
        <v>1.4751979051780001E-2</v>
      </c>
      <c r="BA47" s="56" t="s">
        <v>26</v>
      </c>
      <c r="BB47" s="56" t="s">
        <v>26</v>
      </c>
    </row>
    <row r="48" spans="1:54" s="7" customFormat="1">
      <c r="A48" s="5" t="s">
        <v>55</v>
      </c>
      <c r="B48" s="31" t="s">
        <v>25</v>
      </c>
      <c r="C48" s="2">
        <v>35447907.600000001</v>
      </c>
      <c r="D48" s="1">
        <v>6.3960461918500001E-3</v>
      </c>
      <c r="E48" s="1">
        <v>0.12</v>
      </c>
      <c r="F48" s="1">
        <v>0.11360000000000001</v>
      </c>
      <c r="G48" s="22" t="s">
        <v>26</v>
      </c>
      <c r="H48" s="22" t="s">
        <v>26</v>
      </c>
      <c r="I48" s="22" t="s">
        <v>26</v>
      </c>
      <c r="J48" s="22" t="s">
        <v>26</v>
      </c>
      <c r="K48" s="10">
        <v>30383920.800000001</v>
      </c>
      <c r="L48" s="11">
        <v>1.1341123890059999E-2</v>
      </c>
      <c r="M48" s="11">
        <v>0.12</v>
      </c>
      <c r="N48" s="11">
        <v>0.1087</v>
      </c>
      <c r="O48" s="10">
        <v>813276280.08000004</v>
      </c>
      <c r="P48" s="11">
        <v>3.8452934446799999E-3</v>
      </c>
      <c r="Q48" s="11">
        <v>0.12</v>
      </c>
      <c r="R48" s="11">
        <v>0.1162</v>
      </c>
      <c r="S48" s="10">
        <v>303839208</v>
      </c>
      <c r="T48" s="11">
        <v>2.8679280108699998E-3</v>
      </c>
      <c r="U48" s="11">
        <v>0.12</v>
      </c>
      <c r="V48" s="11">
        <v>0.1171</v>
      </c>
      <c r="W48" s="22" t="s">
        <v>26</v>
      </c>
      <c r="X48" s="22" t="s">
        <v>26</v>
      </c>
      <c r="Y48" s="22" t="s">
        <v>26</v>
      </c>
      <c r="Z48" s="22" t="s">
        <v>26</v>
      </c>
      <c r="AA48" s="10">
        <v>891261676.79999995</v>
      </c>
      <c r="AB48" s="11">
        <v>6.82549919789E-3</v>
      </c>
      <c r="AC48" s="11">
        <v>0.12</v>
      </c>
      <c r="AD48" s="11">
        <v>0.1132</v>
      </c>
      <c r="AE48" s="10">
        <v>2074208993.28</v>
      </c>
      <c r="AF48" s="11">
        <v>3.4335823996499999E-3</v>
      </c>
      <c r="AG48" s="11">
        <v>0.12</v>
      </c>
      <c r="AH48" s="11">
        <v>0.1166</v>
      </c>
      <c r="AI48" s="1" t="s">
        <v>26</v>
      </c>
      <c r="AJ48" s="1" t="s">
        <v>26</v>
      </c>
      <c r="AK48" s="1" t="s">
        <v>26</v>
      </c>
      <c r="AL48" s="1" t="s">
        <v>26</v>
      </c>
      <c r="AM48" s="1" t="s">
        <v>26</v>
      </c>
      <c r="AN48" s="1" t="s">
        <v>26</v>
      </c>
      <c r="AO48" s="1" t="s">
        <v>26</v>
      </c>
      <c r="AP48" s="1" t="s">
        <v>26</v>
      </c>
      <c r="AQ48" s="1" t="s">
        <v>26</v>
      </c>
      <c r="AR48" s="1" t="s">
        <v>26</v>
      </c>
      <c r="AS48" s="1" t="s">
        <v>26</v>
      </c>
      <c r="AT48" s="1" t="s">
        <v>26</v>
      </c>
      <c r="AU48" s="10">
        <v>202559472</v>
      </c>
      <c r="AV48" s="11">
        <v>4.7720251004099998E-3</v>
      </c>
      <c r="AW48" s="11">
        <v>0.12</v>
      </c>
      <c r="AX48" s="11">
        <v>0.1152</v>
      </c>
      <c r="AY48" s="10">
        <v>2276768465.2800002</v>
      </c>
      <c r="AZ48" s="11">
        <v>3.3183920712700002E-3</v>
      </c>
      <c r="BA48" s="11">
        <v>0.12</v>
      </c>
      <c r="BB48" s="11">
        <v>0.1167</v>
      </c>
    </row>
    <row r="49" spans="1:54" s="7" customFormat="1">
      <c r="A49" s="3" t="s">
        <v>36</v>
      </c>
      <c r="B49" s="31" t="s">
        <v>56</v>
      </c>
      <c r="C49" s="2">
        <v>35447907.600000001</v>
      </c>
      <c r="D49" s="1">
        <v>1</v>
      </c>
      <c r="E49" s="22" t="s">
        <v>26</v>
      </c>
      <c r="F49" s="22" t="s">
        <v>26</v>
      </c>
      <c r="G49" s="22" t="s">
        <v>26</v>
      </c>
      <c r="H49" s="22" t="s">
        <v>26</v>
      </c>
      <c r="I49" s="22" t="s">
        <v>26</v>
      </c>
      <c r="J49" s="22" t="s">
        <v>26</v>
      </c>
      <c r="K49" s="2">
        <v>30383920.800000001</v>
      </c>
      <c r="L49" s="1">
        <v>1</v>
      </c>
      <c r="M49" s="22" t="s">
        <v>26</v>
      </c>
      <c r="N49" s="22" t="s">
        <v>26</v>
      </c>
      <c r="O49" s="2">
        <v>813276280.08000004</v>
      </c>
      <c r="P49" s="1">
        <v>1</v>
      </c>
      <c r="Q49" s="22" t="s">
        <v>26</v>
      </c>
      <c r="R49" s="22" t="s">
        <v>26</v>
      </c>
      <c r="S49" s="2">
        <v>303839208</v>
      </c>
      <c r="T49" s="1">
        <v>1</v>
      </c>
      <c r="U49" s="1" t="s">
        <v>26</v>
      </c>
      <c r="V49" s="1" t="s">
        <v>26</v>
      </c>
      <c r="W49" s="22" t="s">
        <v>26</v>
      </c>
      <c r="X49" s="22" t="s">
        <v>26</v>
      </c>
      <c r="Y49" s="22" t="s">
        <v>26</v>
      </c>
      <c r="Z49" s="22" t="s">
        <v>26</v>
      </c>
      <c r="AA49" s="2">
        <v>891261676.79999995</v>
      </c>
      <c r="AB49" s="1">
        <v>1</v>
      </c>
      <c r="AC49" s="22" t="s">
        <v>26</v>
      </c>
      <c r="AD49" s="22" t="s">
        <v>26</v>
      </c>
      <c r="AE49" s="2">
        <v>2074208993.28</v>
      </c>
      <c r="AF49" s="1">
        <v>1</v>
      </c>
      <c r="AG49" s="22" t="s">
        <v>26</v>
      </c>
      <c r="AH49" s="22" t="s">
        <v>26</v>
      </c>
      <c r="AI49" s="1" t="s">
        <v>26</v>
      </c>
      <c r="AJ49" s="1" t="s">
        <v>26</v>
      </c>
      <c r="AK49" s="1" t="s">
        <v>26</v>
      </c>
      <c r="AL49" s="1" t="s">
        <v>26</v>
      </c>
      <c r="AM49" s="1" t="s">
        <v>26</v>
      </c>
      <c r="AN49" s="1" t="s">
        <v>26</v>
      </c>
      <c r="AO49" s="1" t="s">
        <v>26</v>
      </c>
      <c r="AP49" s="1" t="s">
        <v>26</v>
      </c>
      <c r="AQ49" s="1" t="s">
        <v>26</v>
      </c>
      <c r="AR49" s="1" t="s">
        <v>26</v>
      </c>
      <c r="AS49" s="1" t="s">
        <v>26</v>
      </c>
      <c r="AT49" s="1" t="s">
        <v>26</v>
      </c>
      <c r="AU49" s="2">
        <v>202559472</v>
      </c>
      <c r="AV49" s="1">
        <v>1</v>
      </c>
      <c r="AW49" s="1" t="s">
        <v>25</v>
      </c>
      <c r="AX49" s="1" t="s">
        <v>25</v>
      </c>
      <c r="AY49" s="2">
        <v>2276768465.2800002</v>
      </c>
      <c r="AZ49" s="1">
        <v>1</v>
      </c>
      <c r="BA49" s="1" t="s">
        <v>26</v>
      </c>
      <c r="BB49" s="1" t="s">
        <v>26</v>
      </c>
    </row>
    <row r="50" spans="1:54" s="7" customFormat="1">
      <c r="A50" s="5" t="s">
        <v>57</v>
      </c>
      <c r="B50" s="24" t="s">
        <v>25</v>
      </c>
      <c r="C50" s="10">
        <v>33130344.579999998</v>
      </c>
      <c r="D50" s="11">
        <v>5.97787651324E-3</v>
      </c>
      <c r="E50" s="11">
        <v>0.09</v>
      </c>
      <c r="F50" s="11">
        <v>8.4000000000000005E-2</v>
      </c>
      <c r="G50" s="22" t="s">
        <v>26</v>
      </c>
      <c r="H50" s="22" t="s">
        <v>26</v>
      </c>
      <c r="I50" s="22" t="s">
        <v>26</v>
      </c>
      <c r="J50" s="22" t="s">
        <v>26</v>
      </c>
      <c r="K50" s="10">
        <v>16434865.51</v>
      </c>
      <c r="L50" s="11">
        <v>6.1344895904700001E-3</v>
      </c>
      <c r="M50" s="11">
        <v>0.09</v>
      </c>
      <c r="N50" s="11">
        <v>8.3900000000000002E-2</v>
      </c>
      <c r="O50" s="10">
        <v>383377693.25999999</v>
      </c>
      <c r="P50" s="11">
        <v>1.8126678065399999E-3</v>
      </c>
      <c r="Q50" s="11">
        <v>0.09</v>
      </c>
      <c r="R50" s="11">
        <v>8.8200000000000001E-2</v>
      </c>
      <c r="S50" s="10">
        <v>290202156.18000001</v>
      </c>
      <c r="T50" s="11">
        <v>2.7392083398399998E-3</v>
      </c>
      <c r="U50" s="11">
        <v>0.09</v>
      </c>
      <c r="V50" s="11">
        <v>8.7300000000000003E-2</v>
      </c>
      <c r="W50" s="22" t="s">
        <v>26</v>
      </c>
      <c r="X50" s="22" t="s">
        <v>26</v>
      </c>
      <c r="Y50" s="22" t="s">
        <v>26</v>
      </c>
      <c r="Z50" s="22" t="s">
        <v>26</v>
      </c>
      <c r="AA50" s="10">
        <v>104852719.87</v>
      </c>
      <c r="AB50" s="11">
        <v>8.0298769037000001E-4</v>
      </c>
      <c r="AC50" s="11">
        <v>0.09</v>
      </c>
      <c r="AD50" s="11">
        <v>8.9200000000000002E-2</v>
      </c>
      <c r="AE50" s="10">
        <v>827997779.39999998</v>
      </c>
      <c r="AF50" s="11">
        <v>1.3706423082299999E-3</v>
      </c>
      <c r="AG50" s="11">
        <v>0.09</v>
      </c>
      <c r="AH50" s="11">
        <v>8.8599999999999998E-2</v>
      </c>
      <c r="AI50" s="1" t="s">
        <v>26</v>
      </c>
      <c r="AJ50" s="1" t="s">
        <v>26</v>
      </c>
      <c r="AK50" s="1" t="s">
        <v>26</v>
      </c>
      <c r="AL50" s="1" t="s">
        <v>26</v>
      </c>
      <c r="AM50" s="1" t="s">
        <v>26</v>
      </c>
      <c r="AN50" s="1" t="s">
        <v>26</v>
      </c>
      <c r="AO50" s="1" t="s">
        <v>26</v>
      </c>
      <c r="AP50" s="1" t="s">
        <v>26</v>
      </c>
      <c r="AQ50" s="1" t="s">
        <v>26</v>
      </c>
      <c r="AR50" s="1" t="s">
        <v>26</v>
      </c>
      <c r="AS50" s="1" t="s">
        <v>26</v>
      </c>
      <c r="AT50" s="1" t="s">
        <v>26</v>
      </c>
      <c r="AU50" s="1" t="s">
        <v>26</v>
      </c>
      <c r="AV50" s="1" t="s">
        <v>26</v>
      </c>
      <c r="AW50" s="1" t="s">
        <v>26</v>
      </c>
      <c r="AX50" s="1" t="s">
        <v>26</v>
      </c>
      <c r="AY50" s="10">
        <v>827997779.39999998</v>
      </c>
      <c r="AZ50" s="11">
        <v>1.20680750287E-3</v>
      </c>
      <c r="BA50" s="11">
        <v>0.09</v>
      </c>
      <c r="BB50" s="11">
        <v>8.8800000000000004E-2</v>
      </c>
    </row>
    <row r="51" spans="1:54" s="7" customFormat="1">
      <c r="A51" s="3" t="s">
        <v>36</v>
      </c>
      <c r="B51" s="31" t="s">
        <v>46</v>
      </c>
      <c r="C51" s="2">
        <v>33130344.579999998</v>
      </c>
      <c r="D51" s="1">
        <v>1</v>
      </c>
      <c r="E51" s="22" t="s">
        <v>26</v>
      </c>
      <c r="F51" s="22" t="s">
        <v>26</v>
      </c>
      <c r="G51" s="22" t="s">
        <v>26</v>
      </c>
      <c r="H51" s="22" t="s">
        <v>26</v>
      </c>
      <c r="I51" s="22" t="s">
        <v>26</v>
      </c>
      <c r="J51" s="22" t="s">
        <v>26</v>
      </c>
      <c r="K51" s="2">
        <v>16434865.51</v>
      </c>
      <c r="L51" s="1">
        <v>1</v>
      </c>
      <c r="M51" s="22" t="s">
        <v>26</v>
      </c>
      <c r="N51" s="22" t="s">
        <v>26</v>
      </c>
      <c r="O51" s="2">
        <v>383377693.25999999</v>
      </c>
      <c r="P51" s="1">
        <v>1</v>
      </c>
      <c r="Q51" s="22" t="s">
        <v>26</v>
      </c>
      <c r="R51" s="22" t="s">
        <v>26</v>
      </c>
      <c r="S51" s="2">
        <v>290202156.18000001</v>
      </c>
      <c r="T51" s="1">
        <v>1</v>
      </c>
      <c r="U51" s="1" t="s">
        <v>26</v>
      </c>
      <c r="V51" s="1" t="s">
        <v>26</v>
      </c>
      <c r="W51" s="22" t="s">
        <v>26</v>
      </c>
      <c r="X51" s="22" t="s">
        <v>26</v>
      </c>
      <c r="Y51" s="22" t="s">
        <v>26</v>
      </c>
      <c r="Z51" s="22" t="s">
        <v>26</v>
      </c>
      <c r="AA51" s="2">
        <v>104852719.87</v>
      </c>
      <c r="AB51" s="1">
        <v>1</v>
      </c>
      <c r="AC51" s="22" t="s">
        <v>26</v>
      </c>
      <c r="AD51" s="22" t="s">
        <v>26</v>
      </c>
      <c r="AE51" s="2">
        <v>827997779.39999998</v>
      </c>
      <c r="AF51" s="1">
        <v>1</v>
      </c>
      <c r="AG51" s="22" t="s">
        <v>26</v>
      </c>
      <c r="AH51" s="22" t="s">
        <v>26</v>
      </c>
      <c r="AI51" s="1" t="s">
        <v>26</v>
      </c>
      <c r="AJ51" s="1" t="s">
        <v>26</v>
      </c>
      <c r="AK51" s="1" t="s">
        <v>26</v>
      </c>
      <c r="AL51" s="1" t="s">
        <v>26</v>
      </c>
      <c r="AM51" s="1" t="s">
        <v>26</v>
      </c>
      <c r="AN51" s="1" t="s">
        <v>26</v>
      </c>
      <c r="AO51" s="1" t="s">
        <v>26</v>
      </c>
      <c r="AP51" s="1" t="s">
        <v>26</v>
      </c>
      <c r="AQ51" s="1" t="s">
        <v>26</v>
      </c>
      <c r="AR51" s="1" t="s">
        <v>26</v>
      </c>
      <c r="AS51" s="1" t="s">
        <v>26</v>
      </c>
      <c r="AT51" s="1" t="s">
        <v>26</v>
      </c>
      <c r="AU51" s="1" t="s">
        <v>26</v>
      </c>
      <c r="AV51" s="1" t="s">
        <v>26</v>
      </c>
      <c r="AW51" s="1" t="s">
        <v>26</v>
      </c>
      <c r="AX51" s="1" t="s">
        <v>26</v>
      </c>
      <c r="AY51" s="2">
        <v>827997779.39999998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4" t="s">
        <v>25</v>
      </c>
      <c r="C52" s="10">
        <v>5010270.2</v>
      </c>
      <c r="D52" s="11">
        <v>9.0402852531000001E-4</v>
      </c>
      <c r="E52" s="11">
        <v>0.12</v>
      </c>
      <c r="F52" s="11">
        <v>0.1191</v>
      </c>
      <c r="G52" s="10">
        <v>80164311.200000003</v>
      </c>
      <c r="H52" s="11">
        <v>5.6482729289999999E-4</v>
      </c>
      <c r="I52" s="11">
        <v>0.12</v>
      </c>
      <c r="J52" s="11">
        <v>0.11940000000000001</v>
      </c>
      <c r="K52" s="22" t="s">
        <v>26</v>
      </c>
      <c r="L52" s="22" t="s">
        <v>26</v>
      </c>
      <c r="M52" s="22" t="s">
        <v>26</v>
      </c>
      <c r="N52" s="22" t="s">
        <v>26</v>
      </c>
      <c r="O52" s="10">
        <v>260534011.40000001</v>
      </c>
      <c r="P52" s="11">
        <v>1.2318442707500001E-3</v>
      </c>
      <c r="Q52" s="11">
        <v>0.12</v>
      </c>
      <c r="R52" s="11">
        <v>0.1188</v>
      </c>
      <c r="S52" s="10">
        <v>139285498.96000001</v>
      </c>
      <c r="T52" s="11">
        <v>1.3147111151500001E-3</v>
      </c>
      <c r="U52" s="11">
        <v>0.12</v>
      </c>
      <c r="V52" s="11">
        <v>0.1187</v>
      </c>
      <c r="W52" s="22" t="s">
        <v>26</v>
      </c>
      <c r="X52" s="22" t="s">
        <v>26</v>
      </c>
      <c r="Y52" s="22" t="s">
        <v>26</v>
      </c>
      <c r="Z52" s="22" t="s">
        <v>26</v>
      </c>
      <c r="AA52" s="10">
        <v>133573791.04000001</v>
      </c>
      <c r="AB52" s="11">
        <v>1.0229406551800001E-3</v>
      </c>
      <c r="AC52" s="11">
        <v>0.12</v>
      </c>
      <c r="AD52" s="11">
        <v>0.11899999999999999</v>
      </c>
      <c r="AE52" s="10">
        <v>618567882.79999995</v>
      </c>
      <c r="AF52" s="11">
        <v>1.0239584353599999E-3</v>
      </c>
      <c r="AG52" s="11">
        <v>0.12</v>
      </c>
      <c r="AH52" s="11">
        <v>0.11899999999999999</v>
      </c>
      <c r="AI52" s="1" t="s">
        <v>26</v>
      </c>
      <c r="AJ52" s="1" t="s">
        <v>26</v>
      </c>
      <c r="AK52" s="1" t="s">
        <v>26</v>
      </c>
      <c r="AL52" s="1" t="s">
        <v>26</v>
      </c>
      <c r="AM52" s="1" t="s">
        <v>26</v>
      </c>
      <c r="AN52" s="1" t="s">
        <v>26</v>
      </c>
      <c r="AO52" s="1" t="s">
        <v>26</v>
      </c>
      <c r="AP52" s="1" t="s">
        <v>26</v>
      </c>
      <c r="AQ52" s="1" t="s">
        <v>26</v>
      </c>
      <c r="AR52" s="1" t="s">
        <v>26</v>
      </c>
      <c r="AS52" s="1" t="s">
        <v>26</v>
      </c>
      <c r="AT52" s="1" t="s">
        <v>26</v>
      </c>
      <c r="AU52" s="1" t="s">
        <v>26</v>
      </c>
      <c r="AV52" s="1" t="s">
        <v>26</v>
      </c>
      <c r="AW52" s="1" t="s">
        <v>26</v>
      </c>
      <c r="AX52" s="1" t="s">
        <v>26</v>
      </c>
      <c r="AY52" s="10">
        <v>618567882.79999995</v>
      </c>
      <c r="AZ52" s="11">
        <v>9.0156324155000003E-4</v>
      </c>
      <c r="BA52" s="11">
        <v>0.12</v>
      </c>
      <c r="BB52" s="11">
        <v>0.1191</v>
      </c>
    </row>
    <row r="53" spans="1:54" s="7" customFormat="1">
      <c r="A53" s="3" t="s">
        <v>36</v>
      </c>
      <c r="B53" s="31" t="s">
        <v>56</v>
      </c>
      <c r="C53" s="2">
        <v>5010270.2</v>
      </c>
      <c r="D53" s="1">
        <v>1</v>
      </c>
      <c r="E53" s="22" t="s">
        <v>26</v>
      </c>
      <c r="F53" s="22" t="s">
        <v>26</v>
      </c>
      <c r="G53" s="2">
        <v>80164311.200000003</v>
      </c>
      <c r="H53" s="1">
        <v>1</v>
      </c>
      <c r="I53" s="1" t="s">
        <v>25</v>
      </c>
      <c r="J53" s="1" t="s">
        <v>25</v>
      </c>
      <c r="K53" s="22" t="s">
        <v>26</v>
      </c>
      <c r="L53" s="22" t="s">
        <v>26</v>
      </c>
      <c r="M53" s="22" t="s">
        <v>26</v>
      </c>
      <c r="N53" s="22" t="s">
        <v>26</v>
      </c>
      <c r="O53" s="2">
        <v>260534011.40000001</v>
      </c>
      <c r="P53" s="1">
        <v>1</v>
      </c>
      <c r="Q53" s="22" t="s">
        <v>26</v>
      </c>
      <c r="R53" s="22" t="s">
        <v>26</v>
      </c>
      <c r="S53" s="2">
        <v>139285498.96000001</v>
      </c>
      <c r="T53" s="1">
        <v>1</v>
      </c>
      <c r="U53" s="1" t="s">
        <v>26</v>
      </c>
      <c r="V53" s="1" t="s">
        <v>26</v>
      </c>
      <c r="W53" s="22" t="s">
        <v>26</v>
      </c>
      <c r="X53" s="22" t="s">
        <v>26</v>
      </c>
      <c r="Y53" s="22" t="s">
        <v>26</v>
      </c>
      <c r="Z53" s="22" t="s">
        <v>26</v>
      </c>
      <c r="AA53" s="2">
        <v>133573791.04000001</v>
      </c>
      <c r="AB53" s="1">
        <v>1</v>
      </c>
      <c r="AC53" s="22" t="s">
        <v>26</v>
      </c>
      <c r="AD53" s="22" t="s">
        <v>26</v>
      </c>
      <c r="AE53" s="2">
        <v>618567882.79999995</v>
      </c>
      <c r="AF53" s="1">
        <v>1</v>
      </c>
      <c r="AG53" s="22" t="s">
        <v>26</v>
      </c>
      <c r="AH53" s="22" t="s">
        <v>26</v>
      </c>
      <c r="AI53" s="1" t="s">
        <v>26</v>
      </c>
      <c r="AJ53" s="1" t="s">
        <v>26</v>
      </c>
      <c r="AK53" s="1" t="s">
        <v>26</v>
      </c>
      <c r="AL53" s="1" t="s">
        <v>26</v>
      </c>
      <c r="AM53" s="1" t="s">
        <v>26</v>
      </c>
      <c r="AN53" s="1" t="s">
        <v>26</v>
      </c>
      <c r="AO53" s="1" t="s">
        <v>26</v>
      </c>
      <c r="AP53" s="1" t="s">
        <v>26</v>
      </c>
      <c r="AQ53" s="1" t="s">
        <v>26</v>
      </c>
      <c r="AR53" s="1" t="s">
        <v>26</v>
      </c>
      <c r="AS53" s="1" t="s">
        <v>26</v>
      </c>
      <c r="AT53" s="1" t="s">
        <v>26</v>
      </c>
      <c r="AU53" s="1" t="s">
        <v>26</v>
      </c>
      <c r="AV53" s="1" t="s">
        <v>26</v>
      </c>
      <c r="AW53" s="1" t="s">
        <v>26</v>
      </c>
      <c r="AX53" s="1" t="s">
        <v>26</v>
      </c>
      <c r="AY53" s="2">
        <v>618567882.79999995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59</v>
      </c>
      <c r="B54" s="24" t="s">
        <v>25</v>
      </c>
      <c r="C54" s="22" t="s">
        <v>26</v>
      </c>
      <c r="D54" s="22" t="s">
        <v>26</v>
      </c>
      <c r="E54" s="22" t="s">
        <v>26</v>
      </c>
      <c r="F54" s="22" t="s">
        <v>26</v>
      </c>
      <c r="G54" s="10">
        <v>308373036</v>
      </c>
      <c r="H54" s="48">
        <v>2.17275623679E-3</v>
      </c>
      <c r="I54" s="11">
        <v>0.12</v>
      </c>
      <c r="J54" s="11">
        <v>0.1178</v>
      </c>
      <c r="K54" s="10">
        <v>50753963</v>
      </c>
      <c r="L54" s="11">
        <v>1.894446033095E-2</v>
      </c>
      <c r="M54" s="11">
        <v>0.12</v>
      </c>
      <c r="N54" s="11">
        <v>0.1011</v>
      </c>
      <c r="O54" s="10">
        <v>2247055102</v>
      </c>
      <c r="P54" s="11">
        <v>1.062441689889E-2</v>
      </c>
      <c r="Q54" s="11">
        <v>0.12</v>
      </c>
      <c r="R54" s="11">
        <v>0.1094</v>
      </c>
      <c r="S54" s="10">
        <v>1265748351.1600001</v>
      </c>
      <c r="T54" s="11">
        <v>1.1947355888980001E-2</v>
      </c>
      <c r="U54" s="11">
        <v>0.13700000000000001</v>
      </c>
      <c r="V54" s="11">
        <v>0.12509999999999999</v>
      </c>
      <c r="W54" s="10">
        <v>116727925.06</v>
      </c>
      <c r="X54" s="11">
        <v>1.970040463278E-2</v>
      </c>
      <c r="Y54" s="11">
        <v>0.13780000000000001</v>
      </c>
      <c r="Z54" s="11">
        <v>0.1181</v>
      </c>
      <c r="AA54" s="10">
        <v>1455134491.3699999</v>
      </c>
      <c r="AB54" s="11">
        <v>1.114377467606E-2</v>
      </c>
      <c r="AC54" s="11">
        <v>0.12</v>
      </c>
      <c r="AD54" s="11">
        <v>0.1089</v>
      </c>
      <c r="AE54" s="10">
        <v>5443792868.5900002</v>
      </c>
      <c r="AF54" s="11">
        <v>9.0114889297500007E-3</v>
      </c>
      <c r="AG54" s="11">
        <v>0.12429999999999999</v>
      </c>
      <c r="AH54" s="11">
        <v>0.1153</v>
      </c>
      <c r="AI54" s="10">
        <v>205180071.55000001</v>
      </c>
      <c r="AJ54" s="11">
        <v>1.262246168674E-2</v>
      </c>
      <c r="AK54" s="11">
        <v>0.1203</v>
      </c>
      <c r="AL54" s="11">
        <v>0.1077</v>
      </c>
      <c r="AM54" s="10">
        <v>232228606.25</v>
      </c>
      <c r="AN54" s="11">
        <v>9.9631405853300003E-3</v>
      </c>
      <c r="AO54" s="11">
        <v>0.1216</v>
      </c>
      <c r="AP54" s="11">
        <v>0.1116</v>
      </c>
      <c r="AQ54" s="10">
        <v>437408677.80000001</v>
      </c>
      <c r="AR54" s="11">
        <v>1.105574377964E-2</v>
      </c>
      <c r="AS54" s="11">
        <v>0.121</v>
      </c>
      <c r="AT54" s="11">
        <v>0.1099</v>
      </c>
      <c r="AU54" s="10">
        <v>516884575.51999998</v>
      </c>
      <c r="AV54" s="11">
        <v>1.217709615869E-2</v>
      </c>
      <c r="AW54" s="11">
        <v>0.1323</v>
      </c>
      <c r="AX54" s="11">
        <v>0.1201</v>
      </c>
      <c r="AY54" s="10">
        <v>6398086121.9099998</v>
      </c>
      <c r="AZ54" s="11">
        <v>9.3252162360900007E-3</v>
      </c>
      <c r="BA54" s="11">
        <v>0.12479999999999999</v>
      </c>
      <c r="BB54" s="11">
        <v>0.11550000000000001</v>
      </c>
    </row>
    <row r="55" spans="1:54" s="7" customFormat="1">
      <c r="A55" s="3" t="s">
        <v>36</v>
      </c>
      <c r="B55" s="31" t="s">
        <v>56</v>
      </c>
      <c r="C55" s="22" t="s">
        <v>26</v>
      </c>
      <c r="D55" s="22" t="s">
        <v>26</v>
      </c>
      <c r="E55" s="22" t="s">
        <v>26</v>
      </c>
      <c r="F55" s="22" t="s">
        <v>26</v>
      </c>
      <c r="G55" s="2">
        <v>308373036</v>
      </c>
      <c r="H55" s="1">
        <v>1</v>
      </c>
      <c r="I55" s="1" t="s">
        <v>25</v>
      </c>
      <c r="J55" s="1" t="s">
        <v>25</v>
      </c>
      <c r="K55" s="2">
        <v>50753963</v>
      </c>
      <c r="L55" s="1">
        <v>1</v>
      </c>
      <c r="M55" s="22" t="s">
        <v>26</v>
      </c>
      <c r="N55" s="22" t="s">
        <v>26</v>
      </c>
      <c r="O55" s="2">
        <v>2247055102</v>
      </c>
      <c r="P55" s="1">
        <v>1</v>
      </c>
      <c r="Q55" s="22" t="s">
        <v>26</v>
      </c>
      <c r="R55" s="22" t="s">
        <v>26</v>
      </c>
      <c r="S55" s="2">
        <v>548142800.39999998</v>
      </c>
      <c r="T55" s="1">
        <v>0.43305827726155</v>
      </c>
      <c r="U55" s="1" t="s">
        <v>26</v>
      </c>
      <c r="V55" s="1" t="s">
        <v>26</v>
      </c>
      <c r="W55" s="2">
        <v>47309954.380000003</v>
      </c>
      <c r="X55" s="1">
        <v>0.40530108245891</v>
      </c>
      <c r="Y55" s="22" t="s">
        <v>26</v>
      </c>
      <c r="Z55" s="22" t="s">
        <v>26</v>
      </c>
      <c r="AA55" s="2">
        <v>1455134491.3699999</v>
      </c>
      <c r="AB55" s="1">
        <v>1</v>
      </c>
      <c r="AC55" s="22" t="s">
        <v>26</v>
      </c>
      <c r="AD55" s="22" t="s">
        <v>26</v>
      </c>
      <c r="AE55" s="2">
        <v>4656769347.1499996</v>
      </c>
      <c r="AF55" s="1">
        <v>0.85542735727858998</v>
      </c>
      <c r="AG55" s="22" t="s">
        <v>26</v>
      </c>
      <c r="AH55" s="22" t="s">
        <v>26</v>
      </c>
      <c r="AI55" s="2">
        <v>203015852</v>
      </c>
      <c r="AJ55" s="1">
        <v>0.98945209671849998</v>
      </c>
      <c r="AK55" s="1" t="s">
        <v>26</v>
      </c>
      <c r="AL55" s="1" t="s">
        <v>26</v>
      </c>
      <c r="AM55" s="2">
        <v>219967675.63999999</v>
      </c>
      <c r="AN55" s="1">
        <v>0.94720318565405004</v>
      </c>
      <c r="AO55" s="1" t="s">
        <v>26</v>
      </c>
      <c r="AP55" s="1" t="s">
        <v>26</v>
      </c>
      <c r="AQ55" s="2">
        <v>422983527.63999999</v>
      </c>
      <c r="AR55" s="1">
        <v>0.96702134435797005</v>
      </c>
      <c r="AS55" s="1" t="s">
        <v>26</v>
      </c>
      <c r="AT55" s="1" t="s">
        <v>26</v>
      </c>
      <c r="AU55" s="2">
        <v>304523778</v>
      </c>
      <c r="AV55" s="1">
        <v>0.58915238028459005</v>
      </c>
      <c r="AW55" s="1" t="s">
        <v>26</v>
      </c>
      <c r="AX55" s="1" t="s">
        <v>26</v>
      </c>
      <c r="AY55" s="2">
        <v>5384276652.79</v>
      </c>
      <c r="AZ55" s="1">
        <v>0.84154488548563999</v>
      </c>
      <c r="BA55" s="1" t="s">
        <v>26</v>
      </c>
      <c r="BB55" s="1" t="s">
        <v>26</v>
      </c>
    </row>
    <row r="56" spans="1:54" s="7" customFormat="1">
      <c r="A56" s="3" t="s">
        <v>38</v>
      </c>
      <c r="B56" s="31" t="s">
        <v>39</v>
      </c>
      <c r="C56" s="22" t="s">
        <v>26</v>
      </c>
      <c r="D56" s="22" t="s">
        <v>26</v>
      </c>
      <c r="E56" s="22" t="s">
        <v>26</v>
      </c>
      <c r="F56" s="22" t="s">
        <v>26</v>
      </c>
      <c r="G56" s="2" t="s">
        <v>25</v>
      </c>
      <c r="H56" s="1" t="s">
        <v>25</v>
      </c>
      <c r="I56" s="1" t="s">
        <v>25</v>
      </c>
      <c r="J56" s="1" t="s">
        <v>25</v>
      </c>
      <c r="K56" s="22" t="s">
        <v>26</v>
      </c>
      <c r="L56" s="22" t="s">
        <v>26</v>
      </c>
      <c r="M56" s="22" t="s">
        <v>26</v>
      </c>
      <c r="N56" s="22" t="s">
        <v>26</v>
      </c>
      <c r="O56" s="22" t="s">
        <v>26</v>
      </c>
      <c r="P56" s="22" t="s">
        <v>26</v>
      </c>
      <c r="Q56" s="22" t="s">
        <v>26</v>
      </c>
      <c r="R56" s="22" t="s">
        <v>26</v>
      </c>
      <c r="S56" s="2">
        <v>717605550.75999999</v>
      </c>
      <c r="T56" s="1">
        <v>0.56694172273845</v>
      </c>
      <c r="U56" s="1" t="s">
        <v>26</v>
      </c>
      <c r="V56" s="1" t="s">
        <v>26</v>
      </c>
      <c r="W56" s="2">
        <v>69417970.680000007</v>
      </c>
      <c r="X56" s="1">
        <v>0.59469891754109006</v>
      </c>
      <c r="Y56" s="22" t="s">
        <v>26</v>
      </c>
      <c r="Z56" s="22" t="s">
        <v>26</v>
      </c>
      <c r="AA56" s="22" t="s">
        <v>26</v>
      </c>
      <c r="AB56" s="22" t="s">
        <v>26</v>
      </c>
      <c r="AC56" s="22" t="s">
        <v>26</v>
      </c>
      <c r="AD56" s="22" t="s">
        <v>26</v>
      </c>
      <c r="AE56" s="2">
        <v>787023521.44000006</v>
      </c>
      <c r="AF56" s="1">
        <v>0.14457264272140999</v>
      </c>
      <c r="AG56" s="22" t="s">
        <v>26</v>
      </c>
      <c r="AH56" s="22" t="s">
        <v>26</v>
      </c>
      <c r="AI56" s="2">
        <v>2164219.5499999998</v>
      </c>
      <c r="AJ56" s="1">
        <v>1.0547903281499999E-2</v>
      </c>
      <c r="AK56" s="1" t="s">
        <v>26</v>
      </c>
      <c r="AL56" s="1" t="s">
        <v>26</v>
      </c>
      <c r="AM56" s="2">
        <v>12260930.609999999</v>
      </c>
      <c r="AN56" s="1">
        <v>5.2796814345950002E-2</v>
      </c>
      <c r="AO56" s="1" t="s">
        <v>26</v>
      </c>
      <c r="AP56" s="1" t="s">
        <v>26</v>
      </c>
      <c r="AQ56" s="2">
        <v>14425150.16</v>
      </c>
      <c r="AR56" s="1">
        <v>3.2978655642030001E-2</v>
      </c>
      <c r="AS56" s="1" t="s">
        <v>26</v>
      </c>
      <c r="AT56" s="1" t="s">
        <v>26</v>
      </c>
      <c r="AU56" s="2">
        <v>212360797.52000001</v>
      </c>
      <c r="AV56" s="1">
        <v>0.41084761971541001</v>
      </c>
      <c r="AW56" s="1" t="s">
        <v>26</v>
      </c>
      <c r="AX56" s="1" t="s">
        <v>26</v>
      </c>
      <c r="AY56" s="2">
        <v>1013809469.12</v>
      </c>
      <c r="AZ56" s="1">
        <v>0.15845511451436001</v>
      </c>
      <c r="BA56" s="1" t="s">
        <v>26</v>
      </c>
      <c r="BB56" s="1" t="s">
        <v>26</v>
      </c>
    </row>
    <row r="57" spans="1:54" s="7" customFormat="1">
      <c r="A57" s="13" t="s">
        <v>60</v>
      </c>
      <c r="B57" s="25" t="s">
        <v>25</v>
      </c>
      <c r="C57" s="55">
        <v>89210462.290000007</v>
      </c>
      <c r="D57" s="56">
        <v>1.6096697273119999E-2</v>
      </c>
      <c r="E57" s="56" t="s">
        <v>26</v>
      </c>
      <c r="F57" s="56" t="s">
        <v>26</v>
      </c>
      <c r="G57" s="55" t="s">
        <v>26</v>
      </c>
      <c r="H57" s="56" t="s">
        <v>26</v>
      </c>
      <c r="I57" s="56" t="s">
        <v>26</v>
      </c>
      <c r="J57" s="56" t="s">
        <v>26</v>
      </c>
      <c r="K57" s="55">
        <v>37474651.020000003</v>
      </c>
      <c r="L57" s="56">
        <v>1.398781489565E-2</v>
      </c>
      <c r="M57" s="56" t="s">
        <v>26</v>
      </c>
      <c r="N57" s="56" t="s">
        <v>26</v>
      </c>
      <c r="O57" s="55">
        <v>58243348.310000002</v>
      </c>
      <c r="P57" s="56">
        <v>2.7538337332E-4</v>
      </c>
      <c r="Q57" s="56" t="s">
        <v>26</v>
      </c>
      <c r="R57" s="56" t="s">
        <v>26</v>
      </c>
      <c r="S57" s="55">
        <v>138965564.81</v>
      </c>
      <c r="T57" s="56">
        <v>1.3116912675200001E-3</v>
      </c>
      <c r="U57" s="56" t="s">
        <v>26</v>
      </c>
      <c r="V57" s="56" t="s">
        <v>26</v>
      </c>
      <c r="W57" s="55" t="s">
        <v>25</v>
      </c>
      <c r="X57" s="56" t="s">
        <v>25</v>
      </c>
      <c r="Y57" s="56" t="s">
        <v>25</v>
      </c>
      <c r="Z57" s="56" t="s">
        <v>25</v>
      </c>
      <c r="AA57" s="55">
        <v>119175345.84999999</v>
      </c>
      <c r="AB57" s="56">
        <v>9.1267385177999996E-4</v>
      </c>
      <c r="AC57" s="56" t="s">
        <v>26</v>
      </c>
      <c r="AD57" s="56" t="s">
        <v>26</v>
      </c>
      <c r="AE57" s="55">
        <v>443069372.27999997</v>
      </c>
      <c r="AF57" s="56">
        <v>7.3344354567000003E-4</v>
      </c>
      <c r="AG57" s="56" t="s">
        <v>26</v>
      </c>
      <c r="AH57" s="56" t="s">
        <v>26</v>
      </c>
      <c r="AI57" s="55">
        <v>60257950.640000001</v>
      </c>
      <c r="AJ57" s="56">
        <v>3.70700559528E-3</v>
      </c>
      <c r="AK57" s="56" t="s">
        <v>26</v>
      </c>
      <c r="AL57" s="56" t="s">
        <v>26</v>
      </c>
      <c r="AM57" s="55" t="s">
        <v>26</v>
      </c>
      <c r="AN57" s="56" t="s">
        <v>26</v>
      </c>
      <c r="AO57" s="56" t="s">
        <v>26</v>
      </c>
      <c r="AP57" s="56" t="s">
        <v>26</v>
      </c>
      <c r="AQ57" s="55">
        <v>60257950.640000001</v>
      </c>
      <c r="AR57" s="56">
        <v>1.52305268911E-3</v>
      </c>
      <c r="AS57" s="56" t="s">
        <v>26</v>
      </c>
      <c r="AT57" s="56" t="s">
        <v>26</v>
      </c>
      <c r="AU57" s="55">
        <v>4951834.7300000004</v>
      </c>
      <c r="AV57" s="56">
        <v>1.1665847759E-4</v>
      </c>
      <c r="AW57" s="56" t="s">
        <v>26</v>
      </c>
      <c r="AX57" s="56" t="s">
        <v>26</v>
      </c>
      <c r="AY57" s="55">
        <v>508279157.64999998</v>
      </c>
      <c r="AZ57" s="56">
        <v>7.4081732616E-4</v>
      </c>
      <c r="BA57" s="56" t="s">
        <v>26</v>
      </c>
      <c r="BB57" s="56" t="s">
        <v>26</v>
      </c>
    </row>
    <row r="58" spans="1:54" s="7" customFormat="1">
      <c r="A58" s="5" t="s">
        <v>61</v>
      </c>
      <c r="B58" s="24" t="s">
        <v>25</v>
      </c>
      <c r="C58" s="10">
        <v>49272914.979999997</v>
      </c>
      <c r="D58" s="11">
        <v>8.8905625622600001E-3</v>
      </c>
      <c r="E58" s="11">
        <v>0.09</v>
      </c>
      <c r="F58" s="11">
        <v>8.1100000000000005E-2</v>
      </c>
      <c r="G58" s="22" t="s">
        <v>26</v>
      </c>
      <c r="H58" s="22" t="s">
        <v>26</v>
      </c>
      <c r="I58" s="22" t="s">
        <v>26</v>
      </c>
      <c r="J58" s="22" t="s">
        <v>26</v>
      </c>
      <c r="K58" s="22" t="s">
        <v>26</v>
      </c>
      <c r="L58" s="22" t="s">
        <v>26</v>
      </c>
      <c r="M58" s="22" t="s">
        <v>26</v>
      </c>
      <c r="N58" s="22" t="s">
        <v>26</v>
      </c>
      <c r="O58" s="22" t="s">
        <v>26</v>
      </c>
      <c r="P58" s="22" t="s">
        <v>26</v>
      </c>
      <c r="Q58" s="22" t="s">
        <v>26</v>
      </c>
      <c r="R58" s="22" t="s">
        <v>26</v>
      </c>
      <c r="S58" s="22" t="s">
        <v>26</v>
      </c>
      <c r="T58" s="22" t="s">
        <v>26</v>
      </c>
      <c r="U58" s="22" t="s">
        <v>26</v>
      </c>
      <c r="V58" s="22" t="s">
        <v>26</v>
      </c>
      <c r="W58" s="22" t="s">
        <v>26</v>
      </c>
      <c r="X58" s="22" t="s">
        <v>26</v>
      </c>
      <c r="Y58" s="22" t="s">
        <v>26</v>
      </c>
      <c r="Z58" s="22" t="s">
        <v>26</v>
      </c>
      <c r="AA58" s="22" t="s">
        <v>26</v>
      </c>
      <c r="AB58" s="22" t="s">
        <v>26</v>
      </c>
      <c r="AC58" s="22" t="s">
        <v>26</v>
      </c>
      <c r="AD58" s="22" t="s">
        <v>26</v>
      </c>
      <c r="AE58" s="10">
        <v>49272914.979999997</v>
      </c>
      <c r="AF58" s="11">
        <v>8.1564882899999997E-5</v>
      </c>
      <c r="AG58" s="11">
        <v>0.09</v>
      </c>
      <c r="AH58" s="11">
        <v>8.9899999999999994E-2</v>
      </c>
      <c r="AI58" s="1" t="s">
        <v>26</v>
      </c>
      <c r="AJ58" s="1" t="s">
        <v>26</v>
      </c>
      <c r="AK58" s="1" t="s">
        <v>26</v>
      </c>
      <c r="AL58" s="1" t="s">
        <v>26</v>
      </c>
      <c r="AM58" s="1" t="s">
        <v>26</v>
      </c>
      <c r="AN58" s="1" t="s">
        <v>26</v>
      </c>
      <c r="AO58" s="1" t="s">
        <v>26</v>
      </c>
      <c r="AP58" s="1" t="s">
        <v>26</v>
      </c>
      <c r="AQ58" s="1" t="s">
        <v>26</v>
      </c>
      <c r="AR58" s="1" t="s">
        <v>26</v>
      </c>
      <c r="AS58" s="1" t="s">
        <v>26</v>
      </c>
      <c r="AT58" s="1" t="s">
        <v>26</v>
      </c>
      <c r="AU58" s="1" t="s">
        <v>26</v>
      </c>
      <c r="AV58" s="1" t="s">
        <v>26</v>
      </c>
      <c r="AW58" s="1" t="s">
        <v>26</v>
      </c>
      <c r="AX58" s="1" t="s">
        <v>26</v>
      </c>
      <c r="AY58" s="10">
        <v>49272914.979999997</v>
      </c>
      <c r="AZ58" s="11">
        <v>7.1815317580000007E-5</v>
      </c>
      <c r="BA58" s="11">
        <v>0.09</v>
      </c>
      <c r="BB58" s="11">
        <v>8.9899999999999994E-2</v>
      </c>
    </row>
    <row r="59" spans="1:54" s="7" customFormat="1">
      <c r="A59" s="3" t="s">
        <v>36</v>
      </c>
      <c r="B59" s="31" t="s">
        <v>46</v>
      </c>
      <c r="C59" s="2">
        <v>49272914.979999997</v>
      </c>
      <c r="D59" s="1">
        <v>1</v>
      </c>
      <c r="E59" s="22" t="s">
        <v>26</v>
      </c>
      <c r="F59" s="22" t="s">
        <v>26</v>
      </c>
      <c r="G59" s="22" t="s">
        <v>26</v>
      </c>
      <c r="H59" s="22" t="s">
        <v>26</v>
      </c>
      <c r="I59" s="22" t="s">
        <v>26</v>
      </c>
      <c r="J59" s="22" t="s">
        <v>26</v>
      </c>
      <c r="K59" s="22" t="s">
        <v>26</v>
      </c>
      <c r="L59" s="22" t="s">
        <v>26</v>
      </c>
      <c r="M59" s="22" t="s">
        <v>26</v>
      </c>
      <c r="N59" s="22" t="s">
        <v>26</v>
      </c>
      <c r="O59" s="22" t="s">
        <v>26</v>
      </c>
      <c r="P59" s="22" t="s">
        <v>26</v>
      </c>
      <c r="Q59" s="22" t="s">
        <v>26</v>
      </c>
      <c r="R59" s="22" t="s">
        <v>26</v>
      </c>
      <c r="S59" s="22" t="s">
        <v>26</v>
      </c>
      <c r="T59" s="22" t="s">
        <v>26</v>
      </c>
      <c r="U59" s="22" t="s">
        <v>26</v>
      </c>
      <c r="V59" s="22" t="s">
        <v>26</v>
      </c>
      <c r="W59" s="22" t="s">
        <v>26</v>
      </c>
      <c r="X59" s="22" t="s">
        <v>26</v>
      </c>
      <c r="Y59" s="22" t="s">
        <v>26</v>
      </c>
      <c r="Z59" s="22" t="s">
        <v>26</v>
      </c>
      <c r="AA59" s="22" t="s">
        <v>26</v>
      </c>
      <c r="AB59" s="22" t="s">
        <v>26</v>
      </c>
      <c r="AC59" s="22" t="s">
        <v>26</v>
      </c>
      <c r="AD59" s="22" t="s">
        <v>26</v>
      </c>
      <c r="AE59" s="2">
        <v>49272914.979999997</v>
      </c>
      <c r="AF59" s="1">
        <v>1</v>
      </c>
      <c r="AG59" s="22" t="s">
        <v>26</v>
      </c>
      <c r="AH59" s="22" t="s">
        <v>26</v>
      </c>
      <c r="AI59" s="1" t="s">
        <v>26</v>
      </c>
      <c r="AJ59" s="1" t="s">
        <v>26</v>
      </c>
      <c r="AK59" s="1" t="s">
        <v>26</v>
      </c>
      <c r="AL59" s="1" t="s">
        <v>26</v>
      </c>
      <c r="AM59" s="1" t="s">
        <v>26</v>
      </c>
      <c r="AN59" s="1" t="s">
        <v>26</v>
      </c>
      <c r="AO59" s="1" t="s">
        <v>26</v>
      </c>
      <c r="AP59" s="1" t="s">
        <v>26</v>
      </c>
      <c r="AQ59" s="1" t="s">
        <v>26</v>
      </c>
      <c r="AR59" s="1" t="s">
        <v>26</v>
      </c>
      <c r="AS59" s="1" t="s">
        <v>26</v>
      </c>
      <c r="AT59" s="1" t="s">
        <v>26</v>
      </c>
      <c r="AU59" s="1" t="s">
        <v>26</v>
      </c>
      <c r="AV59" s="1" t="s">
        <v>26</v>
      </c>
      <c r="AW59" s="1" t="s">
        <v>26</v>
      </c>
      <c r="AX59" s="1" t="s">
        <v>26</v>
      </c>
      <c r="AY59" s="2">
        <v>49272914.979999997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62</v>
      </c>
      <c r="B60" s="24" t="s">
        <v>25</v>
      </c>
      <c r="C60" s="10">
        <v>17863074.23</v>
      </c>
      <c r="D60" s="11">
        <v>3.2231253024199999E-3</v>
      </c>
      <c r="E60" s="11">
        <v>0.12</v>
      </c>
      <c r="F60" s="11">
        <v>0.1168</v>
      </c>
      <c r="G60" s="22" t="s">
        <v>26</v>
      </c>
      <c r="H60" s="22" t="s">
        <v>26</v>
      </c>
      <c r="I60" s="22" t="s">
        <v>26</v>
      </c>
      <c r="J60" s="22" t="s">
        <v>26</v>
      </c>
      <c r="K60" s="22" t="s">
        <v>26</v>
      </c>
      <c r="L60" s="22" t="s">
        <v>26</v>
      </c>
      <c r="M60" s="22" t="s">
        <v>26</v>
      </c>
      <c r="N60" s="22" t="s">
        <v>26</v>
      </c>
      <c r="O60" s="22" t="s">
        <v>26</v>
      </c>
      <c r="P60" s="22" t="s">
        <v>26</v>
      </c>
      <c r="Q60" s="22" t="s">
        <v>26</v>
      </c>
      <c r="R60" s="22" t="s">
        <v>26</v>
      </c>
      <c r="S60" s="22" t="s">
        <v>26</v>
      </c>
      <c r="T60" s="22" t="s">
        <v>26</v>
      </c>
      <c r="U60" s="22" t="s">
        <v>26</v>
      </c>
      <c r="V60" s="22" t="s">
        <v>26</v>
      </c>
      <c r="W60" s="22" t="s">
        <v>26</v>
      </c>
      <c r="X60" s="22" t="s">
        <v>26</v>
      </c>
      <c r="Y60" s="22" t="s">
        <v>26</v>
      </c>
      <c r="Z60" s="22" t="s">
        <v>26</v>
      </c>
      <c r="AA60" s="10">
        <v>88983203.650000006</v>
      </c>
      <c r="AB60" s="11">
        <v>6.8145506639000002E-4</v>
      </c>
      <c r="AC60" s="11">
        <v>0.13500000000000001</v>
      </c>
      <c r="AD60" s="11">
        <v>0.1343</v>
      </c>
      <c r="AE60" s="10">
        <v>106846277.88</v>
      </c>
      <c r="AF60" s="11">
        <v>1.7687007451000001E-4</v>
      </c>
      <c r="AG60" s="11">
        <v>0.13250000000000001</v>
      </c>
      <c r="AH60" s="11">
        <v>0.1323</v>
      </c>
      <c r="AI60" s="1" t="s">
        <v>26</v>
      </c>
      <c r="AJ60" s="1" t="s">
        <v>26</v>
      </c>
      <c r="AK60" s="1" t="s">
        <v>26</v>
      </c>
      <c r="AL60" s="1" t="s">
        <v>26</v>
      </c>
      <c r="AM60" s="1" t="s">
        <v>26</v>
      </c>
      <c r="AN60" s="1" t="s">
        <v>26</v>
      </c>
      <c r="AO60" s="1" t="s">
        <v>26</v>
      </c>
      <c r="AP60" s="1" t="s">
        <v>26</v>
      </c>
      <c r="AQ60" s="1" t="s">
        <v>26</v>
      </c>
      <c r="AR60" s="1" t="s">
        <v>26</v>
      </c>
      <c r="AS60" s="1" t="s">
        <v>26</v>
      </c>
      <c r="AT60" s="1" t="s">
        <v>26</v>
      </c>
      <c r="AU60" s="1" t="s">
        <v>26</v>
      </c>
      <c r="AV60" s="1" t="s">
        <v>26</v>
      </c>
      <c r="AW60" s="1" t="s">
        <v>26</v>
      </c>
      <c r="AX60" s="1" t="s">
        <v>26</v>
      </c>
      <c r="AY60" s="10">
        <v>106846277.88</v>
      </c>
      <c r="AZ60" s="11">
        <v>1.5572854541999999E-4</v>
      </c>
      <c r="BA60" s="11">
        <v>0.13250000000000001</v>
      </c>
      <c r="BB60" s="11">
        <v>0.1323</v>
      </c>
    </row>
    <row r="61" spans="1:54" s="7" customFormat="1">
      <c r="A61" s="3" t="s">
        <v>36</v>
      </c>
      <c r="B61" s="31" t="s">
        <v>56</v>
      </c>
      <c r="C61" s="2">
        <v>17863074.23</v>
      </c>
      <c r="D61" s="1">
        <v>1</v>
      </c>
      <c r="E61" s="22" t="s">
        <v>26</v>
      </c>
      <c r="F61" s="22" t="s">
        <v>26</v>
      </c>
      <c r="G61" s="22" t="s">
        <v>26</v>
      </c>
      <c r="H61" s="22" t="s">
        <v>26</v>
      </c>
      <c r="I61" s="22" t="s">
        <v>26</v>
      </c>
      <c r="J61" s="22" t="s">
        <v>26</v>
      </c>
      <c r="K61" s="22" t="s">
        <v>26</v>
      </c>
      <c r="L61" s="22" t="s">
        <v>26</v>
      </c>
      <c r="M61" s="22" t="s">
        <v>26</v>
      </c>
      <c r="N61" s="22" t="s">
        <v>26</v>
      </c>
      <c r="O61" s="22" t="s">
        <v>26</v>
      </c>
      <c r="P61" s="22" t="s">
        <v>26</v>
      </c>
      <c r="Q61" s="22" t="s">
        <v>26</v>
      </c>
      <c r="R61" s="22" t="s">
        <v>26</v>
      </c>
      <c r="S61" s="22" t="s">
        <v>26</v>
      </c>
      <c r="T61" s="22" t="s">
        <v>26</v>
      </c>
      <c r="U61" s="22" t="s">
        <v>26</v>
      </c>
      <c r="V61" s="22" t="s">
        <v>26</v>
      </c>
      <c r="W61" s="22" t="s">
        <v>26</v>
      </c>
      <c r="X61" s="22" t="s">
        <v>26</v>
      </c>
      <c r="Y61" s="22" t="s">
        <v>26</v>
      </c>
      <c r="Z61" s="22" t="s">
        <v>26</v>
      </c>
      <c r="AA61" s="22" t="s">
        <v>26</v>
      </c>
      <c r="AB61" s="22" t="s">
        <v>26</v>
      </c>
      <c r="AC61" s="22" t="s">
        <v>26</v>
      </c>
      <c r="AD61" s="22" t="s">
        <v>26</v>
      </c>
      <c r="AE61" s="2">
        <v>17863074.23</v>
      </c>
      <c r="AF61" s="1">
        <v>0.16718480591398999</v>
      </c>
      <c r="AG61" s="22" t="s">
        <v>26</v>
      </c>
      <c r="AH61" s="22" t="s">
        <v>26</v>
      </c>
      <c r="AI61" s="1" t="s">
        <v>26</v>
      </c>
      <c r="AJ61" s="1" t="s">
        <v>26</v>
      </c>
      <c r="AK61" s="1" t="s">
        <v>26</v>
      </c>
      <c r="AL61" s="1" t="s">
        <v>26</v>
      </c>
      <c r="AM61" s="1" t="s">
        <v>26</v>
      </c>
      <c r="AN61" s="1" t="s">
        <v>26</v>
      </c>
      <c r="AO61" s="1" t="s">
        <v>26</v>
      </c>
      <c r="AP61" s="1" t="s">
        <v>26</v>
      </c>
      <c r="AQ61" s="1" t="s">
        <v>26</v>
      </c>
      <c r="AR61" s="1" t="s">
        <v>26</v>
      </c>
      <c r="AS61" s="1" t="s">
        <v>26</v>
      </c>
      <c r="AT61" s="1" t="s">
        <v>26</v>
      </c>
      <c r="AU61" s="1" t="s">
        <v>26</v>
      </c>
      <c r="AV61" s="1" t="s">
        <v>26</v>
      </c>
      <c r="AW61" s="1" t="s">
        <v>26</v>
      </c>
      <c r="AX61" s="1" t="s">
        <v>26</v>
      </c>
      <c r="AY61" s="2">
        <v>17863074.23</v>
      </c>
      <c r="AZ61" s="1">
        <v>0.16718480591398999</v>
      </c>
      <c r="BA61" s="1" t="s">
        <v>26</v>
      </c>
      <c r="BB61" s="1" t="s">
        <v>26</v>
      </c>
    </row>
    <row r="62" spans="1:54" s="7" customFormat="1">
      <c r="A62" s="3" t="s">
        <v>38</v>
      </c>
      <c r="B62" s="31" t="s">
        <v>43</v>
      </c>
      <c r="C62" s="22" t="s">
        <v>26</v>
      </c>
      <c r="D62" s="22" t="s">
        <v>26</v>
      </c>
      <c r="E62" s="22" t="s">
        <v>26</v>
      </c>
      <c r="F62" s="22" t="s">
        <v>26</v>
      </c>
      <c r="G62" s="22" t="s">
        <v>26</v>
      </c>
      <c r="H62" s="22" t="s">
        <v>26</v>
      </c>
      <c r="I62" s="22" t="s">
        <v>26</v>
      </c>
      <c r="J62" s="22" t="s">
        <v>26</v>
      </c>
      <c r="K62" s="22" t="s">
        <v>26</v>
      </c>
      <c r="L62" s="22" t="s">
        <v>26</v>
      </c>
      <c r="M62" s="22" t="s">
        <v>26</v>
      </c>
      <c r="N62" s="22" t="s">
        <v>26</v>
      </c>
      <c r="O62" s="22" t="s">
        <v>26</v>
      </c>
      <c r="P62" s="22" t="s">
        <v>26</v>
      </c>
      <c r="Q62" s="22" t="s">
        <v>26</v>
      </c>
      <c r="R62" s="22" t="s">
        <v>26</v>
      </c>
      <c r="S62" s="22" t="s">
        <v>26</v>
      </c>
      <c r="T62" s="22" t="s">
        <v>26</v>
      </c>
      <c r="U62" s="22" t="s">
        <v>26</v>
      </c>
      <c r="V62" s="22" t="s">
        <v>26</v>
      </c>
      <c r="W62" s="22" t="s">
        <v>26</v>
      </c>
      <c r="X62" s="22" t="s">
        <v>26</v>
      </c>
      <c r="Y62" s="22" t="s">
        <v>26</v>
      </c>
      <c r="Z62" s="22" t="s">
        <v>26</v>
      </c>
      <c r="AA62" s="2">
        <v>88983203.650000006</v>
      </c>
      <c r="AB62" s="1">
        <v>1</v>
      </c>
      <c r="AC62" s="22" t="s">
        <v>26</v>
      </c>
      <c r="AD62" s="22" t="s">
        <v>26</v>
      </c>
      <c r="AE62" s="2">
        <v>88983203.650000006</v>
      </c>
      <c r="AF62" s="1">
        <v>0.83281519408601001</v>
      </c>
      <c r="AG62" s="22" t="s">
        <v>26</v>
      </c>
      <c r="AH62" s="22" t="s">
        <v>26</v>
      </c>
      <c r="AI62" s="1" t="s">
        <v>26</v>
      </c>
      <c r="AJ62" s="1" t="s">
        <v>26</v>
      </c>
      <c r="AK62" s="1" t="s">
        <v>26</v>
      </c>
      <c r="AL62" s="1" t="s">
        <v>26</v>
      </c>
      <c r="AM62" s="1" t="s">
        <v>26</v>
      </c>
      <c r="AN62" s="1" t="s">
        <v>26</v>
      </c>
      <c r="AO62" s="1" t="s">
        <v>26</v>
      </c>
      <c r="AP62" s="1" t="s">
        <v>26</v>
      </c>
      <c r="AQ62" s="1" t="s">
        <v>26</v>
      </c>
      <c r="AR62" s="1" t="s">
        <v>26</v>
      </c>
      <c r="AS62" s="1" t="s">
        <v>26</v>
      </c>
      <c r="AT62" s="1" t="s">
        <v>26</v>
      </c>
      <c r="AU62" s="1" t="s">
        <v>26</v>
      </c>
      <c r="AV62" s="1" t="s">
        <v>26</v>
      </c>
      <c r="AW62" s="1" t="s">
        <v>26</v>
      </c>
      <c r="AX62" s="1" t="s">
        <v>26</v>
      </c>
      <c r="AY62" s="2">
        <v>88983203.650000006</v>
      </c>
      <c r="AZ62" s="1">
        <v>0.83281519408601001</v>
      </c>
      <c r="BA62" s="1" t="s">
        <v>26</v>
      </c>
      <c r="BB62" s="1" t="s">
        <v>26</v>
      </c>
    </row>
    <row r="63" spans="1:54" s="7" customFormat="1">
      <c r="A63" s="5" t="s">
        <v>63</v>
      </c>
      <c r="B63" s="24" t="s">
        <v>25</v>
      </c>
      <c r="C63" s="10">
        <v>22074473.079999998</v>
      </c>
      <c r="D63" s="11">
        <v>3.9830094084399997E-3</v>
      </c>
      <c r="E63" s="11">
        <v>0.12</v>
      </c>
      <c r="F63" s="11">
        <v>0.11600000000000001</v>
      </c>
      <c r="G63" s="22" t="s">
        <v>26</v>
      </c>
      <c r="H63" s="22" t="s">
        <v>26</v>
      </c>
      <c r="I63" s="22" t="s">
        <v>26</v>
      </c>
      <c r="J63" s="22" t="s">
        <v>26</v>
      </c>
      <c r="K63" s="22" t="s">
        <v>26</v>
      </c>
      <c r="L63" s="22" t="s">
        <v>26</v>
      </c>
      <c r="M63" s="22" t="s">
        <v>26</v>
      </c>
      <c r="N63" s="22" t="s">
        <v>26</v>
      </c>
      <c r="O63" s="22" t="s">
        <v>26</v>
      </c>
      <c r="P63" s="22" t="s">
        <v>26</v>
      </c>
      <c r="Q63" s="22" t="s">
        <v>26</v>
      </c>
      <c r="R63" s="22" t="s">
        <v>26</v>
      </c>
      <c r="S63" s="22" t="s">
        <v>26</v>
      </c>
      <c r="T63" s="22" t="s">
        <v>26</v>
      </c>
      <c r="U63" s="22" t="s">
        <v>26</v>
      </c>
      <c r="V63" s="22" t="s">
        <v>26</v>
      </c>
      <c r="W63" s="22" t="s">
        <v>26</v>
      </c>
      <c r="X63" s="22" t="s">
        <v>26</v>
      </c>
      <c r="Y63" s="22" t="s">
        <v>26</v>
      </c>
      <c r="Z63" s="22" t="s">
        <v>26</v>
      </c>
      <c r="AA63" s="22" t="s">
        <v>26</v>
      </c>
      <c r="AB63" s="22" t="s">
        <v>26</v>
      </c>
      <c r="AC63" s="22" t="s">
        <v>26</v>
      </c>
      <c r="AD63" s="22" t="s">
        <v>26</v>
      </c>
      <c r="AE63" s="10">
        <v>22074473.079999998</v>
      </c>
      <c r="AF63" s="11">
        <v>3.6541410480000001E-5</v>
      </c>
      <c r="AG63" s="11">
        <v>0.12</v>
      </c>
      <c r="AH63" s="11">
        <v>0.12</v>
      </c>
      <c r="AI63" s="1" t="s">
        <v>26</v>
      </c>
      <c r="AJ63" s="1" t="s">
        <v>26</v>
      </c>
      <c r="AK63" s="1" t="s">
        <v>26</v>
      </c>
      <c r="AL63" s="1" t="s">
        <v>26</v>
      </c>
      <c r="AM63" s="1" t="s">
        <v>26</v>
      </c>
      <c r="AN63" s="1" t="s">
        <v>26</v>
      </c>
      <c r="AO63" s="1" t="s">
        <v>26</v>
      </c>
      <c r="AP63" s="1" t="s">
        <v>26</v>
      </c>
      <c r="AQ63" s="1" t="s">
        <v>26</v>
      </c>
      <c r="AR63" s="1" t="s">
        <v>26</v>
      </c>
      <c r="AS63" s="1" t="s">
        <v>26</v>
      </c>
      <c r="AT63" s="1" t="s">
        <v>26</v>
      </c>
      <c r="AU63" s="1" t="s">
        <v>26</v>
      </c>
      <c r="AV63" s="1" t="s">
        <v>26</v>
      </c>
      <c r="AW63" s="1" t="s">
        <v>26</v>
      </c>
      <c r="AX63" s="1" t="s">
        <v>26</v>
      </c>
      <c r="AY63" s="10">
        <v>22074473.079999998</v>
      </c>
      <c r="AZ63" s="11">
        <v>3.2173564230000001E-5</v>
      </c>
      <c r="BA63" s="11">
        <v>0.12</v>
      </c>
      <c r="BB63" s="11">
        <v>0.12</v>
      </c>
    </row>
    <row r="64" spans="1:54" s="7" customFormat="1">
      <c r="A64" s="3" t="s">
        <v>36</v>
      </c>
      <c r="B64" s="31" t="s">
        <v>56</v>
      </c>
      <c r="C64" s="2">
        <v>22074473.079999998</v>
      </c>
      <c r="D64" s="1">
        <v>1</v>
      </c>
      <c r="E64" s="22" t="s">
        <v>26</v>
      </c>
      <c r="F64" s="22" t="s">
        <v>26</v>
      </c>
      <c r="G64" s="22" t="s">
        <v>26</v>
      </c>
      <c r="H64" s="22" t="s">
        <v>26</v>
      </c>
      <c r="I64" s="22" t="s">
        <v>26</v>
      </c>
      <c r="J64" s="22" t="s">
        <v>26</v>
      </c>
      <c r="K64" s="22" t="s">
        <v>26</v>
      </c>
      <c r="L64" s="22" t="s">
        <v>26</v>
      </c>
      <c r="M64" s="22" t="s">
        <v>26</v>
      </c>
      <c r="N64" s="22" t="s">
        <v>26</v>
      </c>
      <c r="O64" s="22" t="s">
        <v>26</v>
      </c>
      <c r="P64" s="22" t="s">
        <v>26</v>
      </c>
      <c r="Q64" s="22" t="s">
        <v>26</v>
      </c>
      <c r="R64" s="22" t="s">
        <v>26</v>
      </c>
      <c r="S64" s="22" t="s">
        <v>26</v>
      </c>
      <c r="T64" s="22" t="s">
        <v>26</v>
      </c>
      <c r="U64" s="22" t="s">
        <v>26</v>
      </c>
      <c r="V64" s="22" t="s">
        <v>26</v>
      </c>
      <c r="W64" s="22" t="s">
        <v>26</v>
      </c>
      <c r="X64" s="22" t="s">
        <v>26</v>
      </c>
      <c r="Y64" s="22" t="s">
        <v>26</v>
      </c>
      <c r="Z64" s="22" t="s">
        <v>26</v>
      </c>
      <c r="AA64" s="22" t="s">
        <v>26</v>
      </c>
      <c r="AB64" s="22" t="s">
        <v>26</v>
      </c>
      <c r="AC64" s="22" t="s">
        <v>26</v>
      </c>
      <c r="AD64" s="22" t="s">
        <v>26</v>
      </c>
      <c r="AE64" s="2">
        <v>22074473.079999998</v>
      </c>
      <c r="AF64" s="1">
        <v>1</v>
      </c>
      <c r="AG64" s="22" t="s">
        <v>26</v>
      </c>
      <c r="AH64" s="22" t="s">
        <v>26</v>
      </c>
      <c r="AI64" s="1" t="s">
        <v>26</v>
      </c>
      <c r="AJ64" s="1" t="s">
        <v>26</v>
      </c>
      <c r="AK64" s="1" t="s">
        <v>26</v>
      </c>
      <c r="AL64" s="1" t="s">
        <v>26</v>
      </c>
      <c r="AM64" s="1" t="s">
        <v>26</v>
      </c>
      <c r="AN64" s="1" t="s">
        <v>26</v>
      </c>
      <c r="AO64" s="1" t="s">
        <v>26</v>
      </c>
      <c r="AP64" s="1" t="s">
        <v>26</v>
      </c>
      <c r="AQ64" s="1" t="s">
        <v>26</v>
      </c>
      <c r="AR64" s="1" t="s">
        <v>26</v>
      </c>
      <c r="AS64" s="1" t="s">
        <v>26</v>
      </c>
      <c r="AT64" s="1" t="s">
        <v>26</v>
      </c>
      <c r="AU64" s="1" t="s">
        <v>26</v>
      </c>
      <c r="AV64" s="1" t="s">
        <v>26</v>
      </c>
      <c r="AW64" s="1" t="s">
        <v>26</v>
      </c>
      <c r="AX64" s="1" t="s">
        <v>26</v>
      </c>
      <c r="AY64" s="2">
        <v>22074473.079999998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64</v>
      </c>
      <c r="B65" s="24" t="s">
        <v>25</v>
      </c>
      <c r="C65" s="22" t="s">
        <v>26</v>
      </c>
      <c r="D65" s="22" t="s">
        <v>26</v>
      </c>
      <c r="E65" s="22" t="s">
        <v>26</v>
      </c>
      <c r="F65" s="22" t="s">
        <v>26</v>
      </c>
      <c r="G65" s="22" t="s">
        <v>26</v>
      </c>
      <c r="H65" s="22" t="s">
        <v>26</v>
      </c>
      <c r="I65" s="22" t="s">
        <v>26</v>
      </c>
      <c r="J65" s="22" t="s">
        <v>26</v>
      </c>
      <c r="K65" s="10">
        <v>37474651.020000003</v>
      </c>
      <c r="L65" s="11">
        <v>1.398781489565E-2</v>
      </c>
      <c r="M65" s="11">
        <v>0.13500000000000001</v>
      </c>
      <c r="N65" s="11">
        <v>0.121</v>
      </c>
      <c r="O65" s="10">
        <v>58243348.310000002</v>
      </c>
      <c r="P65" s="11">
        <v>2.7538337332E-4</v>
      </c>
      <c r="Q65" s="11">
        <v>0.13289999999999999</v>
      </c>
      <c r="R65" s="11">
        <v>0.1326</v>
      </c>
      <c r="S65" s="10">
        <v>138965564.81</v>
      </c>
      <c r="T65" s="11">
        <v>1.3116912675200001E-3</v>
      </c>
      <c r="U65" s="11">
        <v>0.13500000000000001</v>
      </c>
      <c r="V65" s="11">
        <v>0.13370000000000001</v>
      </c>
      <c r="W65" s="22" t="s">
        <v>26</v>
      </c>
      <c r="X65" s="22" t="s">
        <v>26</v>
      </c>
      <c r="Y65" s="22" t="s">
        <v>26</v>
      </c>
      <c r="Z65" s="22" t="s">
        <v>26</v>
      </c>
      <c r="AA65" s="10">
        <v>30192142.199999999</v>
      </c>
      <c r="AB65" s="11">
        <v>2.3121878537999999E-4</v>
      </c>
      <c r="AC65" s="11">
        <v>0.12</v>
      </c>
      <c r="AD65" s="11">
        <v>0.1198</v>
      </c>
      <c r="AE65" s="10">
        <v>264875706.34</v>
      </c>
      <c r="AF65" s="11">
        <v>4.3846717777E-4</v>
      </c>
      <c r="AG65" s="11">
        <v>0.1328</v>
      </c>
      <c r="AH65" s="11">
        <v>0.13239999999999999</v>
      </c>
      <c r="AI65" s="10">
        <v>60257950.640000001</v>
      </c>
      <c r="AJ65" s="11">
        <v>3.70700559528E-3</v>
      </c>
      <c r="AK65" s="11">
        <v>0.13500000000000001</v>
      </c>
      <c r="AL65" s="11">
        <v>0.1313</v>
      </c>
      <c r="AM65" s="1" t="s">
        <v>26</v>
      </c>
      <c r="AN65" s="1" t="s">
        <v>26</v>
      </c>
      <c r="AO65" s="1" t="s">
        <v>26</v>
      </c>
      <c r="AP65" s="1" t="s">
        <v>26</v>
      </c>
      <c r="AQ65" s="10">
        <v>60257950.640000001</v>
      </c>
      <c r="AR65" s="11">
        <v>1.52305268911E-3</v>
      </c>
      <c r="AS65" s="11">
        <v>0.13500000000000001</v>
      </c>
      <c r="AT65" s="11">
        <v>0.13350000000000001</v>
      </c>
      <c r="AU65" s="10">
        <v>4951834.7300000004</v>
      </c>
      <c r="AV65" s="11">
        <v>1.1665847759E-4</v>
      </c>
      <c r="AW65" s="11">
        <v>0.13500000000000001</v>
      </c>
      <c r="AX65" s="11">
        <v>0.13489999999999999</v>
      </c>
      <c r="AY65" s="10">
        <v>330085491.70999998</v>
      </c>
      <c r="AZ65" s="11">
        <v>4.8109989893000001E-4</v>
      </c>
      <c r="BA65" s="11">
        <v>0.1333</v>
      </c>
      <c r="BB65" s="11">
        <v>0.1328</v>
      </c>
    </row>
    <row r="66" spans="1:54" s="7" customFormat="1">
      <c r="A66" s="3" t="s">
        <v>36</v>
      </c>
      <c r="B66" s="31" t="s">
        <v>56</v>
      </c>
      <c r="C66" s="22" t="s">
        <v>26</v>
      </c>
      <c r="D66" s="22" t="s">
        <v>26</v>
      </c>
      <c r="E66" s="22" t="s">
        <v>26</v>
      </c>
      <c r="F66" s="22" t="s">
        <v>26</v>
      </c>
      <c r="G66" s="22" t="s">
        <v>26</v>
      </c>
      <c r="H66" s="22" t="s">
        <v>26</v>
      </c>
      <c r="I66" s="22" t="s">
        <v>26</v>
      </c>
      <c r="J66" s="22" t="s">
        <v>26</v>
      </c>
      <c r="K66" s="22" t="s">
        <v>26</v>
      </c>
      <c r="L66" s="22" t="s">
        <v>26</v>
      </c>
      <c r="M66" s="22" t="s">
        <v>26</v>
      </c>
      <c r="N66" s="22" t="s">
        <v>26</v>
      </c>
      <c r="O66" s="2">
        <v>8193380.5199999996</v>
      </c>
      <c r="P66" s="1">
        <v>0.14067495701638999</v>
      </c>
      <c r="Q66" s="22" t="s">
        <v>26</v>
      </c>
      <c r="R66" s="22" t="s">
        <v>26</v>
      </c>
      <c r="S66" s="1" t="s">
        <v>26</v>
      </c>
      <c r="T66" s="1" t="s">
        <v>26</v>
      </c>
      <c r="U66" s="1" t="s">
        <v>26</v>
      </c>
      <c r="V66" s="1" t="s">
        <v>26</v>
      </c>
      <c r="W66" s="22" t="s">
        <v>26</v>
      </c>
      <c r="X66" s="22" t="s">
        <v>26</v>
      </c>
      <c r="Y66" s="22" t="s">
        <v>26</v>
      </c>
      <c r="Z66" s="22" t="s">
        <v>26</v>
      </c>
      <c r="AA66" s="2">
        <v>30192142.199999999</v>
      </c>
      <c r="AB66" s="1">
        <v>1</v>
      </c>
      <c r="AC66" s="22" t="s">
        <v>26</v>
      </c>
      <c r="AD66" s="22" t="s">
        <v>26</v>
      </c>
      <c r="AE66" s="2">
        <v>38385522.719999999</v>
      </c>
      <c r="AF66" s="1">
        <v>0.14491900087932999</v>
      </c>
      <c r="AG66" s="22" t="s">
        <v>26</v>
      </c>
      <c r="AH66" s="22" t="s">
        <v>26</v>
      </c>
      <c r="AI66" s="1" t="s">
        <v>26</v>
      </c>
      <c r="AJ66" s="1" t="s">
        <v>26</v>
      </c>
      <c r="AK66" s="1" t="s">
        <v>26</v>
      </c>
      <c r="AL66" s="1" t="s">
        <v>26</v>
      </c>
      <c r="AM66" s="1" t="s">
        <v>26</v>
      </c>
      <c r="AN66" s="1" t="s">
        <v>26</v>
      </c>
      <c r="AO66" s="1" t="s">
        <v>26</v>
      </c>
      <c r="AP66" s="1" t="s">
        <v>26</v>
      </c>
      <c r="AQ66" s="1" t="s">
        <v>26</v>
      </c>
      <c r="AR66" s="1" t="s">
        <v>26</v>
      </c>
      <c r="AS66" s="1" t="s">
        <v>26</v>
      </c>
      <c r="AT66" s="1" t="s">
        <v>26</v>
      </c>
      <c r="AU66" s="1" t="s">
        <v>26</v>
      </c>
      <c r="AV66" s="1" t="s">
        <v>26</v>
      </c>
      <c r="AW66" s="1" t="s">
        <v>26</v>
      </c>
      <c r="AX66" s="1" t="s">
        <v>26</v>
      </c>
      <c r="AY66" s="2">
        <v>38385522.719999999</v>
      </c>
      <c r="AZ66" s="1">
        <v>0.11628963915119001</v>
      </c>
      <c r="BA66" s="1" t="s">
        <v>26</v>
      </c>
      <c r="BB66" s="1" t="s">
        <v>26</v>
      </c>
    </row>
    <row r="67" spans="1:54" s="7" customFormat="1">
      <c r="A67" s="3" t="s">
        <v>38</v>
      </c>
      <c r="B67" s="31" t="s">
        <v>43</v>
      </c>
      <c r="C67" s="22" t="s">
        <v>26</v>
      </c>
      <c r="D67" s="22" t="s">
        <v>26</v>
      </c>
      <c r="E67" s="22" t="s">
        <v>26</v>
      </c>
      <c r="F67" s="22" t="s">
        <v>26</v>
      </c>
      <c r="G67" s="22" t="s">
        <v>26</v>
      </c>
      <c r="H67" s="22" t="s">
        <v>26</v>
      </c>
      <c r="I67" s="22" t="s">
        <v>26</v>
      </c>
      <c r="J67" s="22" t="s">
        <v>26</v>
      </c>
      <c r="K67" s="2">
        <v>37474651.020000003</v>
      </c>
      <c r="L67" s="1">
        <v>1</v>
      </c>
      <c r="M67" s="22" t="s">
        <v>26</v>
      </c>
      <c r="N67" s="22" t="s">
        <v>26</v>
      </c>
      <c r="O67" s="2">
        <v>50049967.789999999</v>
      </c>
      <c r="P67" s="1">
        <v>0.85932504298361001</v>
      </c>
      <c r="Q67" s="22" t="s">
        <v>26</v>
      </c>
      <c r="R67" s="22" t="s">
        <v>26</v>
      </c>
      <c r="S67" s="2">
        <v>138965564.81</v>
      </c>
      <c r="T67" s="1">
        <v>1</v>
      </c>
      <c r="U67" s="1" t="s">
        <v>26</v>
      </c>
      <c r="V67" s="1" t="s">
        <v>26</v>
      </c>
      <c r="W67" s="22" t="s">
        <v>26</v>
      </c>
      <c r="X67" s="22" t="s">
        <v>26</v>
      </c>
      <c r="Y67" s="22" t="s">
        <v>26</v>
      </c>
      <c r="Z67" s="22" t="s">
        <v>26</v>
      </c>
      <c r="AA67" s="2" t="s">
        <v>25</v>
      </c>
      <c r="AB67" s="1" t="s">
        <v>25</v>
      </c>
      <c r="AC67" s="22" t="s">
        <v>26</v>
      </c>
      <c r="AD67" s="22" t="s">
        <v>26</v>
      </c>
      <c r="AE67" s="2">
        <v>226490183.62</v>
      </c>
      <c r="AF67" s="1">
        <v>0.85508099912067004</v>
      </c>
      <c r="AG67" s="22" t="s">
        <v>26</v>
      </c>
      <c r="AH67" s="22" t="s">
        <v>26</v>
      </c>
      <c r="AI67" s="2">
        <v>60257950.640000001</v>
      </c>
      <c r="AJ67" s="1">
        <v>1</v>
      </c>
      <c r="AK67" s="1" t="s">
        <v>26</v>
      </c>
      <c r="AL67" s="1" t="s">
        <v>26</v>
      </c>
      <c r="AM67" s="1" t="s">
        <v>26</v>
      </c>
      <c r="AN67" s="1" t="s">
        <v>26</v>
      </c>
      <c r="AO67" s="1" t="s">
        <v>26</v>
      </c>
      <c r="AP67" s="1" t="s">
        <v>26</v>
      </c>
      <c r="AQ67" s="2">
        <v>60257950.640000001</v>
      </c>
      <c r="AR67" s="1">
        <v>1</v>
      </c>
      <c r="AS67" s="1" t="s">
        <v>26</v>
      </c>
      <c r="AT67" s="1" t="s">
        <v>26</v>
      </c>
      <c r="AU67" s="2">
        <v>4951834.7300000004</v>
      </c>
      <c r="AV67" s="1">
        <v>1</v>
      </c>
      <c r="AW67" s="1" t="s">
        <v>26</v>
      </c>
      <c r="AX67" s="1" t="s">
        <v>26</v>
      </c>
      <c r="AY67" s="2">
        <v>291699968.99000001</v>
      </c>
      <c r="AZ67" s="1">
        <v>0.88371036084881005</v>
      </c>
      <c r="BA67" s="1" t="s">
        <v>26</v>
      </c>
      <c r="BB67" s="1" t="s">
        <v>26</v>
      </c>
    </row>
    <row r="68" spans="1:54" s="7" customFormat="1">
      <c r="A68" s="13" t="s">
        <v>65</v>
      </c>
      <c r="B68" s="25" t="s">
        <v>25</v>
      </c>
      <c r="C68" s="55">
        <v>591436527.48000002</v>
      </c>
      <c r="D68" s="56">
        <v>0.10671589962357</v>
      </c>
      <c r="E68" s="56" t="s">
        <v>26</v>
      </c>
      <c r="F68" s="56" t="s">
        <v>26</v>
      </c>
      <c r="G68" s="55">
        <v>5393588899.04</v>
      </c>
      <c r="H68" s="56">
        <v>3.8002524705329999E-2</v>
      </c>
      <c r="I68" s="56" t="s">
        <v>26</v>
      </c>
      <c r="J68" s="56" t="s">
        <v>26</v>
      </c>
      <c r="K68" s="55">
        <v>516776659.05000001</v>
      </c>
      <c r="L68" s="56">
        <v>0.19289242334309001</v>
      </c>
      <c r="M68" s="56" t="s">
        <v>26</v>
      </c>
      <c r="N68" s="56" t="s">
        <v>26</v>
      </c>
      <c r="O68" s="55">
        <v>10379106540.91</v>
      </c>
      <c r="P68" s="56">
        <v>4.907398791887E-2</v>
      </c>
      <c r="Q68" s="56" t="s">
        <v>26</v>
      </c>
      <c r="R68" s="56" t="s">
        <v>26</v>
      </c>
      <c r="S68" s="55">
        <v>5462837928.5600004</v>
      </c>
      <c r="T68" s="56">
        <v>5.1563542497629997E-2</v>
      </c>
      <c r="U68" s="56" t="s">
        <v>26</v>
      </c>
      <c r="V68" s="56" t="s">
        <v>26</v>
      </c>
      <c r="W68" s="55" t="s">
        <v>25</v>
      </c>
      <c r="X68" s="56" t="s">
        <v>25</v>
      </c>
      <c r="Y68" s="56" t="s">
        <v>25</v>
      </c>
      <c r="Z68" s="56" t="s">
        <v>25</v>
      </c>
      <c r="AA68" s="55">
        <v>5461300033.4099998</v>
      </c>
      <c r="AB68" s="56">
        <v>4.1823967043340002E-2</v>
      </c>
      <c r="AC68" s="56" t="s">
        <v>26</v>
      </c>
      <c r="AD68" s="56" t="s">
        <v>26</v>
      </c>
      <c r="AE68" s="55">
        <v>27805046588.450001</v>
      </c>
      <c r="AF68" s="56">
        <v>4.6027627349439999E-2</v>
      </c>
      <c r="AG68" s="56" t="s">
        <v>26</v>
      </c>
      <c r="AH68" s="56" t="s">
        <v>26</v>
      </c>
      <c r="AI68" s="55">
        <v>1115109406.27</v>
      </c>
      <c r="AJ68" s="56">
        <v>6.8600355048329995E-2</v>
      </c>
      <c r="AK68" s="56" t="s">
        <v>26</v>
      </c>
      <c r="AL68" s="56" t="s">
        <v>26</v>
      </c>
      <c r="AM68" s="55">
        <v>2199151805.5900002</v>
      </c>
      <c r="AN68" s="56">
        <v>9.4348663420020004E-2</v>
      </c>
      <c r="AO68" s="56" t="s">
        <v>25</v>
      </c>
      <c r="AP68" s="56" t="s">
        <v>25</v>
      </c>
      <c r="AQ68" s="55">
        <v>3314261211.8600001</v>
      </c>
      <c r="AR68" s="56">
        <v>8.3769766437670007E-2</v>
      </c>
      <c r="AS68" s="56" t="s">
        <v>26</v>
      </c>
      <c r="AT68" s="56" t="s">
        <v>26</v>
      </c>
      <c r="AU68" s="55">
        <v>1393796106.6300001</v>
      </c>
      <c r="AV68" s="56">
        <v>3.2835936725260001E-2</v>
      </c>
      <c r="AW68" s="56" t="s">
        <v>26</v>
      </c>
      <c r="AX68" s="56" t="s">
        <v>26</v>
      </c>
      <c r="AY68" s="55">
        <v>32513103906.939999</v>
      </c>
      <c r="AZ68" s="56">
        <v>4.7387877978130002E-2</v>
      </c>
      <c r="BA68" s="56" t="s">
        <v>26</v>
      </c>
      <c r="BB68" s="56" t="s">
        <v>26</v>
      </c>
    </row>
    <row r="69" spans="1:54" s="7" customFormat="1">
      <c r="A69" s="5" t="s">
        <v>105</v>
      </c>
      <c r="B69" s="24" t="s">
        <v>25</v>
      </c>
      <c r="C69" s="22" t="s">
        <v>26</v>
      </c>
      <c r="D69" s="22" t="s">
        <v>26</v>
      </c>
      <c r="E69" s="22" t="s">
        <v>26</v>
      </c>
      <c r="F69" s="22" t="s">
        <v>26</v>
      </c>
      <c r="G69" s="22" t="s">
        <v>26</v>
      </c>
      <c r="H69" s="22" t="s">
        <v>26</v>
      </c>
      <c r="I69" s="22" t="s">
        <v>26</v>
      </c>
      <c r="J69" s="22" t="s">
        <v>26</v>
      </c>
      <c r="K69" s="10">
        <v>51011733.359999999</v>
      </c>
      <c r="L69" s="11">
        <v>1.904067587888E-2</v>
      </c>
      <c r="M69" s="11">
        <v>0.08</v>
      </c>
      <c r="N69" s="11">
        <v>6.0999999999999999E-2</v>
      </c>
      <c r="O69" s="22" t="s">
        <v>26</v>
      </c>
      <c r="P69" s="22" t="s">
        <v>26</v>
      </c>
      <c r="Q69" s="22" t="s">
        <v>26</v>
      </c>
      <c r="R69" s="22" t="s">
        <v>26</v>
      </c>
      <c r="S69" s="10">
        <v>84870468.819999993</v>
      </c>
      <c r="T69" s="11">
        <v>8.0108948553999997E-4</v>
      </c>
      <c r="U69" s="11">
        <v>0.08</v>
      </c>
      <c r="V69" s="11">
        <v>7.9200000000000007E-2</v>
      </c>
      <c r="W69" s="22" t="s">
        <v>26</v>
      </c>
      <c r="X69" s="22" t="s">
        <v>26</v>
      </c>
      <c r="Y69" s="22" t="s">
        <v>26</v>
      </c>
      <c r="Z69" s="22" t="s">
        <v>26</v>
      </c>
      <c r="AA69" s="22" t="s">
        <v>26</v>
      </c>
      <c r="AB69" s="22" t="s">
        <v>26</v>
      </c>
      <c r="AC69" s="22" t="s">
        <v>26</v>
      </c>
      <c r="AD69" s="22" t="s">
        <v>26</v>
      </c>
      <c r="AE69" s="10">
        <v>135882202.18000001</v>
      </c>
      <c r="AF69" s="11">
        <v>2.2493525934E-4</v>
      </c>
      <c r="AG69" s="11">
        <v>0.08</v>
      </c>
      <c r="AH69" s="11">
        <v>7.9799999999999996E-2</v>
      </c>
      <c r="AI69" s="1" t="s">
        <v>26</v>
      </c>
      <c r="AJ69" s="1" t="s">
        <v>26</v>
      </c>
      <c r="AK69" s="1" t="s">
        <v>26</v>
      </c>
      <c r="AL69" s="1" t="s">
        <v>26</v>
      </c>
      <c r="AM69" s="1" t="s">
        <v>26</v>
      </c>
      <c r="AN69" s="1" t="s">
        <v>26</v>
      </c>
      <c r="AO69" s="1" t="s">
        <v>26</v>
      </c>
      <c r="AP69" s="1" t="s">
        <v>26</v>
      </c>
      <c r="AQ69" s="1" t="s">
        <v>26</v>
      </c>
      <c r="AR69" s="1" t="s">
        <v>26</v>
      </c>
      <c r="AS69" s="1" t="s">
        <v>26</v>
      </c>
      <c r="AT69" s="1" t="s">
        <v>26</v>
      </c>
      <c r="AU69" s="1" t="s">
        <v>26</v>
      </c>
      <c r="AV69" s="1" t="s">
        <v>26</v>
      </c>
      <c r="AW69" s="1" t="s">
        <v>26</v>
      </c>
      <c r="AX69" s="1" t="s">
        <v>26</v>
      </c>
      <c r="AY69" s="10">
        <v>135882202.18000001</v>
      </c>
      <c r="AZ69" s="11">
        <v>1.9804843102E-4</v>
      </c>
      <c r="BA69" s="11">
        <v>0.08</v>
      </c>
      <c r="BB69" s="11">
        <v>7.9799999999999996E-2</v>
      </c>
    </row>
    <row r="70" spans="1:54" s="7" customFormat="1">
      <c r="A70" s="3" t="s">
        <v>67</v>
      </c>
      <c r="B70" s="31" t="s">
        <v>56</v>
      </c>
      <c r="C70" s="22" t="s">
        <v>26</v>
      </c>
      <c r="D70" s="22" t="s">
        <v>26</v>
      </c>
      <c r="E70" s="22" t="s">
        <v>26</v>
      </c>
      <c r="F70" s="22" t="s">
        <v>26</v>
      </c>
      <c r="G70" s="22" t="s">
        <v>26</v>
      </c>
      <c r="H70" s="22" t="s">
        <v>26</v>
      </c>
      <c r="I70" s="22" t="s">
        <v>26</v>
      </c>
      <c r="J70" s="22" t="s">
        <v>26</v>
      </c>
      <c r="K70" s="2">
        <v>51011733.359999999</v>
      </c>
      <c r="L70" s="1">
        <v>1</v>
      </c>
      <c r="M70" s="22" t="s">
        <v>26</v>
      </c>
      <c r="N70" s="22" t="s">
        <v>26</v>
      </c>
      <c r="O70" s="22" t="s">
        <v>26</v>
      </c>
      <c r="P70" s="22" t="s">
        <v>26</v>
      </c>
      <c r="Q70" s="22" t="s">
        <v>26</v>
      </c>
      <c r="R70" s="22" t="s">
        <v>26</v>
      </c>
      <c r="S70" s="2">
        <v>84870468.819999993</v>
      </c>
      <c r="T70" s="1">
        <v>1</v>
      </c>
      <c r="U70" s="1" t="s">
        <v>26</v>
      </c>
      <c r="V70" s="1" t="s">
        <v>26</v>
      </c>
      <c r="W70" s="22" t="s">
        <v>26</v>
      </c>
      <c r="X70" s="22" t="s">
        <v>26</v>
      </c>
      <c r="Y70" s="22" t="s">
        <v>26</v>
      </c>
      <c r="Z70" s="22" t="s">
        <v>26</v>
      </c>
      <c r="AA70" s="22" t="s">
        <v>26</v>
      </c>
      <c r="AB70" s="22" t="s">
        <v>26</v>
      </c>
      <c r="AC70" s="22" t="s">
        <v>26</v>
      </c>
      <c r="AD70" s="22" t="s">
        <v>26</v>
      </c>
      <c r="AE70" s="2">
        <v>135882202.18000001</v>
      </c>
      <c r="AF70" s="1">
        <v>1</v>
      </c>
      <c r="AG70" s="22" t="s">
        <v>26</v>
      </c>
      <c r="AH70" s="22" t="s">
        <v>26</v>
      </c>
      <c r="AI70" s="1" t="s">
        <v>26</v>
      </c>
      <c r="AJ70" s="1" t="s">
        <v>26</v>
      </c>
      <c r="AK70" s="1" t="s">
        <v>26</v>
      </c>
      <c r="AL70" s="1" t="s">
        <v>26</v>
      </c>
      <c r="AM70" s="1" t="s">
        <v>26</v>
      </c>
      <c r="AN70" s="1" t="s">
        <v>26</v>
      </c>
      <c r="AO70" s="1" t="s">
        <v>26</v>
      </c>
      <c r="AP70" s="1" t="s">
        <v>26</v>
      </c>
      <c r="AQ70" s="1" t="s">
        <v>26</v>
      </c>
      <c r="AR70" s="1" t="s">
        <v>26</v>
      </c>
      <c r="AS70" s="1" t="s">
        <v>26</v>
      </c>
      <c r="AT70" s="1" t="s">
        <v>26</v>
      </c>
      <c r="AU70" s="1" t="s">
        <v>26</v>
      </c>
      <c r="AV70" s="1" t="s">
        <v>26</v>
      </c>
      <c r="AW70" s="1" t="s">
        <v>26</v>
      </c>
      <c r="AX70" s="1" t="s">
        <v>26</v>
      </c>
      <c r="AY70" s="2">
        <v>135882202.18000001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66</v>
      </c>
      <c r="B71" s="24" t="s">
        <v>25</v>
      </c>
      <c r="C71" s="22" t="s">
        <v>26</v>
      </c>
      <c r="D71" s="22" t="s">
        <v>26</v>
      </c>
      <c r="E71" s="22" t="s">
        <v>26</v>
      </c>
      <c r="F71" s="22" t="s">
        <v>26</v>
      </c>
      <c r="G71" s="10">
        <v>200878439.16</v>
      </c>
      <c r="H71" s="11">
        <v>1.4153633118600001E-3</v>
      </c>
      <c r="I71" s="11">
        <v>0.08</v>
      </c>
      <c r="J71" s="11">
        <v>7.8600000000000003E-2</v>
      </c>
      <c r="K71" s="10">
        <v>80086947.760000005</v>
      </c>
      <c r="L71" s="11">
        <v>2.9893311087190001E-2</v>
      </c>
      <c r="M71" s="11">
        <v>0.08</v>
      </c>
      <c r="N71" s="11">
        <v>5.0099999999999999E-2</v>
      </c>
      <c r="O71" s="10">
        <v>165147255.25</v>
      </c>
      <c r="P71" s="11">
        <v>7.8084123879000003E-4</v>
      </c>
      <c r="Q71" s="11">
        <v>0.08</v>
      </c>
      <c r="R71" s="11">
        <v>7.9200000000000007E-2</v>
      </c>
      <c r="S71" s="22" t="s">
        <v>26</v>
      </c>
      <c r="T71" s="22" t="s">
        <v>26</v>
      </c>
      <c r="U71" s="22" t="s">
        <v>26</v>
      </c>
      <c r="V71" s="22" t="s">
        <v>26</v>
      </c>
      <c r="W71" s="22" t="s">
        <v>26</v>
      </c>
      <c r="X71" s="22" t="s">
        <v>26</v>
      </c>
      <c r="Y71" s="22" t="s">
        <v>26</v>
      </c>
      <c r="Z71" s="22" t="s">
        <v>26</v>
      </c>
      <c r="AA71" s="10">
        <v>43237092.299999997</v>
      </c>
      <c r="AB71" s="11">
        <v>3.3112019341999997E-4</v>
      </c>
      <c r="AC71" s="11">
        <v>0.08</v>
      </c>
      <c r="AD71" s="11">
        <v>7.9699999999999993E-2</v>
      </c>
      <c r="AE71" s="10">
        <v>489349734.47000003</v>
      </c>
      <c r="AF71" s="11">
        <v>8.1005464781999995E-4</v>
      </c>
      <c r="AG71" s="11">
        <v>0.08</v>
      </c>
      <c r="AH71" s="11">
        <v>7.9200000000000007E-2</v>
      </c>
      <c r="AI71" s="1" t="s">
        <v>26</v>
      </c>
      <c r="AJ71" s="1" t="s">
        <v>26</v>
      </c>
      <c r="AK71" s="1" t="s">
        <v>26</v>
      </c>
      <c r="AL71" s="1" t="s">
        <v>26</v>
      </c>
      <c r="AM71" s="1" t="s">
        <v>26</v>
      </c>
      <c r="AN71" s="1" t="s">
        <v>26</v>
      </c>
      <c r="AO71" s="1" t="s">
        <v>26</v>
      </c>
      <c r="AP71" s="1" t="s">
        <v>26</v>
      </c>
      <c r="AQ71" s="1" t="s">
        <v>26</v>
      </c>
      <c r="AR71" s="1" t="s">
        <v>26</v>
      </c>
      <c r="AS71" s="1" t="s">
        <v>26</v>
      </c>
      <c r="AT71" s="1" t="s">
        <v>26</v>
      </c>
      <c r="AU71" s="1" t="s">
        <v>26</v>
      </c>
      <c r="AV71" s="1" t="s">
        <v>26</v>
      </c>
      <c r="AW71" s="1" t="s">
        <v>26</v>
      </c>
      <c r="AX71" s="1" t="s">
        <v>26</v>
      </c>
      <c r="AY71" s="10">
        <v>489349734.47000003</v>
      </c>
      <c r="AZ71" s="11">
        <v>7.1322767497000001E-4</v>
      </c>
      <c r="BA71" s="11">
        <v>0.08</v>
      </c>
      <c r="BB71" s="11">
        <v>7.9299999999999995E-2</v>
      </c>
    </row>
    <row r="72" spans="1:54" s="7" customFormat="1">
      <c r="A72" s="3" t="s">
        <v>67</v>
      </c>
      <c r="B72" s="31" t="s">
        <v>56</v>
      </c>
      <c r="C72" s="22" t="s">
        <v>26</v>
      </c>
      <c r="D72" s="22" t="s">
        <v>26</v>
      </c>
      <c r="E72" s="22" t="s">
        <v>26</v>
      </c>
      <c r="F72" s="22" t="s">
        <v>26</v>
      </c>
      <c r="G72" s="2">
        <v>200878439.16</v>
      </c>
      <c r="H72" s="1">
        <v>1</v>
      </c>
      <c r="I72" s="22" t="s">
        <v>26</v>
      </c>
      <c r="J72" s="22" t="s">
        <v>26</v>
      </c>
      <c r="K72" s="2">
        <v>80086947.760000005</v>
      </c>
      <c r="L72" s="1">
        <v>1</v>
      </c>
      <c r="M72" s="22" t="s">
        <v>26</v>
      </c>
      <c r="N72" s="22" t="s">
        <v>26</v>
      </c>
      <c r="O72" s="2">
        <v>165147255.25</v>
      </c>
      <c r="P72" s="1">
        <v>1</v>
      </c>
      <c r="Q72" s="22" t="s">
        <v>26</v>
      </c>
      <c r="R72" s="22" t="s">
        <v>26</v>
      </c>
      <c r="S72" s="22" t="s">
        <v>26</v>
      </c>
      <c r="T72" s="22" t="s">
        <v>26</v>
      </c>
      <c r="U72" s="22" t="s">
        <v>26</v>
      </c>
      <c r="V72" s="22" t="s">
        <v>26</v>
      </c>
      <c r="W72" s="22" t="s">
        <v>26</v>
      </c>
      <c r="X72" s="22" t="s">
        <v>26</v>
      </c>
      <c r="Y72" s="22" t="s">
        <v>26</v>
      </c>
      <c r="Z72" s="22" t="s">
        <v>26</v>
      </c>
      <c r="AA72" s="2">
        <v>43237092.299999997</v>
      </c>
      <c r="AB72" s="1">
        <v>1</v>
      </c>
      <c r="AC72" s="22" t="s">
        <v>26</v>
      </c>
      <c r="AD72" s="22" t="s">
        <v>26</v>
      </c>
      <c r="AE72" s="2">
        <v>489349734.47000003</v>
      </c>
      <c r="AF72" s="1">
        <v>1</v>
      </c>
      <c r="AG72" s="22" t="s">
        <v>26</v>
      </c>
      <c r="AH72" s="22" t="s">
        <v>26</v>
      </c>
      <c r="AI72" s="1" t="s">
        <v>26</v>
      </c>
      <c r="AJ72" s="1" t="s">
        <v>26</v>
      </c>
      <c r="AK72" s="1" t="s">
        <v>26</v>
      </c>
      <c r="AL72" s="1" t="s">
        <v>26</v>
      </c>
      <c r="AM72" s="1" t="s">
        <v>26</v>
      </c>
      <c r="AN72" s="1" t="s">
        <v>26</v>
      </c>
      <c r="AO72" s="1" t="s">
        <v>26</v>
      </c>
      <c r="AP72" s="1" t="s">
        <v>26</v>
      </c>
      <c r="AQ72" s="1" t="s">
        <v>26</v>
      </c>
      <c r="AR72" s="1" t="s">
        <v>26</v>
      </c>
      <c r="AS72" s="1" t="s">
        <v>26</v>
      </c>
      <c r="AT72" s="1" t="s">
        <v>26</v>
      </c>
      <c r="AU72" s="1" t="s">
        <v>26</v>
      </c>
      <c r="AV72" s="1" t="s">
        <v>26</v>
      </c>
      <c r="AW72" s="1" t="s">
        <v>26</v>
      </c>
      <c r="AX72" s="1" t="s">
        <v>26</v>
      </c>
      <c r="AY72" s="2">
        <v>489349734.47000003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68</v>
      </c>
      <c r="B73" s="24" t="s">
        <v>25</v>
      </c>
      <c r="C73" s="22" t="s">
        <v>26</v>
      </c>
      <c r="D73" s="22" t="s">
        <v>26</v>
      </c>
      <c r="E73" s="22" t="s">
        <v>26</v>
      </c>
      <c r="F73" s="22" t="s">
        <v>26</v>
      </c>
      <c r="G73" s="10">
        <v>525080739.87</v>
      </c>
      <c r="H73" s="11">
        <v>3.69965048555E-3</v>
      </c>
      <c r="I73" s="11">
        <v>0.09</v>
      </c>
      <c r="J73" s="11">
        <v>8.6300000000000002E-2</v>
      </c>
      <c r="K73" s="22" t="s">
        <v>26</v>
      </c>
      <c r="L73" s="22" t="s">
        <v>26</v>
      </c>
      <c r="M73" s="22" t="s">
        <v>26</v>
      </c>
      <c r="N73" s="22" t="s">
        <v>26</v>
      </c>
      <c r="O73" s="10">
        <v>1155486536.6400001</v>
      </c>
      <c r="P73" s="11">
        <v>5.4633153745900003E-3</v>
      </c>
      <c r="Q73" s="11">
        <v>0.09</v>
      </c>
      <c r="R73" s="11">
        <v>8.4500000000000006E-2</v>
      </c>
      <c r="S73" s="10">
        <v>528573846.88999999</v>
      </c>
      <c r="T73" s="11">
        <v>4.9891906686000001E-3</v>
      </c>
      <c r="U73" s="11">
        <v>0.09</v>
      </c>
      <c r="V73" s="11">
        <v>8.5000000000000006E-2</v>
      </c>
      <c r="W73" s="22" t="s">
        <v>26</v>
      </c>
      <c r="X73" s="22" t="s">
        <v>26</v>
      </c>
      <c r="Y73" s="22" t="s">
        <v>26</v>
      </c>
      <c r="Z73" s="22" t="s">
        <v>26</v>
      </c>
      <c r="AA73" s="10">
        <v>1406779310.0799999</v>
      </c>
      <c r="AB73" s="11">
        <v>1.077345890944E-2</v>
      </c>
      <c r="AC73" s="11">
        <v>0.09</v>
      </c>
      <c r="AD73" s="11">
        <v>7.9200000000000007E-2</v>
      </c>
      <c r="AE73" s="10">
        <v>3615920433.48</v>
      </c>
      <c r="AF73" s="11">
        <v>5.9856845665799997E-3</v>
      </c>
      <c r="AG73" s="11">
        <v>0.09</v>
      </c>
      <c r="AH73" s="11">
        <v>8.4000000000000005E-2</v>
      </c>
      <c r="AI73" s="10">
        <v>98306546.379999995</v>
      </c>
      <c r="AJ73" s="11">
        <v>6.0477150917399997E-3</v>
      </c>
      <c r="AK73" s="11">
        <v>0.09</v>
      </c>
      <c r="AL73" s="11">
        <v>8.4000000000000005E-2</v>
      </c>
      <c r="AM73" s="10">
        <v>13831532.42</v>
      </c>
      <c r="AN73" s="11">
        <v>5.9340450876000002E-4</v>
      </c>
      <c r="AO73" s="11">
        <v>0.09</v>
      </c>
      <c r="AP73" s="11">
        <v>8.9399999999999993E-2</v>
      </c>
      <c r="AQ73" s="10">
        <v>112138078.8</v>
      </c>
      <c r="AR73" s="11">
        <v>2.8343513288100002E-3</v>
      </c>
      <c r="AS73" s="11">
        <v>0.09</v>
      </c>
      <c r="AT73" s="11">
        <v>8.72E-2</v>
      </c>
      <c r="AU73" s="10">
        <v>190362442.77000001</v>
      </c>
      <c r="AV73" s="11">
        <v>4.4846797145800003E-3</v>
      </c>
      <c r="AW73" s="11">
        <v>0.09</v>
      </c>
      <c r="AX73" s="11">
        <v>8.5500000000000007E-2</v>
      </c>
      <c r="AY73" s="10">
        <v>3918420955.0500002</v>
      </c>
      <c r="AZ73" s="11">
        <v>5.7111020410799997E-3</v>
      </c>
      <c r="BA73" s="11">
        <v>0.09</v>
      </c>
      <c r="BB73" s="11">
        <v>8.43E-2</v>
      </c>
    </row>
    <row r="74" spans="1:54" s="7" customFormat="1">
      <c r="A74" s="3" t="s">
        <v>67</v>
      </c>
      <c r="B74" s="31" t="s">
        <v>37</v>
      </c>
      <c r="C74" s="22" t="s">
        <v>26</v>
      </c>
      <c r="D74" s="22" t="s">
        <v>26</v>
      </c>
      <c r="E74" s="22" t="s">
        <v>26</v>
      </c>
      <c r="F74" s="22" t="s">
        <v>26</v>
      </c>
      <c r="G74" s="2">
        <v>525080739.87</v>
      </c>
      <c r="H74" s="1">
        <v>1</v>
      </c>
      <c r="I74" s="22" t="s">
        <v>26</v>
      </c>
      <c r="J74" s="22" t="s">
        <v>26</v>
      </c>
      <c r="K74" s="22" t="s">
        <v>26</v>
      </c>
      <c r="L74" s="22" t="s">
        <v>26</v>
      </c>
      <c r="M74" s="22" t="s">
        <v>26</v>
      </c>
      <c r="N74" s="22" t="s">
        <v>26</v>
      </c>
      <c r="O74" s="2">
        <v>1155486536.6400001</v>
      </c>
      <c r="P74" s="1">
        <v>1</v>
      </c>
      <c r="Q74" s="22" t="s">
        <v>26</v>
      </c>
      <c r="R74" s="22" t="s">
        <v>26</v>
      </c>
      <c r="S74" s="2">
        <v>528573846.88999999</v>
      </c>
      <c r="T74" s="1">
        <v>1</v>
      </c>
      <c r="U74" s="1" t="s">
        <v>26</v>
      </c>
      <c r="V74" s="1" t="s">
        <v>26</v>
      </c>
      <c r="W74" s="22" t="s">
        <v>26</v>
      </c>
      <c r="X74" s="22" t="s">
        <v>26</v>
      </c>
      <c r="Y74" s="22" t="s">
        <v>26</v>
      </c>
      <c r="Z74" s="22" t="s">
        <v>26</v>
      </c>
      <c r="AA74" s="2">
        <v>1406779310.0799999</v>
      </c>
      <c r="AB74" s="1">
        <v>1</v>
      </c>
      <c r="AC74" s="22" t="s">
        <v>26</v>
      </c>
      <c r="AD74" s="22" t="s">
        <v>26</v>
      </c>
      <c r="AE74" s="2">
        <v>3615920433.48</v>
      </c>
      <c r="AF74" s="1">
        <v>1</v>
      </c>
      <c r="AG74" s="22" t="s">
        <v>26</v>
      </c>
      <c r="AH74" s="22" t="s">
        <v>26</v>
      </c>
      <c r="AI74" s="2">
        <v>98306546.379999995</v>
      </c>
      <c r="AJ74" s="1">
        <v>1</v>
      </c>
      <c r="AK74" s="1" t="s">
        <v>26</v>
      </c>
      <c r="AL74" s="1" t="s">
        <v>26</v>
      </c>
      <c r="AM74" s="2">
        <v>13831532.42</v>
      </c>
      <c r="AN74" s="1">
        <v>1</v>
      </c>
      <c r="AO74" s="1" t="s">
        <v>26</v>
      </c>
      <c r="AP74" s="1" t="s">
        <v>26</v>
      </c>
      <c r="AQ74" s="2">
        <v>112138078.8</v>
      </c>
      <c r="AR74" s="1">
        <v>1</v>
      </c>
      <c r="AS74" s="1" t="s">
        <v>26</v>
      </c>
      <c r="AT74" s="1" t="s">
        <v>26</v>
      </c>
      <c r="AU74" s="2">
        <v>190362442.77000001</v>
      </c>
      <c r="AV74" s="1">
        <v>1</v>
      </c>
      <c r="AW74" s="1" t="s">
        <v>26</v>
      </c>
      <c r="AX74" s="1" t="s">
        <v>26</v>
      </c>
      <c r="AY74" s="2">
        <v>3918420955.0500002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69</v>
      </c>
      <c r="B75" s="24" t="s">
        <v>25</v>
      </c>
      <c r="C75" s="10">
        <v>311246867</v>
      </c>
      <c r="D75" s="11">
        <v>5.6159854648220001E-2</v>
      </c>
      <c r="E75" s="11">
        <v>0.08</v>
      </c>
      <c r="F75" s="11">
        <v>2.3800000000000002E-2</v>
      </c>
      <c r="G75" s="10">
        <v>405871580</v>
      </c>
      <c r="H75" s="11">
        <v>2.8597182756900002E-3</v>
      </c>
      <c r="I75" s="11">
        <v>0.08</v>
      </c>
      <c r="J75" s="11">
        <v>7.7100000000000002E-2</v>
      </c>
      <c r="K75" s="10">
        <v>164991664.03</v>
      </c>
      <c r="L75" s="11">
        <v>6.1584905875319999E-2</v>
      </c>
      <c r="M75" s="11">
        <v>0.08</v>
      </c>
      <c r="N75" s="11">
        <v>1.84E-2</v>
      </c>
      <c r="O75" s="10">
        <v>1447091310.21</v>
      </c>
      <c r="P75" s="11">
        <v>6.84206691538E-3</v>
      </c>
      <c r="Q75" s="11">
        <v>0.08</v>
      </c>
      <c r="R75" s="11">
        <v>7.3200000000000001E-2</v>
      </c>
      <c r="S75" s="10">
        <v>312173589.85000002</v>
      </c>
      <c r="T75" s="11">
        <v>2.9465959593499998E-3</v>
      </c>
      <c r="U75" s="11">
        <v>0.08</v>
      </c>
      <c r="V75" s="11">
        <v>7.7100000000000002E-2</v>
      </c>
      <c r="W75" s="22" t="s">
        <v>26</v>
      </c>
      <c r="X75" s="22" t="s">
        <v>26</v>
      </c>
      <c r="Y75" s="22" t="s">
        <v>26</v>
      </c>
      <c r="Z75" s="22" t="s">
        <v>26</v>
      </c>
      <c r="AA75" s="22" t="s">
        <v>26</v>
      </c>
      <c r="AB75" s="22" t="s">
        <v>26</v>
      </c>
      <c r="AC75" s="22" t="s">
        <v>26</v>
      </c>
      <c r="AD75" s="22" t="s">
        <v>26</v>
      </c>
      <c r="AE75" s="10">
        <v>2641375011.0900002</v>
      </c>
      <c r="AF75" s="11">
        <v>4.3724517531000002E-3</v>
      </c>
      <c r="AG75" s="11">
        <v>0.08</v>
      </c>
      <c r="AH75" s="11">
        <v>7.5600000000000001E-2</v>
      </c>
      <c r="AI75" s="1" t="s">
        <v>26</v>
      </c>
      <c r="AJ75" s="1" t="s">
        <v>26</v>
      </c>
      <c r="AK75" s="1" t="s">
        <v>26</v>
      </c>
      <c r="AL75" s="1" t="s">
        <v>26</v>
      </c>
      <c r="AM75" s="1" t="s">
        <v>26</v>
      </c>
      <c r="AN75" s="1" t="s">
        <v>26</v>
      </c>
      <c r="AO75" s="1" t="s">
        <v>26</v>
      </c>
      <c r="AP75" s="1" t="s">
        <v>26</v>
      </c>
      <c r="AQ75" s="1" t="s">
        <v>26</v>
      </c>
      <c r="AR75" s="1" t="s">
        <v>26</v>
      </c>
      <c r="AS75" s="1" t="s">
        <v>26</v>
      </c>
      <c r="AT75" s="1" t="s">
        <v>26</v>
      </c>
      <c r="AU75" s="1" t="s">
        <v>26</v>
      </c>
      <c r="AV75" s="1" t="s">
        <v>26</v>
      </c>
      <c r="AW75" s="1" t="s">
        <v>26</v>
      </c>
      <c r="AX75" s="1" t="s">
        <v>26</v>
      </c>
      <c r="AY75" s="10">
        <v>2641375011.0900002</v>
      </c>
      <c r="AZ75" s="11">
        <v>3.8498064373800002E-3</v>
      </c>
      <c r="BA75" s="11">
        <v>0.08</v>
      </c>
      <c r="BB75" s="11">
        <v>7.6200000000000004E-2</v>
      </c>
    </row>
    <row r="76" spans="1:54" s="7" customFormat="1">
      <c r="A76" s="3" t="s">
        <v>67</v>
      </c>
      <c r="B76" s="31" t="s">
        <v>56</v>
      </c>
      <c r="C76" s="2">
        <v>311246867</v>
      </c>
      <c r="D76" s="1">
        <v>1</v>
      </c>
      <c r="E76" s="22" t="s">
        <v>26</v>
      </c>
      <c r="F76" s="22" t="s">
        <v>26</v>
      </c>
      <c r="G76" s="2">
        <v>405871580</v>
      </c>
      <c r="H76" s="1">
        <v>1</v>
      </c>
      <c r="I76" s="22" t="s">
        <v>26</v>
      </c>
      <c r="J76" s="22" t="s">
        <v>26</v>
      </c>
      <c r="K76" s="2">
        <v>164991664.03</v>
      </c>
      <c r="L76" s="1">
        <v>1</v>
      </c>
      <c r="M76" s="22" t="s">
        <v>26</v>
      </c>
      <c r="N76" s="22" t="s">
        <v>26</v>
      </c>
      <c r="O76" s="2">
        <v>1447091310.21</v>
      </c>
      <c r="P76" s="1">
        <v>1</v>
      </c>
      <c r="Q76" s="22" t="s">
        <v>26</v>
      </c>
      <c r="R76" s="22" t="s">
        <v>26</v>
      </c>
      <c r="S76" s="2">
        <v>312173589.85000002</v>
      </c>
      <c r="T76" s="1">
        <v>1</v>
      </c>
      <c r="U76" s="1" t="s">
        <v>26</v>
      </c>
      <c r="V76" s="1" t="s">
        <v>26</v>
      </c>
      <c r="W76" s="22" t="s">
        <v>26</v>
      </c>
      <c r="X76" s="22" t="s">
        <v>26</v>
      </c>
      <c r="Y76" s="22" t="s">
        <v>26</v>
      </c>
      <c r="Z76" s="22" t="s">
        <v>26</v>
      </c>
      <c r="AA76" s="22" t="s">
        <v>26</v>
      </c>
      <c r="AB76" s="22" t="s">
        <v>26</v>
      </c>
      <c r="AC76" s="22" t="s">
        <v>26</v>
      </c>
      <c r="AD76" s="22" t="s">
        <v>26</v>
      </c>
      <c r="AE76" s="2">
        <v>2641375011.0900002</v>
      </c>
      <c r="AF76" s="1">
        <v>1</v>
      </c>
      <c r="AG76" s="22" t="s">
        <v>26</v>
      </c>
      <c r="AH76" s="22" t="s">
        <v>26</v>
      </c>
      <c r="AI76" s="1" t="s">
        <v>26</v>
      </c>
      <c r="AJ76" s="1" t="s">
        <v>26</v>
      </c>
      <c r="AK76" s="1" t="s">
        <v>26</v>
      </c>
      <c r="AL76" s="1" t="s">
        <v>26</v>
      </c>
      <c r="AM76" s="1" t="s">
        <v>26</v>
      </c>
      <c r="AN76" s="1" t="s">
        <v>26</v>
      </c>
      <c r="AO76" s="1" t="s">
        <v>26</v>
      </c>
      <c r="AP76" s="1" t="s">
        <v>26</v>
      </c>
      <c r="AQ76" s="1" t="s">
        <v>26</v>
      </c>
      <c r="AR76" s="1" t="s">
        <v>26</v>
      </c>
      <c r="AS76" s="1" t="s">
        <v>26</v>
      </c>
      <c r="AT76" s="1" t="s">
        <v>26</v>
      </c>
      <c r="AU76" s="1" t="s">
        <v>26</v>
      </c>
      <c r="AV76" s="1" t="s">
        <v>26</v>
      </c>
      <c r="AW76" s="1" t="s">
        <v>26</v>
      </c>
      <c r="AX76" s="1" t="s">
        <v>26</v>
      </c>
      <c r="AY76" s="2">
        <v>2641375011.0900002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70</v>
      </c>
      <c r="B77" s="24" t="s">
        <v>25</v>
      </c>
      <c r="C77" s="22" t="s">
        <v>26</v>
      </c>
      <c r="D77" s="22" t="s">
        <v>26</v>
      </c>
      <c r="E77" s="22" t="s">
        <v>26</v>
      </c>
      <c r="F77" s="22" t="s">
        <v>26</v>
      </c>
      <c r="G77" s="10">
        <v>2391509166.6599998</v>
      </c>
      <c r="H77" s="11">
        <v>1.685026202223E-2</v>
      </c>
      <c r="I77" s="11">
        <v>0.09</v>
      </c>
      <c r="J77" s="11">
        <v>7.3099999999999998E-2</v>
      </c>
      <c r="K77" s="22" t="s">
        <v>26</v>
      </c>
      <c r="L77" s="22" t="s">
        <v>26</v>
      </c>
      <c r="M77" s="22" t="s">
        <v>26</v>
      </c>
      <c r="N77" s="22" t="s">
        <v>26</v>
      </c>
      <c r="O77" s="10">
        <v>2235474558.1999998</v>
      </c>
      <c r="P77" s="11">
        <v>1.056966233362E-2</v>
      </c>
      <c r="Q77" s="11">
        <v>0.09</v>
      </c>
      <c r="R77" s="11">
        <v>7.9399999999999998E-2</v>
      </c>
      <c r="S77" s="10">
        <v>1399542780.1300001</v>
      </c>
      <c r="T77" s="11">
        <v>1.321023698016E-2</v>
      </c>
      <c r="U77" s="11">
        <v>0.09</v>
      </c>
      <c r="V77" s="11">
        <v>7.6799999999999993E-2</v>
      </c>
      <c r="W77" s="22" t="s">
        <v>26</v>
      </c>
      <c r="X77" s="22" t="s">
        <v>26</v>
      </c>
      <c r="Y77" s="22" t="s">
        <v>26</v>
      </c>
      <c r="Z77" s="22" t="s">
        <v>26</v>
      </c>
      <c r="AA77" s="10">
        <v>1866736383.8699999</v>
      </c>
      <c r="AB77" s="11">
        <v>1.4295922311530001E-2</v>
      </c>
      <c r="AC77" s="11">
        <v>0.09</v>
      </c>
      <c r="AD77" s="11">
        <v>7.5700000000000003E-2</v>
      </c>
      <c r="AE77" s="10">
        <v>7893262888.8599997</v>
      </c>
      <c r="AF77" s="11">
        <v>1.3066267005299999E-2</v>
      </c>
      <c r="AG77" s="11">
        <v>0.09</v>
      </c>
      <c r="AH77" s="11">
        <v>7.6899999999999996E-2</v>
      </c>
      <c r="AI77" s="10">
        <v>16627309.859999999</v>
      </c>
      <c r="AJ77" s="11">
        <v>1.02289457293E-3</v>
      </c>
      <c r="AK77" s="11">
        <v>0.09</v>
      </c>
      <c r="AL77" s="11">
        <v>8.8999999999999996E-2</v>
      </c>
      <c r="AM77" s="10">
        <v>119056667.27</v>
      </c>
      <c r="AN77" s="11">
        <v>5.10780447244E-3</v>
      </c>
      <c r="AO77" s="11">
        <v>0.09</v>
      </c>
      <c r="AP77" s="11">
        <v>8.4900000000000003E-2</v>
      </c>
      <c r="AQ77" s="10">
        <v>135683977.13</v>
      </c>
      <c r="AR77" s="11">
        <v>3.4294867987000001E-3</v>
      </c>
      <c r="AS77" s="11">
        <v>0.09</v>
      </c>
      <c r="AT77" s="11">
        <v>8.6599999999999996E-2</v>
      </c>
      <c r="AU77" s="10">
        <v>489468699.50999999</v>
      </c>
      <c r="AV77" s="11">
        <v>1.1531215483849999E-2</v>
      </c>
      <c r="AW77" s="11">
        <v>0.09</v>
      </c>
      <c r="AX77" s="11">
        <v>7.85E-2</v>
      </c>
      <c r="AY77" s="10">
        <v>8518415565.5</v>
      </c>
      <c r="AZ77" s="11">
        <v>1.241559829355E-2</v>
      </c>
      <c r="BA77" s="11">
        <v>0.09</v>
      </c>
      <c r="BB77" s="11">
        <v>7.7600000000000002E-2</v>
      </c>
    </row>
    <row r="78" spans="1:54" s="7" customFormat="1">
      <c r="A78" s="3" t="s">
        <v>67</v>
      </c>
      <c r="B78" s="31" t="s">
        <v>37</v>
      </c>
      <c r="C78" s="22" t="s">
        <v>26</v>
      </c>
      <c r="D78" s="22" t="s">
        <v>26</v>
      </c>
      <c r="E78" s="22" t="s">
        <v>26</v>
      </c>
      <c r="F78" s="22" t="s">
        <v>26</v>
      </c>
      <c r="G78" s="2">
        <v>2391509166.6599998</v>
      </c>
      <c r="H78" s="1">
        <v>1</v>
      </c>
      <c r="I78" s="22" t="s">
        <v>26</v>
      </c>
      <c r="J78" s="22" t="s">
        <v>26</v>
      </c>
      <c r="K78" s="22" t="s">
        <v>26</v>
      </c>
      <c r="L78" s="22" t="s">
        <v>26</v>
      </c>
      <c r="M78" s="22" t="s">
        <v>26</v>
      </c>
      <c r="N78" s="22" t="s">
        <v>26</v>
      </c>
      <c r="O78" s="2">
        <v>2235474558.1999998</v>
      </c>
      <c r="P78" s="1">
        <v>1</v>
      </c>
      <c r="Q78" s="22" t="s">
        <v>26</v>
      </c>
      <c r="R78" s="22" t="s">
        <v>26</v>
      </c>
      <c r="S78" s="2">
        <v>1399542780.1300001</v>
      </c>
      <c r="T78" s="1">
        <v>1</v>
      </c>
      <c r="U78" s="1" t="s">
        <v>26</v>
      </c>
      <c r="V78" s="1" t="s">
        <v>26</v>
      </c>
      <c r="W78" s="22" t="s">
        <v>26</v>
      </c>
      <c r="X78" s="22" t="s">
        <v>26</v>
      </c>
      <c r="Y78" s="22" t="s">
        <v>26</v>
      </c>
      <c r="Z78" s="22" t="s">
        <v>26</v>
      </c>
      <c r="AA78" s="2">
        <v>1866736383.8699999</v>
      </c>
      <c r="AB78" s="1">
        <v>1</v>
      </c>
      <c r="AC78" s="22" t="s">
        <v>26</v>
      </c>
      <c r="AD78" s="22" t="s">
        <v>26</v>
      </c>
      <c r="AE78" s="2">
        <v>7893262888.8599997</v>
      </c>
      <c r="AF78" s="1">
        <v>1</v>
      </c>
      <c r="AG78" s="22" t="s">
        <v>26</v>
      </c>
      <c r="AH78" s="22" t="s">
        <v>26</v>
      </c>
      <c r="AI78" s="2">
        <v>16627309.859999999</v>
      </c>
      <c r="AJ78" s="1">
        <v>1</v>
      </c>
      <c r="AK78" s="1" t="s">
        <v>26</v>
      </c>
      <c r="AL78" s="1" t="s">
        <v>26</v>
      </c>
      <c r="AM78" s="2">
        <v>119056667.27</v>
      </c>
      <c r="AN78" s="1">
        <v>1</v>
      </c>
      <c r="AO78" s="1" t="s">
        <v>26</v>
      </c>
      <c r="AP78" s="1" t="s">
        <v>26</v>
      </c>
      <c r="AQ78" s="2">
        <v>135683977.13</v>
      </c>
      <c r="AR78" s="1">
        <v>1</v>
      </c>
      <c r="AS78" s="1" t="s">
        <v>26</v>
      </c>
      <c r="AT78" s="1" t="s">
        <v>26</v>
      </c>
      <c r="AU78" s="2">
        <v>489468699.50999999</v>
      </c>
      <c r="AV78" s="1">
        <v>1</v>
      </c>
      <c r="AW78" s="1" t="s">
        <v>25</v>
      </c>
      <c r="AX78" s="1" t="s">
        <v>25</v>
      </c>
      <c r="AY78" s="2">
        <v>8518415565.5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71</v>
      </c>
      <c r="B79" s="24" t="s">
        <v>25</v>
      </c>
      <c r="C79" s="10">
        <v>87780681.680000007</v>
      </c>
      <c r="D79" s="11">
        <v>1.58387146884E-2</v>
      </c>
      <c r="E79" s="11">
        <v>0.08</v>
      </c>
      <c r="F79" s="11">
        <v>6.4199999999999993E-2</v>
      </c>
      <c r="G79" s="10">
        <v>223044518.93000001</v>
      </c>
      <c r="H79" s="11">
        <v>1.57154262212E-3</v>
      </c>
      <c r="I79" s="11">
        <v>0.08</v>
      </c>
      <c r="J79" s="11">
        <v>7.8399999999999997E-2</v>
      </c>
      <c r="K79" s="10">
        <v>105667463.38</v>
      </c>
      <c r="L79" s="11">
        <v>3.9441512543069997E-2</v>
      </c>
      <c r="M79" s="11">
        <v>0.08</v>
      </c>
      <c r="N79" s="11">
        <v>4.0599999999999997E-2</v>
      </c>
      <c r="O79" s="10">
        <v>2750972026.9200001</v>
      </c>
      <c r="P79" s="11">
        <v>1.3007012451609999E-2</v>
      </c>
      <c r="Q79" s="11">
        <v>0.08</v>
      </c>
      <c r="R79" s="11">
        <v>6.7000000000000004E-2</v>
      </c>
      <c r="S79" s="10">
        <v>2902277535.5599999</v>
      </c>
      <c r="T79" s="11">
        <v>2.7394499526039999E-2</v>
      </c>
      <c r="U79" s="11">
        <v>0.08</v>
      </c>
      <c r="V79" s="11">
        <v>5.2600000000000001E-2</v>
      </c>
      <c r="W79" s="22" t="s">
        <v>26</v>
      </c>
      <c r="X79" s="22" t="s">
        <v>26</v>
      </c>
      <c r="Y79" s="22" t="s">
        <v>26</v>
      </c>
      <c r="Z79" s="22" t="s">
        <v>26</v>
      </c>
      <c r="AA79" s="10">
        <v>1892107190.76</v>
      </c>
      <c r="AB79" s="11">
        <v>1.449021813574E-2</v>
      </c>
      <c r="AC79" s="11">
        <v>0.08</v>
      </c>
      <c r="AD79" s="11">
        <v>6.5500000000000003E-2</v>
      </c>
      <c r="AE79" s="10">
        <v>7961849417.2299995</v>
      </c>
      <c r="AF79" s="11">
        <v>1.317980305564E-2</v>
      </c>
      <c r="AG79" s="11">
        <v>0.08</v>
      </c>
      <c r="AH79" s="11">
        <v>6.6799999999999998E-2</v>
      </c>
      <c r="AI79" s="10">
        <v>618339619.30999994</v>
      </c>
      <c r="AJ79" s="11">
        <v>3.8039601483590001E-2</v>
      </c>
      <c r="AK79" s="11">
        <v>0.08</v>
      </c>
      <c r="AL79" s="11">
        <v>4.2000000000000003E-2</v>
      </c>
      <c r="AM79" s="10">
        <v>1696835874.7</v>
      </c>
      <c r="AN79" s="11">
        <v>7.2798156277410001E-2</v>
      </c>
      <c r="AO79" s="11">
        <v>0.08</v>
      </c>
      <c r="AP79" s="11">
        <v>7.1999999999999998E-3</v>
      </c>
      <c r="AQ79" s="10">
        <v>2315175494.0100002</v>
      </c>
      <c r="AR79" s="11">
        <v>5.8517327994970003E-2</v>
      </c>
      <c r="AS79" s="11">
        <v>0.08</v>
      </c>
      <c r="AT79" s="11">
        <v>2.1499999999999998E-2</v>
      </c>
      <c r="AU79" s="10">
        <v>713964964.35000002</v>
      </c>
      <c r="AV79" s="11">
        <v>1.6820041526830001E-2</v>
      </c>
      <c r="AW79" s="11">
        <v>0.08</v>
      </c>
      <c r="AX79" s="11">
        <v>6.3200000000000006E-2</v>
      </c>
      <c r="AY79" s="10">
        <v>10990989875.59</v>
      </c>
      <c r="AZ79" s="11">
        <v>1.601937755848E-2</v>
      </c>
      <c r="BA79" s="11">
        <v>0.08</v>
      </c>
      <c r="BB79" s="11">
        <v>6.4000000000000001E-2</v>
      </c>
    </row>
    <row r="80" spans="1:54" s="7" customFormat="1">
      <c r="A80" s="3" t="s">
        <v>67</v>
      </c>
      <c r="B80" s="31" t="s">
        <v>56</v>
      </c>
      <c r="C80" s="2">
        <v>87780681.680000007</v>
      </c>
      <c r="D80" s="1">
        <v>1</v>
      </c>
      <c r="E80" s="22" t="s">
        <v>26</v>
      </c>
      <c r="F80" s="22" t="s">
        <v>26</v>
      </c>
      <c r="G80" s="2">
        <v>223044518.93000001</v>
      </c>
      <c r="H80" s="1">
        <v>1</v>
      </c>
      <c r="I80" s="22" t="s">
        <v>26</v>
      </c>
      <c r="J80" s="22" t="s">
        <v>26</v>
      </c>
      <c r="K80" s="2">
        <v>105667463.38</v>
      </c>
      <c r="L80" s="1">
        <v>1</v>
      </c>
      <c r="M80" s="22" t="s">
        <v>26</v>
      </c>
      <c r="N80" s="22" t="s">
        <v>26</v>
      </c>
      <c r="O80" s="2">
        <v>2750972026.9200001</v>
      </c>
      <c r="P80" s="1">
        <v>1</v>
      </c>
      <c r="Q80" s="22" t="s">
        <v>26</v>
      </c>
      <c r="R80" s="22" t="s">
        <v>26</v>
      </c>
      <c r="S80" s="2">
        <v>2902277535.5599999</v>
      </c>
      <c r="T80" s="1">
        <v>1</v>
      </c>
      <c r="U80" s="1" t="s">
        <v>26</v>
      </c>
      <c r="V80" s="1" t="s">
        <v>26</v>
      </c>
      <c r="W80" s="22" t="s">
        <v>26</v>
      </c>
      <c r="X80" s="22" t="s">
        <v>26</v>
      </c>
      <c r="Y80" s="22" t="s">
        <v>26</v>
      </c>
      <c r="Z80" s="22" t="s">
        <v>26</v>
      </c>
      <c r="AA80" s="2">
        <v>1892107190.76</v>
      </c>
      <c r="AB80" s="1">
        <v>1</v>
      </c>
      <c r="AC80" s="22" t="s">
        <v>26</v>
      </c>
      <c r="AD80" s="22" t="s">
        <v>26</v>
      </c>
      <c r="AE80" s="2">
        <v>7961849417.2299995</v>
      </c>
      <c r="AF80" s="1">
        <v>1</v>
      </c>
      <c r="AG80" s="22" t="s">
        <v>26</v>
      </c>
      <c r="AH80" s="22" t="s">
        <v>26</v>
      </c>
      <c r="AI80" s="2">
        <v>618339619.30999994</v>
      </c>
      <c r="AJ80" s="1">
        <v>1</v>
      </c>
      <c r="AK80" s="1" t="s">
        <v>26</v>
      </c>
      <c r="AL80" s="1" t="s">
        <v>26</v>
      </c>
      <c r="AM80" s="2">
        <v>1696835874.7</v>
      </c>
      <c r="AN80" s="1">
        <v>1</v>
      </c>
      <c r="AO80" s="1" t="s">
        <v>26</v>
      </c>
      <c r="AP80" s="1" t="s">
        <v>26</v>
      </c>
      <c r="AQ80" s="2">
        <v>2315175494.0100002</v>
      </c>
      <c r="AR80" s="1">
        <v>1</v>
      </c>
      <c r="AS80" s="1" t="s">
        <v>26</v>
      </c>
      <c r="AT80" s="1" t="s">
        <v>26</v>
      </c>
      <c r="AU80" s="2">
        <v>713964964.35000002</v>
      </c>
      <c r="AV80" s="1">
        <v>1</v>
      </c>
      <c r="AW80" s="1" t="s">
        <v>26</v>
      </c>
      <c r="AX80" s="1" t="s">
        <v>26</v>
      </c>
      <c r="AY80" s="2">
        <v>10990989875.59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72</v>
      </c>
      <c r="B81" s="24" t="s">
        <v>25</v>
      </c>
      <c r="C81" s="10">
        <v>90527428.780000001</v>
      </c>
      <c r="D81" s="11">
        <v>1.6334324232610001E-2</v>
      </c>
      <c r="E81" s="11">
        <v>0.08</v>
      </c>
      <c r="F81" s="11">
        <v>6.3700000000000007E-2</v>
      </c>
      <c r="G81" s="10">
        <v>637752074.11000001</v>
      </c>
      <c r="H81" s="11">
        <v>4.49351802777E-3</v>
      </c>
      <c r="I81" s="11">
        <v>0.08</v>
      </c>
      <c r="J81" s="11">
        <v>7.5499999999999998E-2</v>
      </c>
      <c r="K81" s="10">
        <v>106076277</v>
      </c>
      <c r="L81" s="11">
        <v>3.9594106605659998E-2</v>
      </c>
      <c r="M81" s="11">
        <v>0.08</v>
      </c>
      <c r="N81" s="11">
        <v>4.0399999999999998E-2</v>
      </c>
      <c r="O81" s="10">
        <v>1840418418.9000001</v>
      </c>
      <c r="P81" s="11">
        <v>8.7017770651799994E-3</v>
      </c>
      <c r="Q81" s="11">
        <v>0.08</v>
      </c>
      <c r="R81" s="11">
        <v>7.1300000000000002E-2</v>
      </c>
      <c r="S81" s="22" t="s">
        <v>26</v>
      </c>
      <c r="T81" s="22" t="s">
        <v>26</v>
      </c>
      <c r="U81" s="22" t="s">
        <v>26</v>
      </c>
      <c r="V81" s="22" t="s">
        <v>26</v>
      </c>
      <c r="W81" s="22" t="s">
        <v>26</v>
      </c>
      <c r="X81" s="22" t="s">
        <v>26</v>
      </c>
      <c r="Y81" s="22" t="s">
        <v>26</v>
      </c>
      <c r="Z81" s="22" t="s">
        <v>26</v>
      </c>
      <c r="AA81" s="22" t="s">
        <v>26</v>
      </c>
      <c r="AB81" s="22" t="s">
        <v>26</v>
      </c>
      <c r="AC81" s="22" t="s">
        <v>26</v>
      </c>
      <c r="AD81" s="22" t="s">
        <v>26</v>
      </c>
      <c r="AE81" s="10">
        <v>2674774198.79</v>
      </c>
      <c r="AF81" s="11">
        <v>4.42773975128E-3</v>
      </c>
      <c r="AG81" s="11">
        <v>0.08</v>
      </c>
      <c r="AH81" s="11">
        <v>7.5600000000000001E-2</v>
      </c>
      <c r="AI81" s="1" t="s">
        <v>26</v>
      </c>
      <c r="AJ81" s="1" t="s">
        <v>26</v>
      </c>
      <c r="AK81" s="1" t="s">
        <v>26</v>
      </c>
      <c r="AL81" s="1" t="s">
        <v>26</v>
      </c>
      <c r="AM81" s="10">
        <v>369427731.19999999</v>
      </c>
      <c r="AN81" s="11">
        <v>1.584929816142E-2</v>
      </c>
      <c r="AO81" s="11">
        <v>0.08</v>
      </c>
      <c r="AP81" s="11">
        <v>6.4199999999999993E-2</v>
      </c>
      <c r="AQ81" s="10">
        <v>369427731.19999999</v>
      </c>
      <c r="AR81" s="11">
        <v>9.3374881398799996E-3</v>
      </c>
      <c r="AS81" s="11">
        <v>0.08</v>
      </c>
      <c r="AT81" s="11">
        <v>7.0699999999999999E-2</v>
      </c>
      <c r="AU81" s="1" t="s">
        <v>26</v>
      </c>
      <c r="AV81" s="1" t="s">
        <v>26</v>
      </c>
      <c r="AW81" s="1" t="s">
        <v>26</v>
      </c>
      <c r="AX81" s="1" t="s">
        <v>26</v>
      </c>
      <c r="AY81" s="10">
        <v>3044201929.9899998</v>
      </c>
      <c r="AZ81" s="11">
        <v>4.4369270313900002E-3</v>
      </c>
      <c r="BA81" s="11">
        <v>0.08</v>
      </c>
      <c r="BB81" s="11">
        <v>7.5600000000000001E-2</v>
      </c>
    </row>
    <row r="82" spans="1:54" s="7" customFormat="1">
      <c r="A82" s="3" t="s">
        <v>67</v>
      </c>
      <c r="B82" s="31" t="s">
        <v>56</v>
      </c>
      <c r="C82" s="2">
        <v>90527428.780000001</v>
      </c>
      <c r="D82" s="1">
        <v>1</v>
      </c>
      <c r="E82" s="22" t="s">
        <v>26</v>
      </c>
      <c r="F82" s="22" t="s">
        <v>26</v>
      </c>
      <c r="G82" s="2">
        <v>637752074.11000001</v>
      </c>
      <c r="H82" s="1">
        <v>1</v>
      </c>
      <c r="I82" s="22" t="s">
        <v>26</v>
      </c>
      <c r="J82" s="22" t="s">
        <v>26</v>
      </c>
      <c r="K82" s="2">
        <v>106076277</v>
      </c>
      <c r="L82" s="1">
        <v>1</v>
      </c>
      <c r="M82" s="22" t="s">
        <v>26</v>
      </c>
      <c r="N82" s="22" t="s">
        <v>26</v>
      </c>
      <c r="O82" s="2">
        <v>1840418418.9000001</v>
      </c>
      <c r="P82" s="1">
        <v>1</v>
      </c>
      <c r="Q82" s="22" t="s">
        <v>26</v>
      </c>
      <c r="R82" s="22" t="s">
        <v>26</v>
      </c>
      <c r="S82" s="22" t="s">
        <v>26</v>
      </c>
      <c r="T82" s="22" t="s">
        <v>26</v>
      </c>
      <c r="U82" s="22" t="s">
        <v>26</v>
      </c>
      <c r="V82" s="22" t="s">
        <v>26</v>
      </c>
      <c r="W82" s="22" t="s">
        <v>26</v>
      </c>
      <c r="X82" s="22" t="s">
        <v>26</v>
      </c>
      <c r="Y82" s="22" t="s">
        <v>26</v>
      </c>
      <c r="Z82" s="22" t="s">
        <v>26</v>
      </c>
      <c r="AA82" s="22" t="s">
        <v>26</v>
      </c>
      <c r="AB82" s="22" t="s">
        <v>26</v>
      </c>
      <c r="AC82" s="22" t="s">
        <v>26</v>
      </c>
      <c r="AD82" s="22" t="s">
        <v>26</v>
      </c>
      <c r="AE82" s="2">
        <v>2674774198.79</v>
      </c>
      <c r="AF82" s="1">
        <v>1</v>
      </c>
      <c r="AG82" s="22" t="s">
        <v>26</v>
      </c>
      <c r="AH82" s="22" t="s">
        <v>26</v>
      </c>
      <c r="AI82" s="1" t="s">
        <v>26</v>
      </c>
      <c r="AJ82" s="1" t="s">
        <v>26</v>
      </c>
      <c r="AK82" s="1" t="s">
        <v>26</v>
      </c>
      <c r="AL82" s="1" t="s">
        <v>26</v>
      </c>
      <c r="AM82" s="2">
        <v>369427731.19999999</v>
      </c>
      <c r="AN82" s="1">
        <v>1</v>
      </c>
      <c r="AO82" s="1" t="s">
        <v>26</v>
      </c>
      <c r="AP82" s="1" t="s">
        <v>26</v>
      </c>
      <c r="AQ82" s="2">
        <v>369427731.19999999</v>
      </c>
      <c r="AR82" s="1">
        <v>1</v>
      </c>
      <c r="AS82" s="1" t="s">
        <v>26</v>
      </c>
      <c r="AT82" s="1" t="s">
        <v>26</v>
      </c>
      <c r="AU82" s="1" t="s">
        <v>26</v>
      </c>
      <c r="AV82" s="1" t="s">
        <v>26</v>
      </c>
      <c r="AW82" s="1" t="s">
        <v>26</v>
      </c>
      <c r="AX82" s="1" t="s">
        <v>26</v>
      </c>
      <c r="AY82" s="2">
        <v>3044201929.9899998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73</v>
      </c>
      <c r="B83" s="24" t="s">
        <v>25</v>
      </c>
      <c r="C83" s="10">
        <v>89271852.450000003</v>
      </c>
      <c r="D83" s="11">
        <v>1.6107774211809998E-2</v>
      </c>
      <c r="E83" s="11">
        <v>0.06</v>
      </c>
      <c r="F83" s="11">
        <v>4.3900000000000002E-2</v>
      </c>
      <c r="G83" s="10">
        <v>415028762.31</v>
      </c>
      <c r="H83" s="11">
        <v>2.9242385892499999E-3</v>
      </c>
      <c r="I83" s="11">
        <v>0.06</v>
      </c>
      <c r="J83" s="11">
        <v>5.7099999999999998E-2</v>
      </c>
      <c r="K83" s="10">
        <v>8942573.5199999996</v>
      </c>
      <c r="L83" s="11">
        <v>3.3379113529800001E-3</v>
      </c>
      <c r="M83" s="11">
        <v>0.06</v>
      </c>
      <c r="N83" s="11">
        <v>5.67E-2</v>
      </c>
      <c r="O83" s="10">
        <v>403450941.20999998</v>
      </c>
      <c r="P83" s="11">
        <v>1.9075771634800001E-3</v>
      </c>
      <c r="Q83" s="11">
        <v>0.06</v>
      </c>
      <c r="R83" s="11">
        <v>5.8099999999999999E-2</v>
      </c>
      <c r="S83" s="10">
        <v>129667321.59999999</v>
      </c>
      <c r="T83" s="11">
        <v>1.2239254642600001E-3</v>
      </c>
      <c r="U83" s="11">
        <v>0.06</v>
      </c>
      <c r="V83" s="11">
        <v>5.8799999999999998E-2</v>
      </c>
      <c r="W83" s="22" t="s">
        <v>26</v>
      </c>
      <c r="X83" s="22" t="s">
        <v>26</v>
      </c>
      <c r="Y83" s="22" t="s">
        <v>26</v>
      </c>
      <c r="Z83" s="22" t="s">
        <v>26</v>
      </c>
      <c r="AA83" s="10">
        <v>102090745.40000001</v>
      </c>
      <c r="AB83" s="11">
        <v>7.8183581654999996E-4</v>
      </c>
      <c r="AC83" s="11">
        <v>0.06</v>
      </c>
      <c r="AD83" s="11">
        <v>5.9200000000000003E-2</v>
      </c>
      <c r="AE83" s="10">
        <v>1148452196.49</v>
      </c>
      <c r="AF83" s="11">
        <v>1.9011127911799999E-3</v>
      </c>
      <c r="AG83" s="11">
        <v>0.06</v>
      </c>
      <c r="AH83" s="11">
        <v>5.8099999999999999E-2</v>
      </c>
      <c r="AI83" s="10">
        <v>267257601.72</v>
      </c>
      <c r="AJ83" s="11">
        <v>1.6441405896380001E-2</v>
      </c>
      <c r="AK83" s="11">
        <v>0.06</v>
      </c>
      <c r="AL83" s="11">
        <v>4.36E-2</v>
      </c>
      <c r="AM83" s="1" t="s">
        <v>26</v>
      </c>
      <c r="AN83" s="1" t="s">
        <v>26</v>
      </c>
      <c r="AO83" s="1" t="s">
        <v>26</v>
      </c>
      <c r="AP83" s="1" t="s">
        <v>26</v>
      </c>
      <c r="AQ83" s="10">
        <v>267257601.72</v>
      </c>
      <c r="AR83" s="11">
        <v>6.75508218684E-3</v>
      </c>
      <c r="AS83" s="11">
        <v>0.06</v>
      </c>
      <c r="AT83" s="11">
        <v>5.3199999999999997E-2</v>
      </c>
      <c r="AU83" s="1" t="s">
        <v>26</v>
      </c>
      <c r="AV83" s="1" t="s">
        <v>26</v>
      </c>
      <c r="AW83" s="1" t="s">
        <v>26</v>
      </c>
      <c r="AX83" s="1" t="s">
        <v>26</v>
      </c>
      <c r="AY83" s="10">
        <v>1415709798.21</v>
      </c>
      <c r="AZ83" s="11">
        <v>2.0633982951000001E-3</v>
      </c>
      <c r="BA83" s="11">
        <v>0.06</v>
      </c>
      <c r="BB83" s="11">
        <v>5.79E-2</v>
      </c>
    </row>
    <row r="84" spans="1:54" s="7" customFormat="1">
      <c r="A84" s="3" t="s">
        <v>67</v>
      </c>
      <c r="B84" s="31" t="s">
        <v>46</v>
      </c>
      <c r="C84" s="2">
        <v>89271852.450000003</v>
      </c>
      <c r="D84" s="1">
        <v>1</v>
      </c>
      <c r="E84" s="22" t="s">
        <v>26</v>
      </c>
      <c r="F84" s="22" t="s">
        <v>26</v>
      </c>
      <c r="G84" s="2">
        <v>415028762.31</v>
      </c>
      <c r="H84" s="1">
        <v>1</v>
      </c>
      <c r="I84" s="22" t="s">
        <v>26</v>
      </c>
      <c r="J84" s="22" t="s">
        <v>26</v>
      </c>
      <c r="K84" s="2">
        <v>8942573.5199999996</v>
      </c>
      <c r="L84" s="1">
        <v>1</v>
      </c>
      <c r="M84" s="22" t="s">
        <v>26</v>
      </c>
      <c r="N84" s="22" t="s">
        <v>26</v>
      </c>
      <c r="O84" s="2">
        <v>403450941.20999998</v>
      </c>
      <c r="P84" s="1">
        <v>1</v>
      </c>
      <c r="Q84" s="22" t="s">
        <v>26</v>
      </c>
      <c r="R84" s="22" t="s">
        <v>26</v>
      </c>
      <c r="S84" s="2">
        <v>129667321.59999999</v>
      </c>
      <c r="T84" s="1">
        <v>1</v>
      </c>
      <c r="U84" s="1" t="s">
        <v>26</v>
      </c>
      <c r="V84" s="1" t="s">
        <v>26</v>
      </c>
      <c r="W84" s="22" t="s">
        <v>26</v>
      </c>
      <c r="X84" s="22" t="s">
        <v>26</v>
      </c>
      <c r="Y84" s="22" t="s">
        <v>26</v>
      </c>
      <c r="Z84" s="22" t="s">
        <v>26</v>
      </c>
      <c r="AA84" s="2">
        <v>102090745.40000001</v>
      </c>
      <c r="AB84" s="1">
        <v>1</v>
      </c>
      <c r="AC84" s="22" t="s">
        <v>26</v>
      </c>
      <c r="AD84" s="22" t="s">
        <v>26</v>
      </c>
      <c r="AE84" s="2">
        <v>1148452196.49</v>
      </c>
      <c r="AF84" s="1">
        <v>1</v>
      </c>
      <c r="AG84" s="22" t="s">
        <v>26</v>
      </c>
      <c r="AH84" s="22" t="s">
        <v>26</v>
      </c>
      <c r="AI84" s="2">
        <v>267257601.72</v>
      </c>
      <c r="AJ84" s="1">
        <v>1</v>
      </c>
      <c r="AK84" s="1" t="s">
        <v>26</v>
      </c>
      <c r="AL84" s="1" t="s">
        <v>26</v>
      </c>
      <c r="AM84" s="1" t="s">
        <v>26</v>
      </c>
      <c r="AN84" s="1" t="s">
        <v>26</v>
      </c>
      <c r="AO84" s="1" t="s">
        <v>26</v>
      </c>
      <c r="AP84" s="1" t="s">
        <v>26</v>
      </c>
      <c r="AQ84" s="2">
        <v>267257601.72</v>
      </c>
      <c r="AR84" s="1">
        <v>1</v>
      </c>
      <c r="AS84" s="1" t="s">
        <v>26</v>
      </c>
      <c r="AT84" s="1" t="s">
        <v>26</v>
      </c>
      <c r="AU84" s="1" t="s">
        <v>26</v>
      </c>
      <c r="AV84" s="1" t="s">
        <v>26</v>
      </c>
      <c r="AW84" s="1" t="s">
        <v>26</v>
      </c>
      <c r="AX84" s="1" t="s">
        <v>26</v>
      </c>
      <c r="AY84" s="2">
        <v>1415709798.21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74</v>
      </c>
      <c r="B85" s="24" t="s">
        <v>25</v>
      </c>
      <c r="C85" s="10">
        <v>12609697.57</v>
      </c>
      <c r="D85" s="11">
        <v>2.27523184254E-3</v>
      </c>
      <c r="E85" s="11">
        <v>0.06</v>
      </c>
      <c r="F85" s="11">
        <v>5.7700000000000001E-2</v>
      </c>
      <c r="G85" s="10">
        <v>594423618</v>
      </c>
      <c r="H85" s="11">
        <v>4.1882313708600004E-3</v>
      </c>
      <c r="I85" s="11">
        <v>0.06</v>
      </c>
      <c r="J85" s="11">
        <v>5.5800000000000002E-2</v>
      </c>
      <c r="K85" s="22" t="s">
        <v>26</v>
      </c>
      <c r="L85" s="22" t="s">
        <v>26</v>
      </c>
      <c r="M85" s="22" t="s">
        <v>26</v>
      </c>
      <c r="N85" s="22" t="s">
        <v>26</v>
      </c>
      <c r="O85" s="10">
        <v>381065493.57999998</v>
      </c>
      <c r="P85" s="11">
        <v>1.8017353762100001E-3</v>
      </c>
      <c r="Q85" s="11">
        <v>0.06</v>
      </c>
      <c r="R85" s="11">
        <v>5.8200000000000002E-2</v>
      </c>
      <c r="S85" s="10">
        <v>105732385.70999999</v>
      </c>
      <c r="T85" s="11">
        <v>9.9800441368000001E-4</v>
      </c>
      <c r="U85" s="11">
        <v>0.06</v>
      </c>
      <c r="V85" s="11">
        <v>5.8999999999999997E-2</v>
      </c>
      <c r="W85" s="22" t="s">
        <v>26</v>
      </c>
      <c r="X85" s="22" t="s">
        <v>26</v>
      </c>
      <c r="Y85" s="22" t="s">
        <v>26</v>
      </c>
      <c r="Z85" s="22" t="s">
        <v>26</v>
      </c>
      <c r="AA85" s="10">
        <v>150349311</v>
      </c>
      <c r="AB85" s="11">
        <v>1.15141167667E-3</v>
      </c>
      <c r="AC85" s="11">
        <v>0.06</v>
      </c>
      <c r="AD85" s="11">
        <v>5.8799999999999998E-2</v>
      </c>
      <c r="AE85" s="10">
        <v>1244180505.8599999</v>
      </c>
      <c r="AF85" s="11">
        <v>2.0595785192099999E-3</v>
      </c>
      <c r="AG85" s="11">
        <v>0.06</v>
      </c>
      <c r="AH85" s="11">
        <v>5.79E-2</v>
      </c>
      <c r="AI85" s="10">
        <v>114578329</v>
      </c>
      <c r="AJ85" s="11">
        <v>7.0487380036900003E-3</v>
      </c>
      <c r="AK85" s="11">
        <v>0.06</v>
      </c>
      <c r="AL85" s="11">
        <v>5.2999999999999999E-2</v>
      </c>
      <c r="AM85" s="1" t="s">
        <v>26</v>
      </c>
      <c r="AN85" s="1" t="s">
        <v>26</v>
      </c>
      <c r="AO85" s="1" t="s">
        <v>26</v>
      </c>
      <c r="AP85" s="1" t="s">
        <v>26</v>
      </c>
      <c r="AQ85" s="10">
        <v>114578329</v>
      </c>
      <c r="AR85" s="11">
        <v>2.8960299884600001E-3</v>
      </c>
      <c r="AS85" s="11">
        <v>0.06</v>
      </c>
      <c r="AT85" s="11">
        <v>5.7099999999999998E-2</v>
      </c>
      <c r="AU85" s="1" t="s">
        <v>26</v>
      </c>
      <c r="AV85" s="1" t="s">
        <v>26</v>
      </c>
      <c r="AW85" s="1" t="s">
        <v>26</v>
      </c>
      <c r="AX85" s="1" t="s">
        <v>26</v>
      </c>
      <c r="AY85" s="10">
        <v>1358758834.8599999</v>
      </c>
      <c r="AZ85" s="11">
        <v>1.9803922151600001E-3</v>
      </c>
      <c r="BA85" s="11">
        <v>0.06</v>
      </c>
      <c r="BB85" s="11">
        <v>5.8000000000000003E-2</v>
      </c>
    </row>
    <row r="86" spans="1:54" s="7" customFormat="1">
      <c r="A86" s="3" t="s">
        <v>67</v>
      </c>
      <c r="B86" s="31" t="s">
        <v>46</v>
      </c>
      <c r="C86" s="2">
        <v>12609697.57</v>
      </c>
      <c r="D86" s="1">
        <v>1</v>
      </c>
      <c r="E86" s="22" t="s">
        <v>26</v>
      </c>
      <c r="F86" s="22" t="s">
        <v>26</v>
      </c>
      <c r="G86" s="2">
        <v>594423618</v>
      </c>
      <c r="H86" s="1">
        <v>1</v>
      </c>
      <c r="I86" s="22" t="s">
        <v>26</v>
      </c>
      <c r="J86" s="22" t="s">
        <v>26</v>
      </c>
      <c r="K86" s="22" t="s">
        <v>26</v>
      </c>
      <c r="L86" s="22" t="s">
        <v>26</v>
      </c>
      <c r="M86" s="22" t="s">
        <v>26</v>
      </c>
      <c r="N86" s="22" t="s">
        <v>26</v>
      </c>
      <c r="O86" s="2">
        <v>381065493.57999998</v>
      </c>
      <c r="P86" s="1">
        <v>1</v>
      </c>
      <c r="Q86" s="22" t="s">
        <v>26</v>
      </c>
      <c r="R86" s="22" t="s">
        <v>26</v>
      </c>
      <c r="S86" s="2">
        <v>105732385.70999999</v>
      </c>
      <c r="T86" s="1">
        <v>1</v>
      </c>
      <c r="U86" s="1" t="s">
        <v>26</v>
      </c>
      <c r="V86" s="1" t="s">
        <v>26</v>
      </c>
      <c r="W86" s="22" t="s">
        <v>26</v>
      </c>
      <c r="X86" s="22" t="s">
        <v>26</v>
      </c>
      <c r="Y86" s="22" t="s">
        <v>26</v>
      </c>
      <c r="Z86" s="22" t="s">
        <v>26</v>
      </c>
      <c r="AA86" s="2">
        <v>150349311</v>
      </c>
      <c r="AB86" s="1">
        <v>1</v>
      </c>
      <c r="AC86" s="22" t="s">
        <v>26</v>
      </c>
      <c r="AD86" s="22" t="s">
        <v>26</v>
      </c>
      <c r="AE86" s="2">
        <v>1244180505.8599999</v>
      </c>
      <c r="AF86" s="1">
        <v>1</v>
      </c>
      <c r="AG86" s="22" t="s">
        <v>26</v>
      </c>
      <c r="AH86" s="22" t="s">
        <v>26</v>
      </c>
      <c r="AI86" s="2">
        <v>114578329</v>
      </c>
      <c r="AJ86" s="1">
        <v>1</v>
      </c>
      <c r="AK86" s="1" t="s">
        <v>26</v>
      </c>
      <c r="AL86" s="1" t="s">
        <v>26</v>
      </c>
      <c r="AM86" s="1" t="s">
        <v>26</v>
      </c>
      <c r="AN86" s="1" t="s">
        <v>26</v>
      </c>
      <c r="AO86" s="1" t="s">
        <v>26</v>
      </c>
      <c r="AP86" s="1" t="s">
        <v>26</v>
      </c>
      <c r="AQ86" s="2">
        <v>114578329</v>
      </c>
      <c r="AR86" s="1">
        <v>1</v>
      </c>
      <c r="AS86" s="1" t="s">
        <v>26</v>
      </c>
      <c r="AT86" s="1" t="s">
        <v>26</v>
      </c>
      <c r="AU86" s="1" t="s">
        <v>26</v>
      </c>
      <c r="AV86" s="1" t="s">
        <v>26</v>
      </c>
      <c r="AW86" s="1" t="s">
        <v>26</v>
      </c>
      <c r="AX86" s="1" t="s">
        <v>26</v>
      </c>
      <c r="AY86" s="2">
        <v>1358758834.8599999</v>
      </c>
      <c r="AZ86" s="1">
        <v>1</v>
      </c>
      <c r="BA86" s="1" t="s">
        <v>26</v>
      </c>
      <c r="BB86" s="1" t="s">
        <v>26</v>
      </c>
    </row>
    <row r="87" spans="1:54" s="7" customFormat="1">
      <c r="A87" s="13" t="s">
        <v>75</v>
      </c>
      <c r="B87" s="25" t="s">
        <v>25</v>
      </c>
      <c r="C87" s="55" t="s">
        <v>26</v>
      </c>
      <c r="D87" s="56" t="s">
        <v>26</v>
      </c>
      <c r="E87" s="56" t="s">
        <v>26</v>
      </c>
      <c r="F87" s="56" t="s">
        <v>26</v>
      </c>
      <c r="G87" s="55" t="s">
        <v>26</v>
      </c>
      <c r="H87" s="56" t="s">
        <v>26</v>
      </c>
      <c r="I87" s="56" t="s">
        <v>26</v>
      </c>
      <c r="J87" s="56" t="s">
        <v>26</v>
      </c>
      <c r="K87" s="55" t="s">
        <v>26</v>
      </c>
      <c r="L87" s="56" t="s">
        <v>26</v>
      </c>
      <c r="M87" s="56" t="s">
        <v>26</v>
      </c>
      <c r="N87" s="56" t="s">
        <v>26</v>
      </c>
      <c r="O87" s="55">
        <v>127724202.5</v>
      </c>
      <c r="P87" s="56">
        <v>6.0389937666999996E-4</v>
      </c>
      <c r="Q87" s="56" t="s">
        <v>26</v>
      </c>
      <c r="R87" s="56" t="s">
        <v>26</v>
      </c>
      <c r="S87" s="55">
        <v>260140948.38</v>
      </c>
      <c r="T87" s="56">
        <v>2.4554616158499998E-3</v>
      </c>
      <c r="U87" s="56" t="s">
        <v>26</v>
      </c>
      <c r="V87" s="56" t="s">
        <v>26</v>
      </c>
      <c r="W87" s="55" t="s">
        <v>26</v>
      </c>
      <c r="X87" s="56" t="s">
        <v>26</v>
      </c>
      <c r="Y87" s="56" t="s">
        <v>26</v>
      </c>
      <c r="Z87" s="56" t="s">
        <v>26</v>
      </c>
      <c r="AA87" s="55">
        <v>142029313.18000001</v>
      </c>
      <c r="AB87" s="56">
        <v>1.08769510506E-3</v>
      </c>
      <c r="AC87" s="56" t="s">
        <v>26</v>
      </c>
      <c r="AD87" s="56" t="s">
        <v>26</v>
      </c>
      <c r="AE87" s="55">
        <v>529894464.06</v>
      </c>
      <c r="AF87" s="56">
        <v>8.7717115842999996E-4</v>
      </c>
      <c r="AG87" s="56" t="s">
        <v>26</v>
      </c>
      <c r="AH87" s="56" t="s">
        <v>26</v>
      </c>
      <c r="AI87" s="55">
        <v>13358988.17</v>
      </c>
      <c r="AJ87" s="56">
        <v>8.2183086824999996E-4</v>
      </c>
      <c r="AK87" s="56" t="s">
        <v>26</v>
      </c>
      <c r="AL87" s="56" t="s">
        <v>26</v>
      </c>
      <c r="AM87" s="55" t="s">
        <v>26</v>
      </c>
      <c r="AN87" s="56" t="s">
        <v>26</v>
      </c>
      <c r="AO87" s="56" t="s">
        <v>26</v>
      </c>
      <c r="AP87" s="56" t="s">
        <v>26</v>
      </c>
      <c r="AQ87" s="55">
        <v>13358988.17</v>
      </c>
      <c r="AR87" s="56">
        <v>3.3765573902999998E-4</v>
      </c>
      <c r="AS87" s="56" t="s">
        <v>26</v>
      </c>
      <c r="AT87" s="56" t="s">
        <v>26</v>
      </c>
      <c r="AU87" s="55">
        <v>40076964.520000003</v>
      </c>
      <c r="AV87" s="56">
        <v>9.4415866486000002E-4</v>
      </c>
      <c r="AW87" s="56" t="s">
        <v>26</v>
      </c>
      <c r="AX87" s="56" t="s">
        <v>26</v>
      </c>
      <c r="AY87" s="55">
        <v>583330416.75</v>
      </c>
      <c r="AZ87" s="56">
        <v>8.5020460331999999E-4</v>
      </c>
      <c r="BA87" s="56" t="s">
        <v>26</v>
      </c>
      <c r="BB87" s="56" t="s">
        <v>26</v>
      </c>
    </row>
    <row r="88" spans="1:54" s="7" customFormat="1">
      <c r="A88" s="5" t="s">
        <v>76</v>
      </c>
      <c r="B88" s="24" t="s">
        <v>25</v>
      </c>
      <c r="C88" s="22" t="s">
        <v>26</v>
      </c>
      <c r="D88" s="22" t="s">
        <v>26</v>
      </c>
      <c r="E88" s="22" t="s">
        <v>26</v>
      </c>
      <c r="F88" s="22" t="s">
        <v>26</v>
      </c>
      <c r="G88" s="22" t="s">
        <v>26</v>
      </c>
      <c r="H88" s="22" t="s">
        <v>26</v>
      </c>
      <c r="I88" s="22" t="s">
        <v>26</v>
      </c>
      <c r="J88" s="22" t="s">
        <v>26</v>
      </c>
      <c r="K88" s="22" t="s">
        <v>26</v>
      </c>
      <c r="L88" s="22" t="s">
        <v>26</v>
      </c>
      <c r="M88" s="22" t="s">
        <v>26</v>
      </c>
      <c r="N88" s="22" t="s">
        <v>26</v>
      </c>
      <c r="O88" s="22" t="s">
        <v>26</v>
      </c>
      <c r="P88" s="22" t="s">
        <v>26</v>
      </c>
      <c r="Q88" s="22" t="s">
        <v>26</v>
      </c>
      <c r="R88" s="22" t="s">
        <v>26</v>
      </c>
      <c r="S88" s="10">
        <v>106871905.38</v>
      </c>
      <c r="T88" s="11">
        <v>1.00876030132E-3</v>
      </c>
      <c r="U88" s="11">
        <v>0.1</v>
      </c>
      <c r="V88" s="11">
        <v>9.9000000000000005E-2</v>
      </c>
      <c r="W88" s="22" t="s">
        <v>26</v>
      </c>
      <c r="X88" s="22" t="s">
        <v>26</v>
      </c>
      <c r="Y88" s="22" t="s">
        <v>26</v>
      </c>
      <c r="Z88" s="22" t="s">
        <v>26</v>
      </c>
      <c r="AA88" s="22" t="s">
        <v>26</v>
      </c>
      <c r="AB88" s="22" t="s">
        <v>26</v>
      </c>
      <c r="AC88" s="22" t="s">
        <v>26</v>
      </c>
      <c r="AD88" s="22" t="s">
        <v>26</v>
      </c>
      <c r="AE88" s="10">
        <v>106871905.38</v>
      </c>
      <c r="AF88" s="11">
        <v>1.7691249750000001E-4</v>
      </c>
      <c r="AG88" s="11">
        <v>0.1</v>
      </c>
      <c r="AH88" s="11">
        <v>9.98E-2</v>
      </c>
      <c r="AI88" s="10">
        <v>13358988.17</v>
      </c>
      <c r="AJ88" s="11">
        <v>8.2183086824999996E-4</v>
      </c>
      <c r="AK88" s="11">
        <v>0.1</v>
      </c>
      <c r="AL88" s="11">
        <v>9.9199999999999997E-2</v>
      </c>
      <c r="AM88" s="1" t="s">
        <v>26</v>
      </c>
      <c r="AN88" s="1" t="s">
        <v>26</v>
      </c>
      <c r="AO88" s="1" t="s">
        <v>26</v>
      </c>
      <c r="AP88" s="1" t="s">
        <v>26</v>
      </c>
      <c r="AQ88" s="10">
        <v>13358988.17</v>
      </c>
      <c r="AR88" s="11">
        <v>3.3765573902999998E-4</v>
      </c>
      <c r="AS88" s="11">
        <v>0.1</v>
      </c>
      <c r="AT88" s="11">
        <v>9.9699999999999997E-2</v>
      </c>
      <c r="AU88" s="10">
        <v>40076964.520000003</v>
      </c>
      <c r="AV88" s="11">
        <v>9.4415866486000002E-4</v>
      </c>
      <c r="AW88" s="11">
        <v>0.1</v>
      </c>
      <c r="AX88" s="11">
        <v>9.9099999999999994E-2</v>
      </c>
      <c r="AY88" s="10">
        <v>160307858.06999999</v>
      </c>
      <c r="AZ88" s="11">
        <v>2.3364884629E-4</v>
      </c>
      <c r="BA88" s="11">
        <v>0.1</v>
      </c>
      <c r="BB88" s="11">
        <v>9.98E-2</v>
      </c>
    </row>
    <row r="89" spans="1:54" s="7" customFormat="1">
      <c r="A89" s="3" t="s">
        <v>77</v>
      </c>
      <c r="B89" s="31" t="s">
        <v>29</v>
      </c>
      <c r="C89" s="22" t="s">
        <v>26</v>
      </c>
      <c r="D89" s="22" t="s">
        <v>26</v>
      </c>
      <c r="E89" s="22" t="s">
        <v>26</v>
      </c>
      <c r="F89" s="22" t="s">
        <v>26</v>
      </c>
      <c r="G89" s="22" t="s">
        <v>26</v>
      </c>
      <c r="H89" s="22" t="s">
        <v>26</v>
      </c>
      <c r="I89" s="22" t="s">
        <v>26</v>
      </c>
      <c r="J89" s="22" t="s">
        <v>26</v>
      </c>
      <c r="K89" s="22" t="s">
        <v>26</v>
      </c>
      <c r="L89" s="22" t="s">
        <v>26</v>
      </c>
      <c r="M89" s="22" t="s">
        <v>26</v>
      </c>
      <c r="N89" s="22" t="s">
        <v>26</v>
      </c>
      <c r="O89" s="22" t="s">
        <v>26</v>
      </c>
      <c r="P89" s="22" t="s">
        <v>26</v>
      </c>
      <c r="Q89" s="22" t="s">
        <v>26</v>
      </c>
      <c r="R89" s="22" t="s">
        <v>26</v>
      </c>
      <c r="S89" s="2">
        <v>106871905.38</v>
      </c>
      <c r="T89" s="1">
        <v>1</v>
      </c>
      <c r="U89" s="1" t="s">
        <v>26</v>
      </c>
      <c r="V89" s="1" t="s">
        <v>26</v>
      </c>
      <c r="W89" s="22" t="s">
        <v>26</v>
      </c>
      <c r="X89" s="22" t="s">
        <v>26</v>
      </c>
      <c r="Y89" s="22" t="s">
        <v>26</v>
      </c>
      <c r="Z89" s="22" t="s">
        <v>26</v>
      </c>
      <c r="AA89" s="22" t="s">
        <v>26</v>
      </c>
      <c r="AB89" s="22" t="s">
        <v>26</v>
      </c>
      <c r="AC89" s="22" t="s">
        <v>26</v>
      </c>
      <c r="AD89" s="22" t="s">
        <v>26</v>
      </c>
      <c r="AE89" s="2">
        <v>106871905.38</v>
      </c>
      <c r="AF89" s="1">
        <v>1</v>
      </c>
      <c r="AG89" s="22" t="s">
        <v>26</v>
      </c>
      <c r="AH89" s="22" t="s">
        <v>26</v>
      </c>
      <c r="AI89" s="2">
        <v>13358988.17</v>
      </c>
      <c r="AJ89" s="1">
        <v>1</v>
      </c>
      <c r="AK89" s="1" t="s">
        <v>25</v>
      </c>
      <c r="AL89" s="1" t="s">
        <v>25</v>
      </c>
      <c r="AM89" s="1" t="s">
        <v>26</v>
      </c>
      <c r="AN89" s="1" t="s">
        <v>26</v>
      </c>
      <c r="AO89" s="1" t="s">
        <v>26</v>
      </c>
      <c r="AP89" s="1" t="s">
        <v>26</v>
      </c>
      <c r="AQ89" s="2">
        <v>13358988.17</v>
      </c>
      <c r="AR89" s="1">
        <v>1</v>
      </c>
      <c r="AS89" s="1" t="s">
        <v>26</v>
      </c>
      <c r="AT89" s="1" t="s">
        <v>26</v>
      </c>
      <c r="AU89" s="2">
        <v>40076964.520000003</v>
      </c>
      <c r="AV89" s="1">
        <v>1</v>
      </c>
      <c r="AW89" s="1" t="s">
        <v>26</v>
      </c>
      <c r="AX89" s="1" t="s">
        <v>26</v>
      </c>
      <c r="AY89" s="2">
        <v>160307858.06999999</v>
      </c>
      <c r="AZ89" s="1">
        <v>1</v>
      </c>
      <c r="BA89" s="1" t="s">
        <v>26</v>
      </c>
      <c r="BB89" s="1" t="s">
        <v>26</v>
      </c>
    </row>
    <row r="90" spans="1:54" s="7" customFormat="1">
      <c r="A90" s="5" t="s">
        <v>78</v>
      </c>
      <c r="B90" s="24" t="s">
        <v>25</v>
      </c>
      <c r="C90" s="22" t="s">
        <v>26</v>
      </c>
      <c r="D90" s="22" t="s">
        <v>26</v>
      </c>
      <c r="E90" s="22" t="s">
        <v>26</v>
      </c>
      <c r="F90" s="22" t="s">
        <v>26</v>
      </c>
      <c r="G90" s="22" t="s">
        <v>26</v>
      </c>
      <c r="H90" s="22" t="s">
        <v>26</v>
      </c>
      <c r="I90" s="22" t="s">
        <v>26</v>
      </c>
      <c r="J90" s="22" t="s">
        <v>26</v>
      </c>
      <c r="K90" s="22" t="s">
        <v>26</v>
      </c>
      <c r="L90" s="22" t="s">
        <v>26</v>
      </c>
      <c r="M90" s="22" t="s">
        <v>26</v>
      </c>
      <c r="N90" s="22" t="s">
        <v>26</v>
      </c>
      <c r="O90" s="10">
        <v>127724202.5</v>
      </c>
      <c r="P90" s="11">
        <v>6.0389937666999996E-4</v>
      </c>
      <c r="Q90" s="11">
        <v>0.09</v>
      </c>
      <c r="R90" s="11">
        <v>8.9399999999999993E-2</v>
      </c>
      <c r="S90" s="10">
        <v>153269043</v>
      </c>
      <c r="T90" s="11">
        <v>1.44670131453E-3</v>
      </c>
      <c r="U90" s="11">
        <v>0.09</v>
      </c>
      <c r="V90" s="11">
        <v>8.8599999999999998E-2</v>
      </c>
      <c r="W90" s="22" t="s">
        <v>26</v>
      </c>
      <c r="X90" s="22" t="s">
        <v>26</v>
      </c>
      <c r="Y90" s="22" t="s">
        <v>26</v>
      </c>
      <c r="Z90" s="22" t="s">
        <v>26</v>
      </c>
      <c r="AA90" s="10">
        <v>142029313.18000001</v>
      </c>
      <c r="AB90" s="11">
        <v>1.08769510506E-3</v>
      </c>
      <c r="AC90" s="11">
        <v>0.09</v>
      </c>
      <c r="AD90" s="11">
        <v>8.8900000000000007E-2</v>
      </c>
      <c r="AE90" s="10">
        <v>423022558.68000001</v>
      </c>
      <c r="AF90" s="11">
        <v>7.0025866094000004E-4</v>
      </c>
      <c r="AG90" s="11">
        <v>0.09</v>
      </c>
      <c r="AH90" s="11">
        <v>8.9300000000000004E-2</v>
      </c>
      <c r="AI90" s="10" t="s">
        <v>26</v>
      </c>
      <c r="AJ90" s="11" t="s">
        <v>26</v>
      </c>
      <c r="AK90" s="11" t="s">
        <v>26</v>
      </c>
      <c r="AL90" s="11" t="s">
        <v>26</v>
      </c>
      <c r="AM90" s="1" t="s">
        <v>26</v>
      </c>
      <c r="AN90" s="1" t="s">
        <v>26</v>
      </c>
      <c r="AO90" s="1" t="s">
        <v>26</v>
      </c>
      <c r="AP90" s="1" t="s">
        <v>26</v>
      </c>
      <c r="AQ90" s="1" t="s">
        <v>26</v>
      </c>
      <c r="AR90" s="1" t="s">
        <v>26</v>
      </c>
      <c r="AS90" s="1" t="s">
        <v>26</v>
      </c>
      <c r="AT90" s="1" t="s">
        <v>26</v>
      </c>
      <c r="AU90" s="1" t="s">
        <v>26</v>
      </c>
      <c r="AV90" s="1" t="s">
        <v>26</v>
      </c>
      <c r="AW90" s="1" t="s">
        <v>26</v>
      </c>
      <c r="AX90" s="1" t="s">
        <v>26</v>
      </c>
      <c r="AY90" s="10">
        <v>423022558.68000001</v>
      </c>
      <c r="AZ90" s="11">
        <v>6.1655575702999996E-4</v>
      </c>
      <c r="BA90" s="11">
        <v>0.09</v>
      </c>
      <c r="BB90" s="11">
        <v>8.9399999999999993E-2</v>
      </c>
    </row>
    <row r="91" spans="1:54" s="7" customFormat="1">
      <c r="A91" s="3" t="s">
        <v>77</v>
      </c>
      <c r="B91" s="31" t="s">
        <v>37</v>
      </c>
      <c r="C91" s="22" t="s">
        <v>26</v>
      </c>
      <c r="D91" s="22" t="s">
        <v>26</v>
      </c>
      <c r="E91" s="22" t="s">
        <v>26</v>
      </c>
      <c r="F91" s="22" t="s">
        <v>26</v>
      </c>
      <c r="G91" s="22" t="s">
        <v>26</v>
      </c>
      <c r="H91" s="22" t="s">
        <v>26</v>
      </c>
      <c r="I91" s="22" t="s">
        <v>26</v>
      </c>
      <c r="J91" s="22" t="s">
        <v>26</v>
      </c>
      <c r="K91" s="22" t="s">
        <v>26</v>
      </c>
      <c r="L91" s="22" t="s">
        <v>26</v>
      </c>
      <c r="M91" s="22" t="s">
        <v>26</v>
      </c>
      <c r="N91" s="22" t="s">
        <v>26</v>
      </c>
      <c r="O91" s="2">
        <v>127724202.5</v>
      </c>
      <c r="P91" s="1">
        <v>1</v>
      </c>
      <c r="Q91" s="22" t="s">
        <v>26</v>
      </c>
      <c r="R91" s="22" t="s">
        <v>26</v>
      </c>
      <c r="S91" s="2">
        <v>153269043</v>
      </c>
      <c r="T91" s="1">
        <v>1</v>
      </c>
      <c r="U91" s="1" t="s">
        <v>26</v>
      </c>
      <c r="V91" s="1" t="s">
        <v>26</v>
      </c>
      <c r="W91" s="22" t="s">
        <v>26</v>
      </c>
      <c r="X91" s="22" t="s">
        <v>26</v>
      </c>
      <c r="Y91" s="22" t="s">
        <v>26</v>
      </c>
      <c r="Z91" s="22" t="s">
        <v>26</v>
      </c>
      <c r="AA91" s="2">
        <v>142029313.18000001</v>
      </c>
      <c r="AB91" s="1">
        <v>1</v>
      </c>
      <c r="AC91" s="22" t="s">
        <v>26</v>
      </c>
      <c r="AD91" s="22" t="s">
        <v>26</v>
      </c>
      <c r="AE91" s="2">
        <v>423022558.68000001</v>
      </c>
      <c r="AF91" s="1">
        <v>1</v>
      </c>
      <c r="AG91" s="22" t="s">
        <v>26</v>
      </c>
      <c r="AH91" s="22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1" t="s">
        <v>26</v>
      </c>
      <c r="AN91" s="1" t="s">
        <v>26</v>
      </c>
      <c r="AO91" s="1" t="s">
        <v>26</v>
      </c>
      <c r="AP91" s="1" t="s">
        <v>26</v>
      </c>
      <c r="AQ91" s="1" t="s">
        <v>26</v>
      </c>
      <c r="AR91" s="1" t="s">
        <v>26</v>
      </c>
      <c r="AS91" s="1" t="s">
        <v>26</v>
      </c>
      <c r="AT91" s="1" t="s">
        <v>26</v>
      </c>
      <c r="AU91" s="1" t="s">
        <v>26</v>
      </c>
      <c r="AV91" s="1" t="s">
        <v>26</v>
      </c>
      <c r="AW91" s="1" t="s">
        <v>26</v>
      </c>
      <c r="AX91" s="1" t="s">
        <v>26</v>
      </c>
      <c r="AY91" s="2">
        <v>423022558.68000001</v>
      </c>
      <c r="AZ91" s="1">
        <v>1</v>
      </c>
      <c r="BA91" s="1" t="s">
        <v>26</v>
      </c>
      <c r="BB91" s="1" t="s">
        <v>26</v>
      </c>
    </row>
    <row r="92" spans="1:54" s="7" customFormat="1">
      <c r="A92" s="13" t="s">
        <v>79</v>
      </c>
      <c r="B92" s="25" t="s">
        <v>25</v>
      </c>
      <c r="C92" s="55" t="s">
        <v>26</v>
      </c>
      <c r="D92" s="56" t="s">
        <v>26</v>
      </c>
      <c r="E92" s="56" t="s">
        <v>26</v>
      </c>
      <c r="F92" s="56" t="s">
        <v>26</v>
      </c>
      <c r="G92" s="55">
        <v>679902858.23000002</v>
      </c>
      <c r="H92" s="56">
        <v>4.79050696128E-3</v>
      </c>
      <c r="I92" s="56">
        <v>0.05</v>
      </c>
      <c r="J92" s="56">
        <f>+I92-H92</f>
        <v>4.5209493038720003E-2</v>
      </c>
      <c r="K92" s="55">
        <v>22861823.510000002</v>
      </c>
      <c r="L92" s="56">
        <v>8.5334205050800003E-3</v>
      </c>
      <c r="M92" s="56">
        <v>0.05</v>
      </c>
      <c r="N92" s="56">
        <f>+M92-L92</f>
        <v>4.1466579494920004E-2</v>
      </c>
      <c r="O92" s="55">
        <v>1600327645.8399999</v>
      </c>
      <c r="P92" s="56">
        <v>7.5665915219800001E-3</v>
      </c>
      <c r="Q92" s="56">
        <v>0.05</v>
      </c>
      <c r="R92" s="56">
        <f>+Q92-P92</f>
        <v>4.2433408478020004E-2</v>
      </c>
      <c r="S92" s="55">
        <v>1259616651.9100001</v>
      </c>
      <c r="T92" s="56">
        <v>1.188947898709E-2</v>
      </c>
      <c r="U92" s="56">
        <v>0.05</v>
      </c>
      <c r="V92" s="56">
        <f>+U92-T92</f>
        <v>3.8110521012910001E-2</v>
      </c>
      <c r="W92" s="55" t="s">
        <v>26</v>
      </c>
      <c r="X92" s="56" t="s">
        <v>26</v>
      </c>
      <c r="Y92" s="56" t="s">
        <v>26</v>
      </c>
      <c r="Z92" s="56" t="s">
        <v>26</v>
      </c>
      <c r="AA92" s="55">
        <v>360082636.42000002</v>
      </c>
      <c r="AB92" s="56">
        <v>2.75760061274E-3</v>
      </c>
      <c r="AC92" s="56">
        <v>0.05</v>
      </c>
      <c r="AD92" s="56">
        <f>+AC92-AB92</f>
        <v>4.7242399387260006E-2</v>
      </c>
      <c r="AE92" s="55">
        <v>3922791615.9099998</v>
      </c>
      <c r="AF92" s="56">
        <v>6.4936697765400004E-3</v>
      </c>
      <c r="AG92" s="56">
        <v>0.05</v>
      </c>
      <c r="AH92" s="56">
        <f>+AG92-AF92</f>
        <v>4.3506330223460003E-2</v>
      </c>
      <c r="AI92" s="55" t="s">
        <v>26</v>
      </c>
      <c r="AJ92" s="56" t="s">
        <v>26</v>
      </c>
      <c r="AK92" s="56" t="s">
        <v>26</v>
      </c>
      <c r="AL92" s="56" t="s">
        <v>26</v>
      </c>
      <c r="AM92" s="55" t="s">
        <v>26</v>
      </c>
      <c r="AN92" s="56" t="s">
        <v>26</v>
      </c>
      <c r="AO92" s="56" t="s">
        <v>26</v>
      </c>
      <c r="AP92" s="56" t="s">
        <v>26</v>
      </c>
      <c r="AQ92" s="55" t="s">
        <v>26</v>
      </c>
      <c r="AR92" s="56" t="s">
        <v>26</v>
      </c>
      <c r="AS92" s="56" t="s">
        <v>26</v>
      </c>
      <c r="AT92" s="56" t="s">
        <v>26</v>
      </c>
      <c r="AU92" s="55">
        <v>609304722</v>
      </c>
      <c r="AV92" s="56">
        <v>1.435438885417E-2</v>
      </c>
      <c r="AW92" s="56">
        <v>0.05</v>
      </c>
      <c r="AX92" s="56">
        <f>+AW92-AV92</f>
        <v>3.5645611145830002E-2</v>
      </c>
      <c r="AY92" s="55">
        <v>4532096337.9099998</v>
      </c>
      <c r="AZ92" s="56">
        <v>6.6055344596000001E-3</v>
      </c>
      <c r="BA92" s="56">
        <v>0.05</v>
      </c>
      <c r="BB92" s="56">
        <f>+BA92-AZ92</f>
        <v>4.3394465540400003E-2</v>
      </c>
    </row>
    <row r="93" spans="1:54" s="7" customFormat="1">
      <c r="A93" s="5" t="s">
        <v>80</v>
      </c>
      <c r="B93" s="24" t="s">
        <v>25</v>
      </c>
      <c r="C93" s="22" t="s">
        <v>26</v>
      </c>
      <c r="D93" s="22" t="s">
        <v>26</v>
      </c>
      <c r="E93" s="22" t="s">
        <v>26</v>
      </c>
      <c r="F93" s="22" t="s">
        <v>26</v>
      </c>
      <c r="G93" s="22" t="s">
        <v>26</v>
      </c>
      <c r="H93" s="22" t="s">
        <v>26</v>
      </c>
      <c r="I93" s="22" t="s">
        <v>26</v>
      </c>
      <c r="J93" s="22" t="s">
        <v>26</v>
      </c>
      <c r="K93" s="22" t="s">
        <v>26</v>
      </c>
      <c r="L93" s="22" t="s">
        <v>26</v>
      </c>
      <c r="M93" s="22" t="s">
        <v>26</v>
      </c>
      <c r="N93" s="22" t="s">
        <v>26</v>
      </c>
      <c r="O93" s="22" t="s">
        <v>26</v>
      </c>
      <c r="P93" s="22" t="s">
        <v>26</v>
      </c>
      <c r="Q93" s="22" t="s">
        <v>26</v>
      </c>
      <c r="R93" s="22" t="s">
        <v>26</v>
      </c>
      <c r="S93" s="10">
        <v>573761946.54999995</v>
      </c>
      <c r="T93" s="11">
        <v>5.4157196133899996E-3</v>
      </c>
      <c r="U93" s="22" t="s">
        <v>26</v>
      </c>
      <c r="V93" s="22" t="s">
        <v>26</v>
      </c>
      <c r="W93" s="22" t="s">
        <v>26</v>
      </c>
      <c r="X93" s="22" t="s">
        <v>26</v>
      </c>
      <c r="Y93" s="22" t="s">
        <v>26</v>
      </c>
      <c r="Z93" s="22" t="s">
        <v>26</v>
      </c>
      <c r="AA93" s="22" t="s">
        <v>26</v>
      </c>
      <c r="AB93" s="22" t="s">
        <v>26</v>
      </c>
      <c r="AC93" s="22" t="s">
        <v>26</v>
      </c>
      <c r="AD93" s="22" t="s">
        <v>26</v>
      </c>
      <c r="AE93" s="10">
        <v>573761946.54999995</v>
      </c>
      <c r="AF93" s="11">
        <v>9.4978805300999995E-4</v>
      </c>
      <c r="AG93" s="22" t="s">
        <v>26</v>
      </c>
      <c r="AH93" s="22" t="s">
        <v>26</v>
      </c>
      <c r="AI93" s="10" t="s">
        <v>26</v>
      </c>
      <c r="AJ93" s="11" t="s">
        <v>26</v>
      </c>
      <c r="AK93" s="11" t="s">
        <v>26</v>
      </c>
      <c r="AL93" s="11" t="s">
        <v>26</v>
      </c>
      <c r="AM93" s="10" t="s">
        <v>26</v>
      </c>
      <c r="AN93" s="11" t="s">
        <v>26</v>
      </c>
      <c r="AO93" s="11" t="s">
        <v>26</v>
      </c>
      <c r="AP93" s="11" t="s">
        <v>26</v>
      </c>
      <c r="AQ93" s="10" t="s">
        <v>26</v>
      </c>
      <c r="AR93" s="11" t="s">
        <v>26</v>
      </c>
      <c r="AS93" s="11" t="s">
        <v>26</v>
      </c>
      <c r="AT93" s="11" t="s">
        <v>26</v>
      </c>
      <c r="AU93" s="10">
        <v>609304722</v>
      </c>
      <c r="AV93" s="11">
        <v>1.435438885417E-2</v>
      </c>
      <c r="AW93" s="1" t="s">
        <v>26</v>
      </c>
      <c r="AX93" s="1" t="s">
        <v>26</v>
      </c>
      <c r="AY93" s="10">
        <v>1183066668.55</v>
      </c>
      <c r="AZ93" s="11">
        <v>1.7243207258700001E-3</v>
      </c>
      <c r="BA93" s="1" t="s">
        <v>26</v>
      </c>
      <c r="BB93" s="1" t="s">
        <v>26</v>
      </c>
    </row>
    <row r="94" spans="1:54" s="7" customFormat="1">
      <c r="A94" s="3" t="s">
        <v>81</v>
      </c>
      <c r="B94" s="31" t="s">
        <v>37</v>
      </c>
      <c r="C94" s="22" t="s">
        <v>26</v>
      </c>
      <c r="D94" s="22" t="s">
        <v>26</v>
      </c>
      <c r="E94" s="22" t="s">
        <v>26</v>
      </c>
      <c r="F94" s="22" t="s">
        <v>26</v>
      </c>
      <c r="G94" s="22" t="s">
        <v>26</v>
      </c>
      <c r="H94" s="22" t="s">
        <v>26</v>
      </c>
      <c r="I94" s="22" t="s">
        <v>26</v>
      </c>
      <c r="J94" s="22" t="s">
        <v>26</v>
      </c>
      <c r="K94" s="22" t="s">
        <v>26</v>
      </c>
      <c r="L94" s="22" t="s">
        <v>26</v>
      </c>
      <c r="M94" s="22" t="s">
        <v>26</v>
      </c>
      <c r="N94" s="22" t="s">
        <v>26</v>
      </c>
      <c r="O94" s="22" t="s">
        <v>26</v>
      </c>
      <c r="P94" s="22" t="s">
        <v>26</v>
      </c>
      <c r="Q94" s="22" t="s">
        <v>26</v>
      </c>
      <c r="R94" s="22" t="s">
        <v>26</v>
      </c>
      <c r="S94" s="2">
        <v>573761946.54999995</v>
      </c>
      <c r="T94" s="1">
        <v>1</v>
      </c>
      <c r="U94" s="22" t="s">
        <v>26</v>
      </c>
      <c r="V94" s="22" t="s">
        <v>26</v>
      </c>
      <c r="W94" s="22" t="s">
        <v>26</v>
      </c>
      <c r="X94" s="22" t="s">
        <v>26</v>
      </c>
      <c r="Y94" s="22" t="s">
        <v>26</v>
      </c>
      <c r="Z94" s="22" t="s">
        <v>26</v>
      </c>
      <c r="AA94" s="22" t="s">
        <v>26</v>
      </c>
      <c r="AB94" s="22" t="s">
        <v>26</v>
      </c>
      <c r="AC94" s="22" t="s">
        <v>26</v>
      </c>
      <c r="AD94" s="22" t="s">
        <v>26</v>
      </c>
      <c r="AE94" s="2">
        <v>573761946.54999995</v>
      </c>
      <c r="AF94" s="1">
        <v>1</v>
      </c>
      <c r="AG94" s="22" t="s">
        <v>26</v>
      </c>
      <c r="AH94" s="22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>
        <v>609304722</v>
      </c>
      <c r="AV94" s="1">
        <v>1</v>
      </c>
      <c r="AW94" s="1" t="s">
        <v>26</v>
      </c>
      <c r="AX94" s="1" t="s">
        <v>26</v>
      </c>
      <c r="AY94" s="2">
        <v>1183066668.55</v>
      </c>
      <c r="AZ94" s="1">
        <v>1</v>
      </c>
      <c r="BA94" s="1" t="s">
        <v>26</v>
      </c>
      <c r="BB94" s="1" t="s">
        <v>26</v>
      </c>
    </row>
    <row r="95" spans="1:54" s="7" customFormat="1">
      <c r="A95" s="5" t="s">
        <v>82</v>
      </c>
      <c r="B95" s="24" t="s">
        <v>25</v>
      </c>
      <c r="C95" s="22" t="s">
        <v>26</v>
      </c>
      <c r="D95" s="22" t="s">
        <v>26</v>
      </c>
      <c r="E95" s="22" t="s">
        <v>26</v>
      </c>
      <c r="F95" s="22" t="s">
        <v>26</v>
      </c>
      <c r="G95" s="10">
        <v>679902858.23000002</v>
      </c>
      <c r="H95" s="11">
        <v>4.79050696128E-3</v>
      </c>
      <c r="I95" s="22" t="s">
        <v>26</v>
      </c>
      <c r="J95" s="22" t="s">
        <v>26</v>
      </c>
      <c r="K95" s="10">
        <v>22861823.510000002</v>
      </c>
      <c r="L95" s="11">
        <v>8.5334205050800003E-3</v>
      </c>
      <c r="M95" s="22" t="s">
        <v>26</v>
      </c>
      <c r="N95" s="22" t="s">
        <v>26</v>
      </c>
      <c r="O95" s="10">
        <v>1600327645.8399999</v>
      </c>
      <c r="P95" s="11">
        <v>7.5665915219800001E-3</v>
      </c>
      <c r="Q95" s="22" t="s">
        <v>26</v>
      </c>
      <c r="R95" s="22" t="s">
        <v>26</v>
      </c>
      <c r="S95" s="10">
        <v>685854705.36000001</v>
      </c>
      <c r="T95" s="11">
        <v>6.4737593736999997E-3</v>
      </c>
      <c r="U95" s="22" t="s">
        <v>26</v>
      </c>
      <c r="V95" s="22" t="s">
        <v>26</v>
      </c>
      <c r="W95" s="22" t="s">
        <v>26</v>
      </c>
      <c r="X95" s="22" t="s">
        <v>26</v>
      </c>
      <c r="Y95" s="22" t="s">
        <v>26</v>
      </c>
      <c r="Z95" s="22" t="s">
        <v>26</v>
      </c>
      <c r="AA95" s="10">
        <v>360082636.42000002</v>
      </c>
      <c r="AB95" s="11">
        <v>2.75760061274E-3</v>
      </c>
      <c r="AC95" s="22" t="s">
        <v>26</v>
      </c>
      <c r="AD95" s="22" t="s">
        <v>26</v>
      </c>
      <c r="AE95" s="10">
        <v>3349029669.3600001</v>
      </c>
      <c r="AF95" s="11">
        <v>5.5438817235300003E-3</v>
      </c>
      <c r="AG95" s="22" t="s">
        <v>26</v>
      </c>
      <c r="AH95" s="22" t="s">
        <v>26</v>
      </c>
      <c r="AI95" s="10" t="s">
        <v>26</v>
      </c>
      <c r="AJ95" s="11" t="s">
        <v>26</v>
      </c>
      <c r="AK95" s="11" t="s">
        <v>26</v>
      </c>
      <c r="AL95" s="11" t="s">
        <v>26</v>
      </c>
      <c r="AM95" s="10" t="s">
        <v>26</v>
      </c>
      <c r="AN95" s="11" t="s">
        <v>26</v>
      </c>
      <c r="AO95" s="11" t="s">
        <v>26</v>
      </c>
      <c r="AP95" s="11" t="s">
        <v>26</v>
      </c>
      <c r="AQ95" s="10" t="s">
        <v>26</v>
      </c>
      <c r="AR95" s="11" t="s">
        <v>26</v>
      </c>
      <c r="AS95" s="11" t="s">
        <v>26</v>
      </c>
      <c r="AT95" s="11" t="s">
        <v>26</v>
      </c>
      <c r="AU95" s="1" t="s">
        <v>26</v>
      </c>
      <c r="AV95" s="1" t="s">
        <v>26</v>
      </c>
      <c r="AW95" s="1" t="s">
        <v>26</v>
      </c>
      <c r="AX95" s="1" t="s">
        <v>26</v>
      </c>
      <c r="AY95" s="10">
        <v>3349029669.3600001</v>
      </c>
      <c r="AZ95" s="11">
        <v>4.8812137337300001E-3</v>
      </c>
      <c r="BA95" s="1" t="s">
        <v>26</v>
      </c>
      <c r="BB95" s="1" t="s">
        <v>26</v>
      </c>
    </row>
    <row r="96" spans="1:54" s="7" customFormat="1">
      <c r="A96" s="3" t="s">
        <v>83</v>
      </c>
      <c r="B96" s="31" t="s">
        <v>37</v>
      </c>
      <c r="C96" s="22" t="s">
        <v>26</v>
      </c>
      <c r="D96" s="22" t="s">
        <v>26</v>
      </c>
      <c r="E96" s="22" t="s">
        <v>26</v>
      </c>
      <c r="F96" s="22" t="s">
        <v>26</v>
      </c>
      <c r="G96" s="2">
        <v>679902858.23000002</v>
      </c>
      <c r="H96" s="1">
        <v>1</v>
      </c>
      <c r="I96" s="1" t="s">
        <v>25</v>
      </c>
      <c r="J96" s="1" t="s">
        <v>25</v>
      </c>
      <c r="K96" s="2">
        <v>22861823.510000002</v>
      </c>
      <c r="L96" s="1">
        <v>1</v>
      </c>
      <c r="M96" s="1" t="s">
        <v>26</v>
      </c>
      <c r="N96" s="1" t="s">
        <v>26</v>
      </c>
      <c r="O96" s="2">
        <v>1600327645.8399999</v>
      </c>
      <c r="P96" s="1">
        <v>1</v>
      </c>
      <c r="Q96" s="22" t="s">
        <v>26</v>
      </c>
      <c r="R96" s="22" t="s">
        <v>26</v>
      </c>
      <c r="S96" s="2">
        <v>685854705.36000001</v>
      </c>
      <c r="T96" s="1">
        <v>1</v>
      </c>
      <c r="U96" s="22" t="s">
        <v>26</v>
      </c>
      <c r="V96" s="22" t="s">
        <v>26</v>
      </c>
      <c r="W96" s="22" t="s">
        <v>26</v>
      </c>
      <c r="X96" s="22" t="s">
        <v>26</v>
      </c>
      <c r="Y96" s="22" t="s">
        <v>26</v>
      </c>
      <c r="Z96" s="22" t="s">
        <v>26</v>
      </c>
      <c r="AA96" s="2">
        <v>360082636.42000002</v>
      </c>
      <c r="AB96" s="1">
        <v>1</v>
      </c>
      <c r="AC96" s="1" t="s">
        <v>25</v>
      </c>
      <c r="AD96" s="1" t="s">
        <v>25</v>
      </c>
      <c r="AE96" s="2">
        <v>3349029669.3600001</v>
      </c>
      <c r="AF96" s="1">
        <v>1</v>
      </c>
      <c r="AG96" s="22" t="s">
        <v>26</v>
      </c>
      <c r="AH96" s="22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1" t="s">
        <v>26</v>
      </c>
      <c r="AV96" s="1" t="s">
        <v>26</v>
      </c>
      <c r="AW96" s="1" t="s">
        <v>26</v>
      </c>
      <c r="AX96" s="1" t="s">
        <v>26</v>
      </c>
      <c r="AY96" s="2">
        <v>3349029669.3600001</v>
      </c>
      <c r="AZ96" s="1">
        <v>1</v>
      </c>
      <c r="BA96" s="1" t="s">
        <v>26</v>
      </c>
      <c r="BB96" s="1" t="s">
        <v>26</v>
      </c>
    </row>
    <row r="97" spans="1:54" s="7" customFormat="1">
      <c r="A97" s="13" t="s">
        <v>84</v>
      </c>
      <c r="B97" s="25" t="s">
        <v>25</v>
      </c>
      <c r="C97" s="55" t="s">
        <v>25</v>
      </c>
      <c r="D97" s="56" t="s">
        <v>25</v>
      </c>
      <c r="E97" s="56" t="s">
        <v>25</v>
      </c>
      <c r="F97" s="56" t="s">
        <v>25</v>
      </c>
      <c r="G97" s="55">
        <v>6192681844</v>
      </c>
      <c r="H97" s="56">
        <v>4.3632829489610003E-2</v>
      </c>
      <c r="I97" s="56">
        <v>0.15</v>
      </c>
      <c r="J97" s="56">
        <v>0.10636717051038999</v>
      </c>
      <c r="K97" s="55">
        <v>31432478.32</v>
      </c>
      <c r="L97" s="56">
        <v>1.1732509215819999E-2</v>
      </c>
      <c r="M97" s="56">
        <v>0.15</v>
      </c>
      <c r="N97" s="56">
        <f>+M97-L97</f>
        <v>0.13826749078417999</v>
      </c>
      <c r="O97" s="55">
        <v>18422313443.540001</v>
      </c>
      <c r="P97" s="56">
        <v>8.7103488513440006E-2</v>
      </c>
      <c r="Q97" s="56">
        <v>0.15</v>
      </c>
      <c r="R97" s="56">
        <f>+Q97-P97</f>
        <v>6.2896511486559989E-2</v>
      </c>
      <c r="S97" s="55">
        <v>4912585243.0299997</v>
      </c>
      <c r="T97" s="56">
        <v>4.6369726004109997E-2</v>
      </c>
      <c r="U97" s="56">
        <v>0.15</v>
      </c>
      <c r="V97" s="56">
        <f>+U97-T97</f>
        <v>0.10363027399589</v>
      </c>
      <c r="W97" s="55" t="s">
        <v>25</v>
      </c>
      <c r="X97" s="56" t="s">
        <v>25</v>
      </c>
      <c r="Y97" s="56" t="s">
        <v>25</v>
      </c>
      <c r="Z97" s="56" t="s">
        <v>25</v>
      </c>
      <c r="AA97" s="55">
        <v>5742874752.8699999</v>
      </c>
      <c r="AB97" s="56">
        <v>4.3980334888889999E-2</v>
      </c>
      <c r="AC97" s="56">
        <v>0.15</v>
      </c>
      <c r="AD97" s="56">
        <f>+AC97-AB97</f>
        <v>0.10601966511111</v>
      </c>
      <c r="AE97" s="55">
        <v>35301887761.760002</v>
      </c>
      <c r="AF97" s="56">
        <v>5.8437669919430002E-2</v>
      </c>
      <c r="AG97" s="56">
        <v>0.15</v>
      </c>
      <c r="AH97" s="56">
        <f>+AG97-AF97</f>
        <v>9.1562330080569992E-2</v>
      </c>
      <c r="AI97" s="55" t="s">
        <v>26</v>
      </c>
      <c r="AJ97" s="56" t="s">
        <v>26</v>
      </c>
      <c r="AK97" s="56" t="s">
        <v>26</v>
      </c>
      <c r="AL97" s="56" t="s">
        <v>26</v>
      </c>
      <c r="AM97" s="55" t="s">
        <v>26</v>
      </c>
      <c r="AN97" s="56" t="s">
        <v>26</v>
      </c>
      <c r="AO97" s="56" t="s">
        <v>26</v>
      </c>
      <c r="AP97" s="56" t="s">
        <v>26</v>
      </c>
      <c r="AQ97" s="55" t="s">
        <v>26</v>
      </c>
      <c r="AR97" s="56" t="s">
        <v>26</v>
      </c>
      <c r="AS97" s="56" t="s">
        <v>26</v>
      </c>
      <c r="AT97" s="56" t="s">
        <v>26</v>
      </c>
      <c r="AU97" s="55">
        <v>1827325525.22</v>
      </c>
      <c r="AV97" s="56">
        <v>4.3049298987959998E-2</v>
      </c>
      <c r="AW97" s="56">
        <v>0.15</v>
      </c>
      <c r="AX97" s="56">
        <f>+AW97-AV97</f>
        <v>0.10695070101203999</v>
      </c>
      <c r="AY97" s="55">
        <v>37129213286.980003</v>
      </c>
      <c r="AZ97" s="56">
        <v>5.4115861521660001E-2</v>
      </c>
      <c r="BA97" s="56">
        <v>0.15</v>
      </c>
      <c r="BB97" s="56">
        <f>+BA97-AZ97</f>
        <v>9.5884138478339986E-2</v>
      </c>
    </row>
    <row r="98" spans="1:54" s="7" customFormat="1">
      <c r="A98" s="5" t="s">
        <v>85</v>
      </c>
      <c r="B98" s="24" t="s">
        <v>25</v>
      </c>
      <c r="C98" s="10" t="s">
        <v>25</v>
      </c>
      <c r="D98" s="11" t="s">
        <v>25</v>
      </c>
      <c r="E98" s="11" t="s">
        <v>25</v>
      </c>
      <c r="F98" s="11" t="s">
        <v>25</v>
      </c>
      <c r="G98" s="10">
        <v>122996654.31</v>
      </c>
      <c r="H98" s="11">
        <v>8.6661840225000001E-4</v>
      </c>
      <c r="I98" s="22" t="s">
        <v>26</v>
      </c>
      <c r="J98" s="22" t="s">
        <v>26</v>
      </c>
      <c r="K98" s="10">
        <v>31432478.32</v>
      </c>
      <c r="L98" s="11">
        <v>1.1732509215819999E-2</v>
      </c>
      <c r="M98" s="1" t="s">
        <v>26</v>
      </c>
      <c r="N98" s="1" t="s">
        <v>26</v>
      </c>
      <c r="O98" s="22" t="s">
        <v>26</v>
      </c>
      <c r="P98" s="22" t="s">
        <v>26</v>
      </c>
      <c r="Q98" s="22" t="s">
        <v>26</v>
      </c>
      <c r="R98" s="22" t="s">
        <v>26</v>
      </c>
      <c r="S98" s="10">
        <v>266492751</v>
      </c>
      <c r="T98" s="11">
        <v>2.5154160660099999E-3</v>
      </c>
      <c r="U98" s="22" t="s">
        <v>26</v>
      </c>
      <c r="V98" s="22" t="s">
        <v>26</v>
      </c>
      <c r="W98" s="22" t="s">
        <v>26</v>
      </c>
      <c r="X98" s="22" t="s">
        <v>26</v>
      </c>
      <c r="Y98" s="22" t="s">
        <v>26</v>
      </c>
      <c r="Z98" s="22" t="s">
        <v>26</v>
      </c>
      <c r="AA98" s="10">
        <v>138029578.72999999</v>
      </c>
      <c r="AB98" s="11">
        <v>1.0570641635699999E-3</v>
      </c>
      <c r="AC98" s="22" t="s">
        <v>26</v>
      </c>
      <c r="AD98" s="22" t="s">
        <v>26</v>
      </c>
      <c r="AE98" s="10">
        <v>558951462.36000001</v>
      </c>
      <c r="AF98" s="11">
        <v>9.2527122851999999E-4</v>
      </c>
      <c r="AG98" s="22" t="s">
        <v>26</v>
      </c>
      <c r="AH98" s="22" t="s">
        <v>26</v>
      </c>
      <c r="AI98" s="10" t="s">
        <v>26</v>
      </c>
      <c r="AJ98" s="11" t="s">
        <v>26</v>
      </c>
      <c r="AK98" s="11" t="s">
        <v>26</v>
      </c>
      <c r="AL98" s="11" t="s">
        <v>26</v>
      </c>
      <c r="AM98" s="10" t="s">
        <v>26</v>
      </c>
      <c r="AN98" s="11" t="s">
        <v>26</v>
      </c>
      <c r="AO98" s="11" t="s">
        <v>26</v>
      </c>
      <c r="AP98" s="11" t="s">
        <v>26</v>
      </c>
      <c r="AQ98" s="10" t="s">
        <v>26</v>
      </c>
      <c r="AR98" s="11" t="s">
        <v>26</v>
      </c>
      <c r="AS98" s="11" t="s">
        <v>26</v>
      </c>
      <c r="AT98" s="11" t="s">
        <v>26</v>
      </c>
      <c r="AU98" s="1" t="s">
        <v>26</v>
      </c>
      <c r="AV98" s="1" t="s">
        <v>26</v>
      </c>
      <c r="AW98" s="1" t="s">
        <v>26</v>
      </c>
      <c r="AX98" s="1" t="s">
        <v>26</v>
      </c>
      <c r="AY98" s="10">
        <v>558951462.36000001</v>
      </c>
      <c r="AZ98" s="11">
        <v>8.1467225552999995E-4</v>
      </c>
      <c r="BA98" s="1" t="s">
        <v>26</v>
      </c>
      <c r="BB98" s="1" t="s">
        <v>26</v>
      </c>
    </row>
    <row r="99" spans="1:54" s="8" customFormat="1">
      <c r="A99" s="3" t="s">
        <v>86</v>
      </c>
      <c r="B99" s="31" t="s">
        <v>46</v>
      </c>
      <c r="C99" s="22" t="s">
        <v>26</v>
      </c>
      <c r="D99" s="22" t="s">
        <v>26</v>
      </c>
      <c r="E99" s="22" t="s">
        <v>26</v>
      </c>
      <c r="F99" s="22" t="s">
        <v>26</v>
      </c>
      <c r="G99" s="2">
        <v>122996654.31</v>
      </c>
      <c r="H99" s="1">
        <v>1</v>
      </c>
      <c r="I99" s="22" t="s">
        <v>26</v>
      </c>
      <c r="J99" s="22" t="s">
        <v>26</v>
      </c>
      <c r="K99" s="2">
        <v>31432478.32</v>
      </c>
      <c r="L99" s="1">
        <v>1</v>
      </c>
      <c r="M99" s="1" t="s">
        <v>26</v>
      </c>
      <c r="N99" s="1" t="s">
        <v>26</v>
      </c>
      <c r="O99" s="22" t="s">
        <v>26</v>
      </c>
      <c r="P99" s="22" t="s">
        <v>26</v>
      </c>
      <c r="Q99" s="22" t="s">
        <v>26</v>
      </c>
      <c r="R99" s="22" t="s">
        <v>26</v>
      </c>
      <c r="S99" s="2">
        <v>266492751</v>
      </c>
      <c r="T99" s="1">
        <v>1</v>
      </c>
      <c r="U99" s="22" t="s">
        <v>26</v>
      </c>
      <c r="V99" s="22" t="s">
        <v>26</v>
      </c>
      <c r="W99" s="22" t="s">
        <v>26</v>
      </c>
      <c r="X99" s="22" t="s">
        <v>26</v>
      </c>
      <c r="Y99" s="22" t="s">
        <v>26</v>
      </c>
      <c r="Z99" s="22" t="s">
        <v>26</v>
      </c>
      <c r="AA99" s="2">
        <v>138029578.72999999</v>
      </c>
      <c r="AB99" s="1">
        <v>1</v>
      </c>
      <c r="AC99" s="22" t="s">
        <v>26</v>
      </c>
      <c r="AD99" s="22" t="s">
        <v>26</v>
      </c>
      <c r="AE99" s="2">
        <v>558951462.36000001</v>
      </c>
      <c r="AF99" s="1">
        <v>1</v>
      </c>
      <c r="AG99" s="22" t="s">
        <v>26</v>
      </c>
      <c r="AH99" s="22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1" t="s">
        <v>26</v>
      </c>
      <c r="AV99" s="1" t="s">
        <v>26</v>
      </c>
      <c r="AW99" s="1" t="s">
        <v>26</v>
      </c>
      <c r="AX99" s="1" t="s">
        <v>26</v>
      </c>
      <c r="AY99" s="2">
        <v>558951462.36000001</v>
      </c>
      <c r="AZ99" s="1">
        <v>1</v>
      </c>
      <c r="BA99" s="1" t="s">
        <v>26</v>
      </c>
      <c r="BB99" s="1" t="s">
        <v>26</v>
      </c>
    </row>
    <row r="100" spans="1:54" s="7" customFormat="1">
      <c r="A100" s="5" t="s">
        <v>87</v>
      </c>
      <c r="B100" s="24" t="s">
        <v>25</v>
      </c>
      <c r="C100" s="22" t="s">
        <v>26</v>
      </c>
      <c r="D100" s="22" t="s">
        <v>26</v>
      </c>
      <c r="E100" s="22" t="s">
        <v>26</v>
      </c>
      <c r="F100" s="22" t="s">
        <v>26</v>
      </c>
      <c r="G100" s="10">
        <v>1859247178.95</v>
      </c>
      <c r="H100" s="11">
        <v>1.310001339997E-2</v>
      </c>
      <c r="I100" s="22" t="s">
        <v>26</v>
      </c>
      <c r="J100" s="22" t="s">
        <v>26</v>
      </c>
      <c r="K100" s="22" t="s">
        <v>26</v>
      </c>
      <c r="L100" s="22" t="s">
        <v>26</v>
      </c>
      <c r="M100" s="22" t="s">
        <v>26</v>
      </c>
      <c r="N100" s="22" t="s">
        <v>26</v>
      </c>
      <c r="O100" s="10">
        <v>3334108673.4499998</v>
      </c>
      <c r="P100" s="11">
        <v>1.5764170848060002E-2</v>
      </c>
      <c r="Q100" s="22" t="s">
        <v>26</v>
      </c>
      <c r="R100" s="22" t="s">
        <v>26</v>
      </c>
      <c r="S100" s="10">
        <v>1215097383.21</v>
      </c>
      <c r="T100" s="11">
        <v>1.1469263115120001E-2</v>
      </c>
      <c r="U100" s="22" t="s">
        <v>26</v>
      </c>
      <c r="V100" s="22" t="s">
        <v>26</v>
      </c>
      <c r="W100" s="22" t="s">
        <v>26</v>
      </c>
      <c r="X100" s="22" t="s">
        <v>26</v>
      </c>
      <c r="Y100" s="22" t="s">
        <v>26</v>
      </c>
      <c r="Z100" s="22" t="s">
        <v>26</v>
      </c>
      <c r="AA100" s="10">
        <v>1858061718.0599999</v>
      </c>
      <c r="AB100" s="11">
        <v>1.4229489606E-2</v>
      </c>
      <c r="AC100" s="22" t="s">
        <v>26</v>
      </c>
      <c r="AD100" s="22" t="s">
        <v>26</v>
      </c>
      <c r="AE100" s="10">
        <v>8266514953.6700001</v>
      </c>
      <c r="AF100" s="11">
        <v>1.3684137106400001E-2</v>
      </c>
      <c r="AG100" s="22" t="s">
        <v>26</v>
      </c>
      <c r="AH100" s="22" t="s">
        <v>26</v>
      </c>
      <c r="AI100" s="10" t="s">
        <v>26</v>
      </c>
      <c r="AJ100" s="11" t="s">
        <v>26</v>
      </c>
      <c r="AK100" s="11" t="s">
        <v>26</v>
      </c>
      <c r="AL100" s="11" t="s">
        <v>26</v>
      </c>
      <c r="AM100" s="10" t="s">
        <v>26</v>
      </c>
      <c r="AN100" s="11" t="s">
        <v>26</v>
      </c>
      <c r="AO100" s="11" t="s">
        <v>26</v>
      </c>
      <c r="AP100" s="11" t="s">
        <v>26</v>
      </c>
      <c r="AQ100" s="10" t="s">
        <v>26</v>
      </c>
      <c r="AR100" s="11" t="s">
        <v>26</v>
      </c>
      <c r="AS100" s="11" t="s">
        <v>26</v>
      </c>
      <c r="AT100" s="11" t="s">
        <v>26</v>
      </c>
      <c r="AU100" s="10">
        <v>304811624.05000001</v>
      </c>
      <c r="AV100" s="11">
        <v>7.1809464474899996E-3</v>
      </c>
      <c r="AW100" s="1" t="s">
        <v>26</v>
      </c>
      <c r="AX100" s="1" t="s">
        <v>26</v>
      </c>
      <c r="AY100" s="10">
        <v>8571326577.7200003</v>
      </c>
      <c r="AZ100" s="11">
        <v>1.249271614111E-2</v>
      </c>
      <c r="BA100" s="1" t="s">
        <v>26</v>
      </c>
      <c r="BB100" s="1" t="s">
        <v>26</v>
      </c>
    </row>
    <row r="101" spans="1:54" s="7" customFormat="1">
      <c r="A101" s="3" t="s">
        <v>86</v>
      </c>
      <c r="B101" s="31" t="s">
        <v>46</v>
      </c>
      <c r="C101" s="22" t="s">
        <v>26</v>
      </c>
      <c r="D101" s="22" t="s">
        <v>26</v>
      </c>
      <c r="E101" s="22" t="s">
        <v>26</v>
      </c>
      <c r="F101" s="22" t="s">
        <v>26</v>
      </c>
      <c r="G101" s="2">
        <v>1859247178.95</v>
      </c>
      <c r="H101" s="1">
        <v>1</v>
      </c>
      <c r="I101" s="22" t="s">
        <v>26</v>
      </c>
      <c r="J101" s="22" t="s">
        <v>26</v>
      </c>
      <c r="K101" s="22" t="s">
        <v>26</v>
      </c>
      <c r="L101" s="22" t="s">
        <v>26</v>
      </c>
      <c r="M101" s="22" t="s">
        <v>26</v>
      </c>
      <c r="N101" s="22" t="s">
        <v>26</v>
      </c>
      <c r="O101" s="2">
        <v>3334108673.4499998</v>
      </c>
      <c r="P101" s="1">
        <v>1</v>
      </c>
      <c r="Q101" s="22" t="s">
        <v>26</v>
      </c>
      <c r="R101" s="22" t="s">
        <v>26</v>
      </c>
      <c r="S101" s="2">
        <v>1215097383.21</v>
      </c>
      <c r="T101" s="1">
        <v>1</v>
      </c>
      <c r="U101" s="22" t="s">
        <v>26</v>
      </c>
      <c r="V101" s="22" t="s">
        <v>26</v>
      </c>
      <c r="W101" s="22" t="s">
        <v>26</v>
      </c>
      <c r="X101" s="22" t="s">
        <v>26</v>
      </c>
      <c r="Y101" s="22" t="s">
        <v>26</v>
      </c>
      <c r="Z101" s="22" t="s">
        <v>26</v>
      </c>
      <c r="AA101" s="2">
        <v>1858061718.0599999</v>
      </c>
      <c r="AB101" s="1">
        <v>1</v>
      </c>
      <c r="AC101" s="22" t="s">
        <v>26</v>
      </c>
      <c r="AD101" s="22" t="s">
        <v>26</v>
      </c>
      <c r="AE101" s="2">
        <v>8266514953.6700001</v>
      </c>
      <c r="AF101" s="1">
        <v>1</v>
      </c>
      <c r="AG101" s="22" t="s">
        <v>26</v>
      </c>
      <c r="AH101" s="22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304811624.05000001</v>
      </c>
      <c r="AV101" s="1">
        <v>1</v>
      </c>
      <c r="AW101" s="1" t="s">
        <v>26</v>
      </c>
      <c r="AX101" s="1" t="s">
        <v>26</v>
      </c>
      <c r="AY101" s="2">
        <v>8571326577.7200003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88</v>
      </c>
      <c r="B102" s="24" t="s">
        <v>25</v>
      </c>
      <c r="C102" s="22" t="s">
        <v>26</v>
      </c>
      <c r="D102" s="22" t="s">
        <v>26</v>
      </c>
      <c r="E102" s="22" t="s">
        <v>26</v>
      </c>
      <c r="F102" s="22" t="s">
        <v>26</v>
      </c>
      <c r="G102" s="10">
        <v>1477421967.02</v>
      </c>
      <c r="H102" s="11">
        <v>1.040972270094E-2</v>
      </c>
      <c r="I102" s="22" t="s">
        <v>26</v>
      </c>
      <c r="J102" s="22" t="s">
        <v>26</v>
      </c>
      <c r="K102" s="22" t="s">
        <v>26</v>
      </c>
      <c r="L102" s="22" t="s">
        <v>26</v>
      </c>
      <c r="M102" s="22" t="s">
        <v>26</v>
      </c>
      <c r="N102" s="22" t="s">
        <v>26</v>
      </c>
      <c r="O102" s="10">
        <v>1420598045.22</v>
      </c>
      <c r="P102" s="11">
        <v>6.7168027453899997E-3</v>
      </c>
      <c r="Q102" s="22" t="s">
        <v>26</v>
      </c>
      <c r="R102" s="22" t="s">
        <v>26</v>
      </c>
      <c r="S102" s="10">
        <v>1420598045.21</v>
      </c>
      <c r="T102" s="11">
        <v>1.3408976915330001E-2</v>
      </c>
      <c r="U102" s="22" t="s">
        <v>26</v>
      </c>
      <c r="V102" s="22" t="s">
        <v>26</v>
      </c>
      <c r="W102" s="22" t="s">
        <v>26</v>
      </c>
      <c r="X102" s="22" t="s">
        <v>26</v>
      </c>
      <c r="Y102" s="22" t="s">
        <v>26</v>
      </c>
      <c r="Z102" s="22" t="s">
        <v>26</v>
      </c>
      <c r="AA102" s="10">
        <v>1362921764.5799999</v>
      </c>
      <c r="AB102" s="11">
        <v>1.043758713415E-2</v>
      </c>
      <c r="AC102" s="22" t="s">
        <v>26</v>
      </c>
      <c r="AD102" s="22" t="s">
        <v>26</v>
      </c>
      <c r="AE102" s="10">
        <v>5681539822.0299997</v>
      </c>
      <c r="AF102" s="11">
        <v>9.4050479961400001E-3</v>
      </c>
      <c r="AG102" s="22" t="s">
        <v>26</v>
      </c>
      <c r="AH102" s="22" t="s">
        <v>26</v>
      </c>
      <c r="AI102" s="10" t="s">
        <v>26</v>
      </c>
      <c r="AJ102" s="11" t="s">
        <v>26</v>
      </c>
      <c r="AK102" s="11" t="s">
        <v>26</v>
      </c>
      <c r="AL102" s="11" t="s">
        <v>26</v>
      </c>
      <c r="AM102" s="10" t="s">
        <v>26</v>
      </c>
      <c r="AN102" s="11" t="s">
        <v>26</v>
      </c>
      <c r="AO102" s="11" t="s">
        <v>26</v>
      </c>
      <c r="AP102" s="11" t="s">
        <v>26</v>
      </c>
      <c r="AQ102" s="10" t="s">
        <v>26</v>
      </c>
      <c r="AR102" s="11" t="s">
        <v>26</v>
      </c>
      <c r="AS102" s="11" t="s">
        <v>26</v>
      </c>
      <c r="AT102" s="11" t="s">
        <v>26</v>
      </c>
      <c r="AU102" s="1" t="s">
        <v>26</v>
      </c>
      <c r="AV102" s="1" t="s">
        <v>26</v>
      </c>
      <c r="AW102" s="1" t="s">
        <v>26</v>
      </c>
      <c r="AX102" s="1" t="s">
        <v>26</v>
      </c>
      <c r="AY102" s="10">
        <v>5681539822.0299997</v>
      </c>
      <c r="AZ102" s="11">
        <v>8.2808493641499999E-3</v>
      </c>
      <c r="BA102" s="1" t="s">
        <v>26</v>
      </c>
      <c r="BB102" s="1" t="s">
        <v>26</v>
      </c>
    </row>
    <row r="103" spans="1:54" s="7" customFormat="1">
      <c r="A103" s="3" t="s">
        <v>86</v>
      </c>
      <c r="B103" s="31" t="s">
        <v>46</v>
      </c>
      <c r="C103" s="22" t="s">
        <v>26</v>
      </c>
      <c r="D103" s="22" t="s">
        <v>26</v>
      </c>
      <c r="E103" s="22" t="s">
        <v>26</v>
      </c>
      <c r="F103" s="22" t="s">
        <v>26</v>
      </c>
      <c r="G103" s="2">
        <v>1477421967.02</v>
      </c>
      <c r="H103" s="1">
        <v>1</v>
      </c>
      <c r="I103" s="22" t="s">
        <v>26</v>
      </c>
      <c r="J103" s="22" t="s">
        <v>26</v>
      </c>
      <c r="K103" s="22" t="s">
        <v>26</v>
      </c>
      <c r="L103" s="22" t="s">
        <v>26</v>
      </c>
      <c r="M103" s="22" t="s">
        <v>26</v>
      </c>
      <c r="N103" s="22" t="s">
        <v>26</v>
      </c>
      <c r="O103" s="2">
        <v>1420598045.22</v>
      </c>
      <c r="P103" s="1">
        <v>1</v>
      </c>
      <c r="Q103" s="22" t="s">
        <v>26</v>
      </c>
      <c r="R103" s="22" t="s">
        <v>26</v>
      </c>
      <c r="S103" s="2">
        <v>1420598045.21</v>
      </c>
      <c r="T103" s="1">
        <v>1</v>
      </c>
      <c r="U103" s="22" t="s">
        <v>26</v>
      </c>
      <c r="V103" s="22" t="s">
        <v>26</v>
      </c>
      <c r="W103" s="22" t="s">
        <v>26</v>
      </c>
      <c r="X103" s="22" t="s">
        <v>26</v>
      </c>
      <c r="Y103" s="22" t="s">
        <v>26</v>
      </c>
      <c r="Z103" s="22" t="s">
        <v>26</v>
      </c>
      <c r="AA103" s="2">
        <v>1362921764.5799999</v>
      </c>
      <c r="AB103" s="1">
        <v>1</v>
      </c>
      <c r="AC103" s="22" t="s">
        <v>26</v>
      </c>
      <c r="AD103" s="22" t="s">
        <v>26</v>
      </c>
      <c r="AE103" s="2">
        <v>5681539822.0299997</v>
      </c>
      <c r="AF103" s="1">
        <v>1</v>
      </c>
      <c r="AG103" s="22" t="s">
        <v>26</v>
      </c>
      <c r="AH103" s="22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1" t="s">
        <v>26</v>
      </c>
      <c r="AV103" s="1" t="s">
        <v>26</v>
      </c>
      <c r="AW103" s="1" t="s">
        <v>26</v>
      </c>
      <c r="AX103" s="1" t="s">
        <v>26</v>
      </c>
      <c r="AY103" s="2">
        <f>+AY102</f>
        <v>5681539822.0299997</v>
      </c>
      <c r="AZ103" s="1">
        <v>0.76011401710231996</v>
      </c>
      <c r="BA103" s="1" t="s">
        <v>26</v>
      </c>
      <c r="BB103" s="1" t="s">
        <v>26</v>
      </c>
    </row>
    <row r="104" spans="1:54" s="7" customFormat="1">
      <c r="A104" s="5" t="s">
        <v>89</v>
      </c>
      <c r="B104" s="24" t="s">
        <v>25</v>
      </c>
      <c r="C104" s="22" t="s">
        <v>26</v>
      </c>
      <c r="D104" s="22" t="s">
        <v>26</v>
      </c>
      <c r="E104" s="22" t="s">
        <v>26</v>
      </c>
      <c r="F104" s="22" t="s">
        <v>26</v>
      </c>
      <c r="G104" s="22" t="s">
        <v>26</v>
      </c>
      <c r="H104" s="22" t="s">
        <v>26</v>
      </c>
      <c r="I104" s="22" t="s">
        <v>26</v>
      </c>
      <c r="J104" s="22" t="s">
        <v>26</v>
      </c>
      <c r="K104" s="22" t="s">
        <v>26</v>
      </c>
      <c r="L104" s="22" t="s">
        <v>26</v>
      </c>
      <c r="M104" s="22" t="s">
        <v>26</v>
      </c>
      <c r="N104" s="22" t="s">
        <v>26</v>
      </c>
      <c r="O104" s="10">
        <v>3393557759.5</v>
      </c>
      <c r="P104" s="11">
        <v>1.604525513206E-2</v>
      </c>
      <c r="Q104" s="22" t="s">
        <v>26</v>
      </c>
      <c r="R104" s="22" t="s">
        <v>26</v>
      </c>
      <c r="S104" s="10">
        <v>609171267.44000006</v>
      </c>
      <c r="T104" s="11">
        <v>5.7499469960000001E-3</v>
      </c>
      <c r="U104" s="22" t="s">
        <v>26</v>
      </c>
      <c r="V104" s="22" t="s">
        <v>26</v>
      </c>
      <c r="W104" s="22" t="s">
        <v>26</v>
      </c>
      <c r="X104" s="22" t="s">
        <v>26</v>
      </c>
      <c r="Y104" s="22" t="s">
        <v>26</v>
      </c>
      <c r="Z104" s="22" t="s">
        <v>26</v>
      </c>
      <c r="AA104" s="10">
        <v>1218026668.29</v>
      </c>
      <c r="AB104" s="11">
        <v>9.3279451633900001E-3</v>
      </c>
      <c r="AC104" s="22" t="s">
        <v>26</v>
      </c>
      <c r="AD104" s="22" t="s">
        <v>26</v>
      </c>
      <c r="AE104" s="10">
        <v>5220755695.2299995</v>
      </c>
      <c r="AF104" s="11">
        <v>8.6422799853300009E-3</v>
      </c>
      <c r="AG104" s="22" t="s">
        <v>26</v>
      </c>
      <c r="AH104" s="22" t="s">
        <v>26</v>
      </c>
      <c r="AI104" s="10" t="s">
        <v>26</v>
      </c>
      <c r="AJ104" s="11" t="s">
        <v>26</v>
      </c>
      <c r="AK104" s="11" t="s">
        <v>26</v>
      </c>
      <c r="AL104" s="11" t="s">
        <v>26</v>
      </c>
      <c r="AM104" s="10" t="s">
        <v>26</v>
      </c>
      <c r="AN104" s="11" t="s">
        <v>26</v>
      </c>
      <c r="AO104" s="11" t="s">
        <v>26</v>
      </c>
      <c r="AP104" s="11" t="s">
        <v>26</v>
      </c>
      <c r="AQ104" s="10" t="s">
        <v>26</v>
      </c>
      <c r="AR104" s="11" t="s">
        <v>26</v>
      </c>
      <c r="AS104" s="11" t="s">
        <v>26</v>
      </c>
      <c r="AT104" s="11" t="s">
        <v>26</v>
      </c>
      <c r="AU104" s="10">
        <v>338428481.91000003</v>
      </c>
      <c r="AV104" s="11">
        <v>7.9729138036500006E-3</v>
      </c>
      <c r="AW104" s="1" t="s">
        <v>26</v>
      </c>
      <c r="AX104" s="1" t="s">
        <v>26</v>
      </c>
      <c r="AY104" s="10">
        <v>5559184177.1400003</v>
      </c>
      <c r="AZ104" s="11">
        <v>8.1025159024600002E-3</v>
      </c>
      <c r="BA104" s="1" t="s">
        <v>26</v>
      </c>
      <c r="BB104" s="1" t="s">
        <v>26</v>
      </c>
    </row>
    <row r="105" spans="1:54" s="7" customFormat="1">
      <c r="A105" s="3" t="s">
        <v>86</v>
      </c>
      <c r="B105" s="31" t="s">
        <v>46</v>
      </c>
      <c r="C105" s="22" t="s">
        <v>26</v>
      </c>
      <c r="D105" s="22" t="s">
        <v>26</v>
      </c>
      <c r="E105" s="22" t="s">
        <v>26</v>
      </c>
      <c r="F105" s="22" t="s">
        <v>26</v>
      </c>
      <c r="G105" s="22" t="s">
        <v>26</v>
      </c>
      <c r="H105" s="22" t="s">
        <v>26</v>
      </c>
      <c r="I105" s="22" t="s">
        <v>26</v>
      </c>
      <c r="J105" s="22" t="s">
        <v>26</v>
      </c>
      <c r="K105" s="22" t="s">
        <v>26</v>
      </c>
      <c r="L105" s="22" t="s">
        <v>26</v>
      </c>
      <c r="M105" s="22" t="s">
        <v>26</v>
      </c>
      <c r="N105" s="22" t="s">
        <v>26</v>
      </c>
      <c r="O105" s="2">
        <v>3393557759.5</v>
      </c>
      <c r="P105" s="1">
        <v>1</v>
      </c>
      <c r="Q105" s="22" t="s">
        <v>26</v>
      </c>
      <c r="R105" s="22" t="s">
        <v>26</v>
      </c>
      <c r="S105" s="2">
        <v>609171267.44000006</v>
      </c>
      <c r="T105" s="1">
        <v>1</v>
      </c>
      <c r="U105" s="22" t="s">
        <v>26</v>
      </c>
      <c r="V105" s="22" t="s">
        <v>26</v>
      </c>
      <c r="W105" s="22" t="s">
        <v>26</v>
      </c>
      <c r="X105" s="22" t="s">
        <v>26</v>
      </c>
      <c r="Y105" s="22" t="s">
        <v>26</v>
      </c>
      <c r="Z105" s="22" t="s">
        <v>26</v>
      </c>
      <c r="AA105" s="2">
        <v>1218026668.29</v>
      </c>
      <c r="AB105" s="1">
        <v>1</v>
      </c>
      <c r="AC105" s="22" t="s">
        <v>26</v>
      </c>
      <c r="AD105" s="22" t="s">
        <v>26</v>
      </c>
      <c r="AE105" s="2">
        <v>5220755695.2299995</v>
      </c>
      <c r="AF105" s="1">
        <v>1</v>
      </c>
      <c r="AG105" s="22" t="s">
        <v>26</v>
      </c>
      <c r="AH105" s="22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>
        <v>338428481.91000003</v>
      </c>
      <c r="AV105" s="1">
        <v>1</v>
      </c>
      <c r="AW105" s="1" t="s">
        <v>26</v>
      </c>
      <c r="AX105" s="1" t="s">
        <v>26</v>
      </c>
      <c r="AY105" s="2">
        <v>5559184177.1400003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106</v>
      </c>
      <c r="B106" s="24" t="s">
        <v>25</v>
      </c>
      <c r="C106" s="22" t="s">
        <v>26</v>
      </c>
      <c r="D106" s="22" t="s">
        <v>26</v>
      </c>
      <c r="E106" s="22" t="s">
        <v>26</v>
      </c>
      <c r="F106" s="22" t="s">
        <v>26</v>
      </c>
      <c r="G106" s="22" t="s">
        <v>26</v>
      </c>
      <c r="H106" s="22" t="s">
        <v>26</v>
      </c>
      <c r="I106" s="22" t="s">
        <v>26</v>
      </c>
      <c r="J106" s="22" t="s">
        <v>26</v>
      </c>
      <c r="K106" s="22" t="s">
        <v>26</v>
      </c>
      <c r="L106" s="22" t="s">
        <v>26</v>
      </c>
      <c r="M106" s="22" t="s">
        <v>26</v>
      </c>
      <c r="N106" s="22" t="s">
        <v>26</v>
      </c>
      <c r="O106" s="10">
        <v>643782147.60000002</v>
      </c>
      <c r="P106" s="11">
        <v>3.0438995118900001E-3</v>
      </c>
      <c r="Q106" s="22" t="s">
        <v>26</v>
      </c>
      <c r="R106" s="22" t="s">
        <v>26</v>
      </c>
      <c r="S106" s="22" t="s">
        <v>26</v>
      </c>
      <c r="T106" s="22" t="s">
        <v>26</v>
      </c>
      <c r="U106" s="22" t="s">
        <v>26</v>
      </c>
      <c r="V106" s="22" t="s">
        <v>26</v>
      </c>
      <c r="W106" s="22" t="s">
        <v>26</v>
      </c>
      <c r="X106" s="22" t="s">
        <v>26</v>
      </c>
      <c r="Y106" s="22" t="s">
        <v>26</v>
      </c>
      <c r="Z106" s="22" t="s">
        <v>26</v>
      </c>
      <c r="AA106" s="22" t="s">
        <v>26</v>
      </c>
      <c r="AB106" s="22" t="s">
        <v>26</v>
      </c>
      <c r="AC106" s="22" t="s">
        <v>26</v>
      </c>
      <c r="AD106" s="22" t="s">
        <v>26</v>
      </c>
      <c r="AE106" s="10">
        <v>643782147.60000002</v>
      </c>
      <c r="AF106" s="11">
        <v>1.0656973614400001E-3</v>
      </c>
      <c r="AG106" s="22" t="s">
        <v>26</v>
      </c>
      <c r="AH106" s="22" t="s">
        <v>26</v>
      </c>
      <c r="AI106" s="10" t="s">
        <v>26</v>
      </c>
      <c r="AJ106" s="11" t="s">
        <v>26</v>
      </c>
      <c r="AK106" s="11" t="s">
        <v>26</v>
      </c>
      <c r="AL106" s="11" t="s">
        <v>26</v>
      </c>
      <c r="AM106" s="10" t="s">
        <v>26</v>
      </c>
      <c r="AN106" s="11" t="s">
        <v>26</v>
      </c>
      <c r="AO106" s="11" t="s">
        <v>26</v>
      </c>
      <c r="AP106" s="11" t="s">
        <v>26</v>
      </c>
      <c r="AQ106" s="10" t="s">
        <v>26</v>
      </c>
      <c r="AR106" s="11" t="s">
        <v>26</v>
      </c>
      <c r="AS106" s="11" t="s">
        <v>26</v>
      </c>
      <c r="AT106" s="11" t="s">
        <v>26</v>
      </c>
      <c r="AU106" s="1" t="s">
        <v>26</v>
      </c>
      <c r="AV106" s="1" t="s">
        <v>26</v>
      </c>
      <c r="AW106" s="1" t="s">
        <v>26</v>
      </c>
      <c r="AX106" s="1" t="s">
        <v>26</v>
      </c>
      <c r="AY106" s="10">
        <v>643782147.60000002</v>
      </c>
      <c r="AZ106" s="11">
        <v>9.3831305502000003E-4</v>
      </c>
      <c r="BA106" s="1" t="s">
        <v>26</v>
      </c>
      <c r="BB106" s="1" t="s">
        <v>26</v>
      </c>
    </row>
    <row r="107" spans="1:54" s="7" customFormat="1">
      <c r="A107" s="3" t="s">
        <v>86</v>
      </c>
      <c r="B107" s="31" t="s">
        <v>46</v>
      </c>
      <c r="C107" s="22" t="s">
        <v>26</v>
      </c>
      <c r="D107" s="22" t="s">
        <v>26</v>
      </c>
      <c r="E107" s="22" t="s">
        <v>26</v>
      </c>
      <c r="F107" s="22" t="s">
        <v>26</v>
      </c>
      <c r="G107" s="22" t="s">
        <v>26</v>
      </c>
      <c r="H107" s="22" t="s">
        <v>26</v>
      </c>
      <c r="I107" s="22" t="s">
        <v>26</v>
      </c>
      <c r="J107" s="22" t="s">
        <v>26</v>
      </c>
      <c r="K107" s="22" t="s">
        <v>26</v>
      </c>
      <c r="L107" s="22" t="s">
        <v>26</v>
      </c>
      <c r="M107" s="22" t="s">
        <v>26</v>
      </c>
      <c r="N107" s="22" t="s">
        <v>26</v>
      </c>
      <c r="O107" s="2">
        <v>643782147.60000002</v>
      </c>
      <c r="P107" s="1">
        <v>1</v>
      </c>
      <c r="Q107" s="22" t="s">
        <v>26</v>
      </c>
      <c r="R107" s="22" t="s">
        <v>26</v>
      </c>
      <c r="S107" s="22" t="s">
        <v>26</v>
      </c>
      <c r="T107" s="22" t="s">
        <v>26</v>
      </c>
      <c r="U107" s="22" t="s">
        <v>26</v>
      </c>
      <c r="V107" s="22" t="s">
        <v>26</v>
      </c>
      <c r="W107" s="22" t="s">
        <v>26</v>
      </c>
      <c r="X107" s="22" t="s">
        <v>26</v>
      </c>
      <c r="Y107" s="22" t="s">
        <v>26</v>
      </c>
      <c r="Z107" s="22" t="s">
        <v>26</v>
      </c>
      <c r="AA107" s="22" t="s">
        <v>26</v>
      </c>
      <c r="AB107" s="22" t="s">
        <v>26</v>
      </c>
      <c r="AC107" s="22" t="s">
        <v>26</v>
      </c>
      <c r="AD107" s="22" t="s">
        <v>26</v>
      </c>
      <c r="AE107" s="2">
        <v>643782147.60000002</v>
      </c>
      <c r="AF107" s="1">
        <v>1</v>
      </c>
      <c r="AG107" s="22" t="s">
        <v>26</v>
      </c>
      <c r="AH107" s="22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1" t="s">
        <v>26</v>
      </c>
      <c r="AV107" s="1" t="s">
        <v>26</v>
      </c>
      <c r="AW107" s="1" t="s">
        <v>26</v>
      </c>
      <c r="AX107" s="1" t="s">
        <v>26</v>
      </c>
      <c r="AY107" s="2">
        <v>643782147.60000002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90</v>
      </c>
      <c r="B108" s="24" t="s">
        <v>25</v>
      </c>
      <c r="C108" s="22" t="s">
        <v>26</v>
      </c>
      <c r="D108" s="22" t="s">
        <v>26</v>
      </c>
      <c r="E108" s="22" t="s">
        <v>26</v>
      </c>
      <c r="F108" s="22" t="s">
        <v>26</v>
      </c>
      <c r="G108" s="22" t="s">
        <v>26</v>
      </c>
      <c r="H108" s="22" t="s">
        <v>26</v>
      </c>
      <c r="I108" s="22" t="s">
        <v>26</v>
      </c>
      <c r="J108" s="22" t="s">
        <v>26</v>
      </c>
      <c r="K108" s="22" t="s">
        <v>26</v>
      </c>
      <c r="L108" s="22" t="s">
        <v>26</v>
      </c>
      <c r="M108" s="22" t="s">
        <v>26</v>
      </c>
      <c r="N108" s="22" t="s">
        <v>26</v>
      </c>
      <c r="O108" s="10">
        <v>334269914.70999998</v>
      </c>
      <c r="P108" s="11">
        <v>1.5804787908700001E-3</v>
      </c>
      <c r="Q108" s="22" t="s">
        <v>26</v>
      </c>
      <c r="R108" s="22" t="s">
        <v>26</v>
      </c>
      <c r="S108" s="22" t="s">
        <v>26</v>
      </c>
      <c r="T108" s="22" t="s">
        <v>26</v>
      </c>
      <c r="U108" s="22" t="s">
        <v>26</v>
      </c>
      <c r="V108" s="22" t="s">
        <v>26</v>
      </c>
      <c r="W108" s="22" t="s">
        <v>26</v>
      </c>
      <c r="X108" s="22" t="s">
        <v>26</v>
      </c>
      <c r="Y108" s="22" t="s">
        <v>26</v>
      </c>
      <c r="Z108" s="22" t="s">
        <v>26</v>
      </c>
      <c r="AA108" s="10">
        <v>334269914.70999998</v>
      </c>
      <c r="AB108" s="11">
        <v>2.5599204971100001E-3</v>
      </c>
      <c r="AC108" s="22" t="s">
        <v>26</v>
      </c>
      <c r="AD108" s="22" t="s">
        <v>26</v>
      </c>
      <c r="AE108" s="10">
        <v>668539829.41999996</v>
      </c>
      <c r="AF108" s="11">
        <v>1.10668047395E-3</v>
      </c>
      <c r="AG108" s="22" t="s">
        <v>26</v>
      </c>
      <c r="AH108" s="22" t="s">
        <v>26</v>
      </c>
      <c r="AI108" s="10" t="s">
        <v>26</v>
      </c>
      <c r="AJ108" s="11" t="s">
        <v>26</v>
      </c>
      <c r="AK108" s="11" t="s">
        <v>26</v>
      </c>
      <c r="AL108" s="11" t="s">
        <v>26</v>
      </c>
      <c r="AM108" s="10" t="s">
        <v>26</v>
      </c>
      <c r="AN108" s="11" t="s">
        <v>26</v>
      </c>
      <c r="AO108" s="11" t="s">
        <v>26</v>
      </c>
      <c r="AP108" s="11" t="s">
        <v>26</v>
      </c>
      <c r="AQ108" s="10" t="s">
        <v>26</v>
      </c>
      <c r="AR108" s="11" t="s">
        <v>26</v>
      </c>
      <c r="AS108" s="11" t="s">
        <v>26</v>
      </c>
      <c r="AT108" s="11" t="s">
        <v>26</v>
      </c>
      <c r="AU108" s="1" t="s">
        <v>26</v>
      </c>
      <c r="AV108" s="1" t="s">
        <v>26</v>
      </c>
      <c r="AW108" s="1" t="s">
        <v>26</v>
      </c>
      <c r="AX108" s="1" t="s">
        <v>26</v>
      </c>
      <c r="AY108" s="10">
        <v>668539829.41999996</v>
      </c>
      <c r="AZ108" s="11">
        <v>9.7439739838E-4</v>
      </c>
      <c r="BA108" s="1" t="s">
        <v>26</v>
      </c>
      <c r="BB108" s="1" t="s">
        <v>26</v>
      </c>
    </row>
    <row r="109" spans="1:54" s="7" customFormat="1">
      <c r="A109" s="3" t="s">
        <v>86</v>
      </c>
      <c r="B109" s="31" t="s">
        <v>46</v>
      </c>
      <c r="C109" s="22" t="s">
        <v>26</v>
      </c>
      <c r="D109" s="22" t="s">
        <v>26</v>
      </c>
      <c r="E109" s="22" t="s">
        <v>26</v>
      </c>
      <c r="F109" s="22" t="s">
        <v>26</v>
      </c>
      <c r="G109" s="22" t="s">
        <v>26</v>
      </c>
      <c r="H109" s="22" t="s">
        <v>26</v>
      </c>
      <c r="I109" s="22" t="s">
        <v>26</v>
      </c>
      <c r="J109" s="22" t="s">
        <v>26</v>
      </c>
      <c r="K109" s="22" t="s">
        <v>26</v>
      </c>
      <c r="L109" s="22" t="s">
        <v>26</v>
      </c>
      <c r="M109" s="22" t="s">
        <v>26</v>
      </c>
      <c r="N109" s="22" t="s">
        <v>26</v>
      </c>
      <c r="O109" s="2">
        <v>334269914.70999998</v>
      </c>
      <c r="P109" s="1">
        <v>1</v>
      </c>
      <c r="Q109" s="22" t="s">
        <v>26</v>
      </c>
      <c r="R109" s="22" t="s">
        <v>26</v>
      </c>
      <c r="S109" s="22" t="s">
        <v>26</v>
      </c>
      <c r="T109" s="22" t="s">
        <v>26</v>
      </c>
      <c r="U109" s="22" t="s">
        <v>26</v>
      </c>
      <c r="V109" s="22" t="s">
        <v>26</v>
      </c>
      <c r="W109" s="22" t="s">
        <v>26</v>
      </c>
      <c r="X109" s="22" t="s">
        <v>26</v>
      </c>
      <c r="Y109" s="22" t="s">
        <v>26</v>
      </c>
      <c r="Z109" s="22" t="s">
        <v>26</v>
      </c>
      <c r="AA109" s="2">
        <v>334269914.70999998</v>
      </c>
      <c r="AB109" s="1">
        <v>1</v>
      </c>
      <c r="AC109" s="22" t="s">
        <v>26</v>
      </c>
      <c r="AD109" s="22" t="s">
        <v>26</v>
      </c>
      <c r="AE109" s="2">
        <v>668539829.41999996</v>
      </c>
      <c r="AF109" s="1">
        <v>1</v>
      </c>
      <c r="AG109" s="22" t="s">
        <v>26</v>
      </c>
      <c r="AH109" s="22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1" t="s">
        <v>26</v>
      </c>
      <c r="AV109" s="1" t="s">
        <v>26</v>
      </c>
      <c r="AW109" s="1" t="s">
        <v>26</v>
      </c>
      <c r="AX109" s="1" t="s">
        <v>26</v>
      </c>
      <c r="AY109" s="2">
        <v>668539829.41999996</v>
      </c>
      <c r="AZ109" s="1">
        <v>1</v>
      </c>
      <c r="BA109" s="1" t="s">
        <v>26</v>
      </c>
      <c r="BB109" s="1" t="s">
        <v>26</v>
      </c>
    </row>
    <row r="110" spans="1:54" s="8" customFormat="1">
      <c r="A110" s="5" t="s">
        <v>91</v>
      </c>
      <c r="B110" s="24" t="s">
        <v>25</v>
      </c>
      <c r="C110" s="22" t="s">
        <v>26</v>
      </c>
      <c r="D110" s="22" t="s">
        <v>26</v>
      </c>
      <c r="E110" s="22" t="s">
        <v>26</v>
      </c>
      <c r="F110" s="22" t="s">
        <v>26</v>
      </c>
      <c r="G110" s="22" t="s">
        <v>26</v>
      </c>
      <c r="H110" s="22" t="s">
        <v>26</v>
      </c>
      <c r="I110" s="22" t="s">
        <v>26</v>
      </c>
      <c r="J110" s="22" t="s">
        <v>26</v>
      </c>
      <c r="K110" s="22" t="s">
        <v>26</v>
      </c>
      <c r="L110" s="22" t="s">
        <v>26</v>
      </c>
      <c r="M110" s="22" t="s">
        <v>26</v>
      </c>
      <c r="N110" s="22" t="s">
        <v>26</v>
      </c>
      <c r="O110" s="22" t="s">
        <v>26</v>
      </c>
      <c r="P110" s="22" t="s">
        <v>26</v>
      </c>
      <c r="Q110" s="22" t="s">
        <v>26</v>
      </c>
      <c r="R110" s="22" t="s">
        <v>26</v>
      </c>
      <c r="S110" s="10">
        <v>139503104.56999999</v>
      </c>
      <c r="T110" s="11">
        <v>1.31676508714E-3</v>
      </c>
      <c r="U110" s="22" t="s">
        <v>26</v>
      </c>
      <c r="V110" s="22" t="s">
        <v>26</v>
      </c>
      <c r="W110" s="22" t="s">
        <v>26</v>
      </c>
      <c r="X110" s="22" t="s">
        <v>26</v>
      </c>
      <c r="Y110" s="22" t="s">
        <v>26</v>
      </c>
      <c r="Z110" s="22" t="s">
        <v>26</v>
      </c>
      <c r="AA110" s="22" t="s">
        <v>26</v>
      </c>
      <c r="AB110" s="22" t="s">
        <v>26</v>
      </c>
      <c r="AC110" s="22" t="s">
        <v>26</v>
      </c>
      <c r="AD110" s="22" t="s">
        <v>26</v>
      </c>
      <c r="AE110" s="10">
        <v>139503104.56999999</v>
      </c>
      <c r="AF110" s="11">
        <v>2.3092919089000001E-4</v>
      </c>
      <c r="AG110" s="22" t="s">
        <v>26</v>
      </c>
      <c r="AH110" s="22" t="s">
        <v>26</v>
      </c>
      <c r="AI110" s="10" t="s">
        <v>26</v>
      </c>
      <c r="AJ110" s="11" t="s">
        <v>26</v>
      </c>
      <c r="AK110" s="11" t="s">
        <v>26</v>
      </c>
      <c r="AL110" s="11" t="s">
        <v>26</v>
      </c>
      <c r="AM110" s="10" t="s">
        <v>26</v>
      </c>
      <c r="AN110" s="11" t="s">
        <v>26</v>
      </c>
      <c r="AO110" s="11" t="s">
        <v>26</v>
      </c>
      <c r="AP110" s="11" t="s">
        <v>26</v>
      </c>
      <c r="AQ110" s="10" t="s">
        <v>26</v>
      </c>
      <c r="AR110" s="11" t="s">
        <v>26</v>
      </c>
      <c r="AS110" s="11" t="s">
        <v>26</v>
      </c>
      <c r="AT110" s="11" t="s">
        <v>26</v>
      </c>
      <c r="AU110" s="10">
        <v>178706531.77000001</v>
      </c>
      <c r="AV110" s="11">
        <v>4.2100823367800001E-3</v>
      </c>
      <c r="AW110" s="1" t="s">
        <v>26</v>
      </c>
      <c r="AX110" s="1" t="s">
        <v>26</v>
      </c>
      <c r="AY110" s="10">
        <v>318209636.33999997</v>
      </c>
      <c r="AZ110" s="11">
        <v>4.6379082911999998E-4</v>
      </c>
      <c r="BA110" s="1" t="s">
        <v>26</v>
      </c>
      <c r="BB110" s="1" t="s">
        <v>26</v>
      </c>
    </row>
    <row r="111" spans="1:54" s="8" customFormat="1">
      <c r="A111" s="3" t="s">
        <v>86</v>
      </c>
      <c r="B111" s="31" t="s">
        <v>46</v>
      </c>
      <c r="C111" s="22" t="s">
        <v>26</v>
      </c>
      <c r="D111" s="22" t="s">
        <v>26</v>
      </c>
      <c r="E111" s="22" t="s">
        <v>26</v>
      </c>
      <c r="F111" s="22" t="s">
        <v>26</v>
      </c>
      <c r="G111" s="22" t="s">
        <v>26</v>
      </c>
      <c r="H111" s="22" t="s">
        <v>26</v>
      </c>
      <c r="I111" s="22" t="s">
        <v>26</v>
      </c>
      <c r="J111" s="22" t="s">
        <v>26</v>
      </c>
      <c r="K111" s="22" t="s">
        <v>26</v>
      </c>
      <c r="L111" s="22" t="s">
        <v>26</v>
      </c>
      <c r="M111" s="22" t="s">
        <v>26</v>
      </c>
      <c r="N111" s="22" t="s">
        <v>26</v>
      </c>
      <c r="O111" s="22" t="s">
        <v>26</v>
      </c>
      <c r="P111" s="22" t="s">
        <v>26</v>
      </c>
      <c r="Q111" s="22" t="s">
        <v>26</v>
      </c>
      <c r="R111" s="22" t="s">
        <v>26</v>
      </c>
      <c r="S111" s="2">
        <v>139503104.56999999</v>
      </c>
      <c r="T111" s="1">
        <v>1</v>
      </c>
      <c r="U111" s="22" t="s">
        <v>26</v>
      </c>
      <c r="V111" s="22" t="s">
        <v>26</v>
      </c>
      <c r="W111" s="22" t="s">
        <v>26</v>
      </c>
      <c r="X111" s="22" t="s">
        <v>26</v>
      </c>
      <c r="Y111" s="22" t="s">
        <v>26</v>
      </c>
      <c r="Z111" s="22" t="s">
        <v>26</v>
      </c>
      <c r="AA111" s="22" t="s">
        <v>26</v>
      </c>
      <c r="AB111" s="22" t="s">
        <v>26</v>
      </c>
      <c r="AC111" s="22" t="s">
        <v>26</v>
      </c>
      <c r="AD111" s="22" t="s">
        <v>26</v>
      </c>
      <c r="AE111" s="2">
        <v>139503104.56999999</v>
      </c>
      <c r="AF111" s="1">
        <v>1</v>
      </c>
      <c r="AG111" s="22" t="s">
        <v>26</v>
      </c>
      <c r="AH111" s="22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>
        <v>178706531.77000001</v>
      </c>
      <c r="AV111" s="1">
        <v>1</v>
      </c>
      <c r="AW111" s="1" t="s">
        <v>26</v>
      </c>
      <c r="AX111" s="1" t="s">
        <v>26</v>
      </c>
      <c r="AY111" s="2">
        <v>318209636.33999997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92</v>
      </c>
      <c r="B112" s="24" t="s">
        <v>25</v>
      </c>
      <c r="C112" s="22" t="s">
        <v>26</v>
      </c>
      <c r="D112" s="22" t="s">
        <v>26</v>
      </c>
      <c r="E112" s="22" t="s">
        <v>26</v>
      </c>
      <c r="F112" s="22" t="s">
        <v>26</v>
      </c>
      <c r="G112" s="10">
        <v>671596870.30999994</v>
      </c>
      <c r="H112" s="11">
        <v>4.7319840524999999E-3</v>
      </c>
      <c r="I112" s="22" t="s">
        <v>26</v>
      </c>
      <c r="J112" s="22" t="s">
        <v>26</v>
      </c>
      <c r="K112" s="22" t="s">
        <v>26</v>
      </c>
      <c r="L112" s="22" t="s">
        <v>26</v>
      </c>
      <c r="M112" s="22" t="s">
        <v>26</v>
      </c>
      <c r="N112" s="22" t="s">
        <v>26</v>
      </c>
      <c r="O112" s="10">
        <v>2109441157.29</v>
      </c>
      <c r="P112" s="11">
        <v>9.9737573229800001E-3</v>
      </c>
      <c r="Q112" s="22" t="s">
        <v>26</v>
      </c>
      <c r="R112" s="22" t="s">
        <v>26</v>
      </c>
      <c r="S112" s="22" t="s">
        <v>26</v>
      </c>
      <c r="T112" s="22" t="s">
        <v>26</v>
      </c>
      <c r="U112" s="22" t="s">
        <v>26</v>
      </c>
      <c r="V112" s="22" t="s">
        <v>26</v>
      </c>
      <c r="W112" s="22" t="s">
        <v>26</v>
      </c>
      <c r="X112" s="22" t="s">
        <v>26</v>
      </c>
      <c r="Y112" s="22" t="s">
        <v>26</v>
      </c>
      <c r="Z112" s="22" t="s">
        <v>26</v>
      </c>
      <c r="AA112" s="22" t="s">
        <v>26</v>
      </c>
      <c r="AB112" s="22" t="s">
        <v>26</v>
      </c>
      <c r="AC112" s="22" t="s">
        <v>26</v>
      </c>
      <c r="AD112" s="22" t="s">
        <v>26</v>
      </c>
      <c r="AE112" s="10">
        <v>2781038027.5999999</v>
      </c>
      <c r="AF112" s="11">
        <v>4.6036456573400001E-3</v>
      </c>
      <c r="AG112" s="22" t="s">
        <v>26</v>
      </c>
      <c r="AH112" s="22" t="s">
        <v>26</v>
      </c>
      <c r="AI112" s="10" t="s">
        <v>26</v>
      </c>
      <c r="AJ112" s="11" t="s">
        <v>26</v>
      </c>
      <c r="AK112" s="11" t="s">
        <v>26</v>
      </c>
      <c r="AL112" s="11" t="s">
        <v>26</v>
      </c>
      <c r="AM112" s="10" t="s">
        <v>26</v>
      </c>
      <c r="AN112" s="11" t="s">
        <v>26</v>
      </c>
      <c r="AO112" s="11" t="s">
        <v>26</v>
      </c>
      <c r="AP112" s="11" t="s">
        <v>26</v>
      </c>
      <c r="AQ112" s="10" t="s">
        <v>26</v>
      </c>
      <c r="AR112" s="11" t="s">
        <v>26</v>
      </c>
      <c r="AS112" s="11" t="s">
        <v>26</v>
      </c>
      <c r="AT112" s="11" t="s">
        <v>26</v>
      </c>
      <c r="AU112" s="1" t="s">
        <v>26</v>
      </c>
      <c r="AV112" s="1" t="s">
        <v>26</v>
      </c>
      <c r="AW112" s="1" t="s">
        <v>26</v>
      </c>
      <c r="AX112" s="1" t="s">
        <v>26</v>
      </c>
      <c r="AY112" s="10">
        <v>2781038027.5999999</v>
      </c>
      <c r="AZ112" s="11">
        <v>4.0533654086599997E-3</v>
      </c>
      <c r="BA112" s="1" t="s">
        <v>26</v>
      </c>
      <c r="BB112" s="1" t="s">
        <v>26</v>
      </c>
    </row>
    <row r="113" spans="1:54" s="7" customFormat="1">
      <c r="A113" s="3" t="s">
        <v>86</v>
      </c>
      <c r="B113" s="31" t="s">
        <v>46</v>
      </c>
      <c r="C113" s="22" t="s">
        <v>26</v>
      </c>
      <c r="D113" s="22" t="s">
        <v>26</v>
      </c>
      <c r="E113" s="22" t="s">
        <v>26</v>
      </c>
      <c r="F113" s="22" t="s">
        <v>26</v>
      </c>
      <c r="G113" s="2">
        <v>671596870.30999994</v>
      </c>
      <c r="H113" s="1">
        <v>1</v>
      </c>
      <c r="I113" s="22" t="s">
        <v>26</v>
      </c>
      <c r="J113" s="22" t="s">
        <v>26</v>
      </c>
      <c r="K113" s="22" t="s">
        <v>26</v>
      </c>
      <c r="L113" s="22" t="s">
        <v>26</v>
      </c>
      <c r="M113" s="22" t="s">
        <v>26</v>
      </c>
      <c r="N113" s="22" t="s">
        <v>26</v>
      </c>
      <c r="O113" s="2">
        <v>2109441157.29</v>
      </c>
      <c r="P113" s="1">
        <v>1</v>
      </c>
      <c r="Q113" s="22" t="s">
        <v>26</v>
      </c>
      <c r="R113" s="22" t="s">
        <v>26</v>
      </c>
      <c r="S113" s="22" t="s">
        <v>26</v>
      </c>
      <c r="T113" s="22" t="s">
        <v>26</v>
      </c>
      <c r="U113" s="22" t="s">
        <v>26</v>
      </c>
      <c r="V113" s="22" t="s">
        <v>26</v>
      </c>
      <c r="W113" s="22" t="s">
        <v>26</v>
      </c>
      <c r="X113" s="22" t="s">
        <v>26</v>
      </c>
      <c r="Y113" s="22" t="s">
        <v>26</v>
      </c>
      <c r="Z113" s="22" t="s">
        <v>26</v>
      </c>
      <c r="AA113" s="22" t="s">
        <v>26</v>
      </c>
      <c r="AB113" s="22" t="s">
        <v>26</v>
      </c>
      <c r="AC113" s="22" t="s">
        <v>26</v>
      </c>
      <c r="AD113" s="22" t="s">
        <v>26</v>
      </c>
      <c r="AE113" s="2">
        <v>2781038027.5999999</v>
      </c>
      <c r="AF113" s="1">
        <v>1</v>
      </c>
      <c r="AG113" s="22" t="s">
        <v>26</v>
      </c>
      <c r="AH113" s="22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1" t="s">
        <v>26</v>
      </c>
      <c r="AV113" s="1" t="s">
        <v>26</v>
      </c>
      <c r="AW113" s="1" t="s">
        <v>26</v>
      </c>
      <c r="AX113" s="1" t="s">
        <v>26</v>
      </c>
      <c r="AY113" s="2">
        <v>2781038027.5999999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93</v>
      </c>
      <c r="B114" s="24" t="s">
        <v>25</v>
      </c>
      <c r="C114" s="22" t="s">
        <v>26</v>
      </c>
      <c r="D114" s="22" t="s">
        <v>26</v>
      </c>
      <c r="E114" s="22" t="s">
        <v>26</v>
      </c>
      <c r="F114" s="22" t="s">
        <v>26</v>
      </c>
      <c r="G114" s="10">
        <v>1507042434.4100001</v>
      </c>
      <c r="H114" s="11">
        <v>1.061842465521E-2</v>
      </c>
      <c r="I114" s="22" t="s">
        <v>26</v>
      </c>
      <c r="J114" s="22" t="s">
        <v>26</v>
      </c>
      <c r="K114" s="22" t="s">
        <v>26</v>
      </c>
      <c r="L114" s="22" t="s">
        <v>26</v>
      </c>
      <c r="M114" s="22" t="s">
        <v>26</v>
      </c>
      <c r="N114" s="22" t="s">
        <v>26</v>
      </c>
      <c r="O114" s="10">
        <v>3590638883.9000001</v>
      </c>
      <c r="P114" s="11">
        <v>1.6977084541430001E-2</v>
      </c>
      <c r="Q114" s="22" t="s">
        <v>26</v>
      </c>
      <c r="R114" s="22" t="s">
        <v>26</v>
      </c>
      <c r="S114" s="10">
        <v>1005378887.49</v>
      </c>
      <c r="T114" s="11">
        <v>9.4897373250399999E-3</v>
      </c>
      <c r="U114" s="22" t="s">
        <v>26</v>
      </c>
      <c r="V114" s="22" t="s">
        <v>26</v>
      </c>
      <c r="W114" s="22" t="s">
        <v>26</v>
      </c>
      <c r="X114" s="22" t="s">
        <v>26</v>
      </c>
      <c r="Y114" s="22" t="s">
        <v>26</v>
      </c>
      <c r="Z114" s="22" t="s">
        <v>26</v>
      </c>
      <c r="AA114" s="22" t="s">
        <v>26</v>
      </c>
      <c r="AB114" s="22" t="s">
        <v>26</v>
      </c>
      <c r="AC114" s="22" t="s">
        <v>26</v>
      </c>
      <c r="AD114" s="22" t="s">
        <v>26</v>
      </c>
      <c r="AE114" s="10">
        <v>6103060205.8000002</v>
      </c>
      <c r="AF114" s="11">
        <v>1.0102820002480001E-2</v>
      </c>
      <c r="AG114" s="22" t="s">
        <v>26</v>
      </c>
      <c r="AH114" s="22" t="s">
        <v>26</v>
      </c>
      <c r="AI114" s="10" t="s">
        <v>26</v>
      </c>
      <c r="AJ114" s="11" t="s">
        <v>26</v>
      </c>
      <c r="AK114" s="11" t="s">
        <v>26</v>
      </c>
      <c r="AL114" s="11" t="s">
        <v>26</v>
      </c>
      <c r="AM114" s="10" t="s">
        <v>26</v>
      </c>
      <c r="AN114" s="11" t="s">
        <v>26</v>
      </c>
      <c r="AO114" s="11" t="s">
        <v>26</v>
      </c>
      <c r="AP114" s="11" t="s">
        <v>26</v>
      </c>
      <c r="AQ114" s="10" t="s">
        <v>26</v>
      </c>
      <c r="AR114" s="11" t="s">
        <v>26</v>
      </c>
      <c r="AS114" s="11" t="s">
        <v>26</v>
      </c>
      <c r="AT114" s="11" t="s">
        <v>26</v>
      </c>
      <c r="AU114" s="10">
        <v>1005378887.49</v>
      </c>
      <c r="AV114" s="11">
        <v>2.3685356400050001E-2</v>
      </c>
      <c r="AW114" s="1" t="s">
        <v>26</v>
      </c>
      <c r="AX114" s="1" t="s">
        <v>26</v>
      </c>
      <c r="AY114" s="10">
        <v>7108439093.29</v>
      </c>
      <c r="AZ114" s="11">
        <v>1.036055632621E-2</v>
      </c>
      <c r="BA114" s="1" t="s">
        <v>26</v>
      </c>
      <c r="BB114" s="1" t="s">
        <v>26</v>
      </c>
    </row>
    <row r="115" spans="1:54" s="7" customFormat="1">
      <c r="A115" s="3" t="s">
        <v>86</v>
      </c>
      <c r="B115" s="31" t="s">
        <v>37</v>
      </c>
      <c r="C115" s="22" t="s">
        <v>26</v>
      </c>
      <c r="D115" s="22" t="s">
        <v>26</v>
      </c>
      <c r="E115" s="22" t="s">
        <v>26</v>
      </c>
      <c r="F115" s="22" t="s">
        <v>26</v>
      </c>
      <c r="G115" s="2">
        <v>1507042434.4100001</v>
      </c>
      <c r="H115" s="1">
        <v>1</v>
      </c>
      <c r="I115" s="22" t="s">
        <v>26</v>
      </c>
      <c r="J115" s="22" t="s">
        <v>26</v>
      </c>
      <c r="K115" s="22" t="s">
        <v>26</v>
      </c>
      <c r="L115" s="22" t="s">
        <v>26</v>
      </c>
      <c r="M115" s="22" t="s">
        <v>26</v>
      </c>
      <c r="N115" s="22" t="s">
        <v>26</v>
      </c>
      <c r="O115" s="2">
        <v>3590638883.9000001</v>
      </c>
      <c r="P115" s="1">
        <v>1</v>
      </c>
      <c r="Q115" s="22" t="s">
        <v>26</v>
      </c>
      <c r="R115" s="22" t="s">
        <v>26</v>
      </c>
      <c r="S115" s="2">
        <v>1005378887.49</v>
      </c>
      <c r="T115" s="1">
        <v>1</v>
      </c>
      <c r="U115" s="22" t="s">
        <v>26</v>
      </c>
      <c r="V115" s="22" t="s">
        <v>26</v>
      </c>
      <c r="W115" s="22" t="s">
        <v>26</v>
      </c>
      <c r="X115" s="22" t="s">
        <v>26</v>
      </c>
      <c r="Y115" s="22" t="s">
        <v>26</v>
      </c>
      <c r="Z115" s="22" t="s">
        <v>26</v>
      </c>
      <c r="AA115" s="22" t="s">
        <v>26</v>
      </c>
      <c r="AB115" s="22" t="s">
        <v>26</v>
      </c>
      <c r="AC115" s="22" t="s">
        <v>26</v>
      </c>
      <c r="AD115" s="22" t="s">
        <v>26</v>
      </c>
      <c r="AE115" s="2">
        <v>6103060205.8000002</v>
      </c>
      <c r="AF115" s="1">
        <v>1</v>
      </c>
      <c r="AG115" s="22" t="s">
        <v>26</v>
      </c>
      <c r="AH115" s="22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>
        <v>1005378887.49</v>
      </c>
      <c r="AV115" s="1">
        <v>1</v>
      </c>
      <c r="AW115" s="1" t="s">
        <v>26</v>
      </c>
      <c r="AX115" s="1" t="s">
        <v>26</v>
      </c>
      <c r="AY115" s="2">
        <v>7108439093.29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94</v>
      </c>
      <c r="B116" s="24" t="s">
        <v>25</v>
      </c>
      <c r="C116" s="22" t="s">
        <v>26</v>
      </c>
      <c r="D116" s="22" t="s">
        <v>26</v>
      </c>
      <c r="E116" s="22" t="s">
        <v>26</v>
      </c>
      <c r="F116" s="22" t="s">
        <v>26</v>
      </c>
      <c r="G116" s="10">
        <v>554376739</v>
      </c>
      <c r="H116" s="11">
        <v>3.90606627874E-3</v>
      </c>
      <c r="I116" s="22" t="s">
        <v>26</v>
      </c>
      <c r="J116" s="22" t="s">
        <v>26</v>
      </c>
      <c r="K116" s="22" t="s">
        <v>26</v>
      </c>
      <c r="L116" s="22" t="s">
        <v>26</v>
      </c>
      <c r="M116" s="22" t="s">
        <v>26</v>
      </c>
      <c r="N116" s="22" t="s">
        <v>26</v>
      </c>
      <c r="O116" s="10">
        <v>768687698.75999999</v>
      </c>
      <c r="P116" s="11">
        <v>3.6344718780599999E-3</v>
      </c>
      <c r="Q116" s="22" t="s">
        <v>26</v>
      </c>
      <c r="R116" s="22" t="s">
        <v>26</v>
      </c>
      <c r="S116" s="10">
        <v>256343804.11000001</v>
      </c>
      <c r="T116" s="11">
        <v>2.41962049947E-3</v>
      </c>
      <c r="U116" s="22" t="s">
        <v>26</v>
      </c>
      <c r="V116" s="22" t="s">
        <v>26</v>
      </c>
      <c r="W116" s="22" t="s">
        <v>26</v>
      </c>
      <c r="X116" s="22" t="s">
        <v>26</v>
      </c>
      <c r="Y116" s="22" t="s">
        <v>26</v>
      </c>
      <c r="Z116" s="22" t="s">
        <v>26</v>
      </c>
      <c r="AA116" s="10">
        <v>831565108.5</v>
      </c>
      <c r="AB116" s="11">
        <v>6.3683283246699996E-3</v>
      </c>
      <c r="AC116" s="22" t="s">
        <v>26</v>
      </c>
      <c r="AD116" s="22" t="s">
        <v>26</v>
      </c>
      <c r="AE116" s="10">
        <v>2410973350.3699999</v>
      </c>
      <c r="AF116" s="11">
        <v>3.9910518605800003E-3</v>
      </c>
      <c r="AG116" s="22" t="s">
        <v>26</v>
      </c>
      <c r="AH116" s="22" t="s">
        <v>26</v>
      </c>
      <c r="AI116" s="10" t="s">
        <v>26</v>
      </c>
      <c r="AJ116" s="11" t="s">
        <v>26</v>
      </c>
      <c r="AK116" s="11" t="s">
        <v>26</v>
      </c>
      <c r="AL116" s="11" t="s">
        <v>26</v>
      </c>
      <c r="AM116" s="1" t="s">
        <v>26</v>
      </c>
      <c r="AN116" s="1" t="s">
        <v>26</v>
      </c>
      <c r="AO116" s="1" t="s">
        <v>26</v>
      </c>
      <c r="AP116" s="1" t="s">
        <v>26</v>
      </c>
      <c r="AQ116" s="1" t="s">
        <v>26</v>
      </c>
      <c r="AR116" s="1" t="s">
        <v>26</v>
      </c>
      <c r="AS116" s="1" t="s">
        <v>26</v>
      </c>
      <c r="AT116" s="1" t="s">
        <v>26</v>
      </c>
      <c r="AU116" s="1" t="s">
        <v>26</v>
      </c>
      <c r="AV116" s="1" t="s">
        <v>26</v>
      </c>
      <c r="AW116" s="1" t="s">
        <v>26</v>
      </c>
      <c r="AX116" s="1" t="s">
        <v>26</v>
      </c>
      <c r="AY116" s="10">
        <v>2410973350.3699999</v>
      </c>
      <c r="AZ116" s="11">
        <v>3.5139958111300002E-3</v>
      </c>
      <c r="BA116" s="1" t="s">
        <v>26</v>
      </c>
      <c r="BB116" s="1" t="s">
        <v>26</v>
      </c>
    </row>
    <row r="117" spans="1:54">
      <c r="A117" s="3" t="s">
        <v>86</v>
      </c>
      <c r="B117" s="31" t="s">
        <v>46</v>
      </c>
      <c r="C117" s="22" t="s">
        <v>26</v>
      </c>
      <c r="D117" s="22" t="s">
        <v>26</v>
      </c>
      <c r="E117" s="22" t="s">
        <v>26</v>
      </c>
      <c r="F117" s="22" t="s">
        <v>26</v>
      </c>
      <c r="G117" s="2">
        <v>554376739</v>
      </c>
      <c r="H117" s="1">
        <v>1</v>
      </c>
      <c r="I117" s="22" t="s">
        <v>26</v>
      </c>
      <c r="J117" s="22" t="s">
        <v>26</v>
      </c>
      <c r="K117" s="22" t="s">
        <v>26</v>
      </c>
      <c r="L117" s="22" t="s">
        <v>26</v>
      </c>
      <c r="M117" s="22" t="s">
        <v>26</v>
      </c>
      <c r="N117" s="22" t="s">
        <v>26</v>
      </c>
      <c r="O117" s="2">
        <v>768687698.75999999</v>
      </c>
      <c r="P117" s="1">
        <v>1</v>
      </c>
      <c r="Q117" s="22" t="s">
        <v>26</v>
      </c>
      <c r="R117" s="22" t="s">
        <v>26</v>
      </c>
      <c r="S117" s="2">
        <v>256343804.11000001</v>
      </c>
      <c r="T117" s="1">
        <v>1</v>
      </c>
      <c r="U117" s="22" t="s">
        <v>26</v>
      </c>
      <c r="V117" s="22" t="s">
        <v>26</v>
      </c>
      <c r="W117" s="22" t="s">
        <v>26</v>
      </c>
      <c r="X117" s="22" t="s">
        <v>26</v>
      </c>
      <c r="Y117" s="22" t="s">
        <v>26</v>
      </c>
      <c r="Z117" s="22" t="s">
        <v>26</v>
      </c>
      <c r="AA117" s="22">
        <v>831565108.5</v>
      </c>
      <c r="AB117" s="23">
        <v>1</v>
      </c>
      <c r="AC117" s="22" t="s">
        <v>26</v>
      </c>
      <c r="AD117" s="22" t="s">
        <v>26</v>
      </c>
      <c r="AE117" s="2">
        <v>2410973350.3699999</v>
      </c>
      <c r="AF117" s="1">
        <v>1</v>
      </c>
      <c r="AG117" s="22" t="s">
        <v>26</v>
      </c>
      <c r="AH117" s="22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1" t="s">
        <v>26</v>
      </c>
      <c r="AN117" s="1" t="s">
        <v>26</v>
      </c>
      <c r="AO117" s="1" t="s">
        <v>26</v>
      </c>
      <c r="AP117" s="1" t="s">
        <v>26</v>
      </c>
      <c r="AQ117" s="1" t="s">
        <v>26</v>
      </c>
      <c r="AR117" s="1" t="s">
        <v>26</v>
      </c>
      <c r="AS117" s="1" t="s">
        <v>26</v>
      </c>
      <c r="AT117" s="1" t="s">
        <v>26</v>
      </c>
      <c r="AU117" s="1" t="s">
        <v>26</v>
      </c>
      <c r="AV117" s="1" t="s">
        <v>26</v>
      </c>
      <c r="AW117" s="1" t="s">
        <v>26</v>
      </c>
      <c r="AX117" s="1" t="s">
        <v>26</v>
      </c>
      <c r="AY117" s="2">
        <v>1579408241.8699999</v>
      </c>
      <c r="AZ117" s="1">
        <v>0.65509153870474002</v>
      </c>
      <c r="BA117" s="1" t="s">
        <v>26</v>
      </c>
      <c r="BB117" s="1" t="s">
        <v>26</v>
      </c>
    </row>
    <row r="118" spans="1:54" s="7" customFormat="1">
      <c r="A118" s="5" t="s">
        <v>95</v>
      </c>
      <c r="B118" s="24" t="s">
        <v>25</v>
      </c>
      <c r="C118" s="22" t="s">
        <v>26</v>
      </c>
      <c r="D118" s="22" t="s">
        <v>26</v>
      </c>
      <c r="E118" s="22" t="s">
        <v>26</v>
      </c>
      <c r="F118" s="22" t="s">
        <v>26</v>
      </c>
      <c r="G118" s="22" t="s">
        <v>26</v>
      </c>
      <c r="H118" s="22" t="s">
        <v>26</v>
      </c>
      <c r="I118" s="22" t="s">
        <v>26</v>
      </c>
      <c r="J118" s="22" t="s">
        <v>26</v>
      </c>
      <c r="K118" s="22" t="s">
        <v>26</v>
      </c>
      <c r="L118" s="22" t="s">
        <v>26</v>
      </c>
      <c r="M118" s="22" t="s">
        <v>26</v>
      </c>
      <c r="N118" s="22" t="s">
        <v>26</v>
      </c>
      <c r="O118" s="10">
        <v>341208983.19999999</v>
      </c>
      <c r="P118" s="11">
        <v>1.6132877578E-3</v>
      </c>
      <c r="Q118" s="22" t="s">
        <v>26</v>
      </c>
      <c r="R118" s="22" t="s">
        <v>26</v>
      </c>
      <c r="S118" s="22" t="s">
        <v>26</v>
      </c>
      <c r="T118" s="22" t="s">
        <v>26</v>
      </c>
      <c r="U118" s="22" t="s">
        <v>26</v>
      </c>
      <c r="V118" s="22" t="s">
        <v>26</v>
      </c>
      <c r="W118" s="22" t="s">
        <v>26</v>
      </c>
      <c r="X118" s="22" t="s">
        <v>26</v>
      </c>
      <c r="Y118" s="22" t="s">
        <v>26</v>
      </c>
      <c r="Z118" s="22" t="s">
        <v>26</v>
      </c>
      <c r="AA118" s="22" t="s">
        <v>26</v>
      </c>
      <c r="AB118" s="22" t="s">
        <v>26</v>
      </c>
      <c r="AC118" s="22" t="s">
        <v>26</v>
      </c>
      <c r="AD118" s="22" t="s">
        <v>26</v>
      </c>
      <c r="AE118" s="10">
        <v>341208983.19999999</v>
      </c>
      <c r="AF118" s="11">
        <v>5.6482695962999996E-4</v>
      </c>
      <c r="AG118" s="22" t="s">
        <v>26</v>
      </c>
      <c r="AH118" s="22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1" t="s">
        <v>26</v>
      </c>
      <c r="AN118" s="1" t="s">
        <v>26</v>
      </c>
      <c r="AO118" s="1" t="s">
        <v>26</v>
      </c>
      <c r="AP118" s="1" t="s">
        <v>26</v>
      </c>
      <c r="AQ118" s="1" t="s">
        <v>26</v>
      </c>
      <c r="AR118" s="1" t="s">
        <v>26</v>
      </c>
      <c r="AS118" s="1" t="s">
        <v>26</v>
      </c>
      <c r="AT118" s="1" t="s">
        <v>26</v>
      </c>
      <c r="AU118" s="1" t="s">
        <v>26</v>
      </c>
      <c r="AV118" s="1" t="s">
        <v>26</v>
      </c>
      <c r="AW118" s="1" t="s">
        <v>26</v>
      </c>
      <c r="AX118" s="1" t="s">
        <v>26</v>
      </c>
      <c r="AY118" s="10">
        <v>341208983.19999999</v>
      </c>
      <c r="AZ118" s="11">
        <v>4.9731239771E-4</v>
      </c>
      <c r="BA118" s="1" t="s">
        <v>26</v>
      </c>
      <c r="BB118" s="1" t="s">
        <v>26</v>
      </c>
    </row>
    <row r="119" spans="1:54">
      <c r="A119" s="3" t="s">
        <v>86</v>
      </c>
      <c r="B119" s="31" t="s">
        <v>56</v>
      </c>
      <c r="C119" s="22" t="s">
        <v>26</v>
      </c>
      <c r="D119" s="22" t="s">
        <v>26</v>
      </c>
      <c r="E119" s="22" t="s">
        <v>26</v>
      </c>
      <c r="F119" s="22" t="s">
        <v>26</v>
      </c>
      <c r="G119" s="22" t="s">
        <v>26</v>
      </c>
      <c r="H119" s="22" t="s">
        <v>26</v>
      </c>
      <c r="I119" s="22" t="s">
        <v>26</v>
      </c>
      <c r="J119" s="22" t="s">
        <v>26</v>
      </c>
      <c r="K119" s="22" t="s">
        <v>26</v>
      </c>
      <c r="L119" s="22" t="s">
        <v>26</v>
      </c>
      <c r="M119" s="22" t="s">
        <v>26</v>
      </c>
      <c r="N119" s="22" t="s">
        <v>26</v>
      </c>
      <c r="O119" s="2">
        <v>341208983.19999999</v>
      </c>
      <c r="P119" s="1">
        <v>1</v>
      </c>
      <c r="Q119" s="22" t="s">
        <v>26</v>
      </c>
      <c r="R119" s="22" t="s">
        <v>26</v>
      </c>
      <c r="S119" s="22" t="s">
        <v>26</v>
      </c>
      <c r="T119" s="22" t="s">
        <v>26</v>
      </c>
      <c r="U119" s="22" t="s">
        <v>26</v>
      </c>
      <c r="V119" s="22" t="s">
        <v>26</v>
      </c>
      <c r="W119" s="22" t="s">
        <v>26</v>
      </c>
      <c r="X119" s="22" t="s">
        <v>26</v>
      </c>
      <c r="Y119" s="22" t="s">
        <v>26</v>
      </c>
      <c r="Z119" s="22" t="s">
        <v>26</v>
      </c>
      <c r="AA119" s="22" t="s">
        <v>26</v>
      </c>
      <c r="AB119" s="22" t="s">
        <v>26</v>
      </c>
      <c r="AC119" s="22" t="s">
        <v>26</v>
      </c>
      <c r="AD119" s="22" t="s">
        <v>26</v>
      </c>
      <c r="AE119" s="2">
        <v>341208983.19999999</v>
      </c>
      <c r="AF119" s="1">
        <v>1</v>
      </c>
      <c r="AG119" s="22" t="s">
        <v>26</v>
      </c>
      <c r="AH119" s="22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1" t="s">
        <v>26</v>
      </c>
      <c r="AN119" s="1" t="s">
        <v>26</v>
      </c>
      <c r="AO119" s="1" t="s">
        <v>26</v>
      </c>
      <c r="AP119" s="1" t="s">
        <v>26</v>
      </c>
      <c r="AQ119" s="1" t="s">
        <v>26</v>
      </c>
      <c r="AR119" s="1" t="s">
        <v>26</v>
      </c>
      <c r="AS119" s="1" t="s">
        <v>26</v>
      </c>
      <c r="AT119" s="1" t="s">
        <v>26</v>
      </c>
      <c r="AU119" s="1" t="s">
        <v>26</v>
      </c>
      <c r="AV119" s="1" t="s">
        <v>26</v>
      </c>
      <c r="AW119" s="1" t="s">
        <v>26</v>
      </c>
      <c r="AX119" s="1" t="s">
        <v>26</v>
      </c>
      <c r="AY119" s="2">
        <v>341208983.19999999</v>
      </c>
      <c r="AZ119" s="1">
        <v>1</v>
      </c>
      <c r="BA119" s="1" t="s">
        <v>26</v>
      </c>
      <c r="BB119" s="1" t="s">
        <v>26</v>
      </c>
    </row>
    <row r="120" spans="1:54" customFormat="1">
      <c r="A120" s="5" t="s">
        <v>96</v>
      </c>
      <c r="B120" s="24" t="s">
        <v>25</v>
      </c>
      <c r="C120" s="22" t="s">
        <v>26</v>
      </c>
      <c r="D120" s="22" t="s">
        <v>26</v>
      </c>
      <c r="E120" s="22" t="s">
        <v>26</v>
      </c>
      <c r="F120" s="22" t="s">
        <v>26</v>
      </c>
      <c r="G120" s="22" t="s">
        <v>26</v>
      </c>
      <c r="H120" s="22" t="s">
        <v>26</v>
      </c>
      <c r="I120" s="22" t="s">
        <v>26</v>
      </c>
      <c r="J120" s="22" t="s">
        <v>26</v>
      </c>
      <c r="K120" s="22" t="s">
        <v>26</v>
      </c>
      <c r="L120" s="22" t="s">
        <v>26</v>
      </c>
      <c r="M120" s="22" t="s">
        <v>26</v>
      </c>
      <c r="N120" s="22" t="s">
        <v>26</v>
      </c>
      <c r="O120" s="10">
        <v>31510114.859999999</v>
      </c>
      <c r="P120" s="11">
        <v>1.4898459610999999E-4</v>
      </c>
      <c r="Q120" s="22" t="s">
        <v>26</v>
      </c>
      <c r="R120" s="22" t="s">
        <v>26</v>
      </c>
      <c r="S120" s="22" t="s">
        <v>26</v>
      </c>
      <c r="T120" s="22" t="s">
        <v>26</v>
      </c>
      <c r="U120" s="22" t="s">
        <v>26</v>
      </c>
      <c r="V120" s="22" t="s">
        <v>26</v>
      </c>
      <c r="W120" s="22" t="s">
        <v>26</v>
      </c>
      <c r="X120" s="22" t="s">
        <v>26</v>
      </c>
      <c r="Y120" s="22" t="s">
        <v>26</v>
      </c>
      <c r="Z120" s="22" t="s">
        <v>26</v>
      </c>
      <c r="AA120" s="22" t="s">
        <v>26</v>
      </c>
      <c r="AB120" s="22" t="s">
        <v>26</v>
      </c>
      <c r="AC120" s="22" t="s">
        <v>26</v>
      </c>
      <c r="AD120" s="22" t="s">
        <v>26</v>
      </c>
      <c r="AE120" s="10">
        <v>31510114.859999999</v>
      </c>
      <c r="AF120" s="11">
        <v>5.2160884530000001E-5</v>
      </c>
      <c r="AG120" s="22" t="s">
        <v>26</v>
      </c>
      <c r="AH120" s="22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1" t="s">
        <v>26</v>
      </c>
      <c r="AN120" s="1" t="s">
        <v>26</v>
      </c>
      <c r="AO120" s="1" t="s">
        <v>26</v>
      </c>
      <c r="AP120" s="1" t="s">
        <v>26</v>
      </c>
      <c r="AQ120" s="1" t="s">
        <v>26</v>
      </c>
      <c r="AR120" s="1" t="s">
        <v>26</v>
      </c>
      <c r="AS120" s="1" t="s">
        <v>26</v>
      </c>
      <c r="AT120" s="1" t="s">
        <v>26</v>
      </c>
      <c r="AU120" s="1" t="s">
        <v>26</v>
      </c>
      <c r="AV120" s="1" t="s">
        <v>26</v>
      </c>
      <c r="AW120" s="1" t="s">
        <v>26</v>
      </c>
      <c r="AX120" s="1" t="s">
        <v>26</v>
      </c>
      <c r="AY120" s="10">
        <v>31510114.859999999</v>
      </c>
      <c r="AZ120" s="11">
        <v>4.5926020550000002E-5</v>
      </c>
      <c r="BA120" s="1" t="s">
        <v>26</v>
      </c>
      <c r="BB120" s="1" t="s">
        <v>26</v>
      </c>
    </row>
    <row r="121" spans="1:54" customFormat="1">
      <c r="A121" s="3" t="s">
        <v>86</v>
      </c>
      <c r="B121" s="31" t="s">
        <v>56</v>
      </c>
      <c r="C121" s="22" t="s">
        <v>26</v>
      </c>
      <c r="D121" s="22" t="s">
        <v>26</v>
      </c>
      <c r="E121" s="22" t="s">
        <v>26</v>
      </c>
      <c r="F121" s="22" t="s">
        <v>26</v>
      </c>
      <c r="G121" s="22" t="s">
        <v>26</v>
      </c>
      <c r="H121" s="22" t="s">
        <v>26</v>
      </c>
      <c r="I121" s="22" t="s">
        <v>26</v>
      </c>
      <c r="J121" s="22" t="s">
        <v>26</v>
      </c>
      <c r="K121" s="22" t="s">
        <v>26</v>
      </c>
      <c r="L121" s="22" t="s">
        <v>26</v>
      </c>
      <c r="M121" s="22" t="s">
        <v>26</v>
      </c>
      <c r="N121" s="22" t="s">
        <v>26</v>
      </c>
      <c r="O121" s="2">
        <v>31510114.859999999</v>
      </c>
      <c r="P121" s="1">
        <v>1</v>
      </c>
      <c r="Q121" s="22" t="s">
        <v>26</v>
      </c>
      <c r="R121" s="22" t="s">
        <v>26</v>
      </c>
      <c r="S121" s="22" t="s">
        <v>26</v>
      </c>
      <c r="T121" s="22" t="s">
        <v>26</v>
      </c>
      <c r="U121" s="22" t="s">
        <v>26</v>
      </c>
      <c r="V121" s="22" t="s">
        <v>26</v>
      </c>
      <c r="W121" s="22" t="s">
        <v>26</v>
      </c>
      <c r="X121" s="22" t="s">
        <v>26</v>
      </c>
      <c r="Y121" s="22" t="s">
        <v>26</v>
      </c>
      <c r="Z121" s="22" t="s">
        <v>26</v>
      </c>
      <c r="AA121" s="22" t="s">
        <v>26</v>
      </c>
      <c r="AB121" s="22" t="s">
        <v>26</v>
      </c>
      <c r="AC121" s="22" t="s">
        <v>26</v>
      </c>
      <c r="AD121" s="22" t="s">
        <v>26</v>
      </c>
      <c r="AE121" s="2">
        <v>31510114.859999999</v>
      </c>
      <c r="AF121" s="1">
        <v>1</v>
      </c>
      <c r="AG121" s="22" t="s">
        <v>26</v>
      </c>
      <c r="AH121" s="22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1" t="s">
        <v>26</v>
      </c>
      <c r="AN121" s="1" t="s">
        <v>26</v>
      </c>
      <c r="AO121" s="1" t="s">
        <v>26</v>
      </c>
      <c r="AP121" s="1" t="s">
        <v>26</v>
      </c>
      <c r="AQ121" s="1" t="s">
        <v>26</v>
      </c>
      <c r="AR121" s="1" t="s">
        <v>26</v>
      </c>
      <c r="AS121" s="1" t="s">
        <v>26</v>
      </c>
      <c r="AT121" s="1" t="s">
        <v>26</v>
      </c>
      <c r="AU121" s="1" t="s">
        <v>26</v>
      </c>
      <c r="AV121" s="1" t="s">
        <v>26</v>
      </c>
      <c r="AW121" s="1" t="s">
        <v>26</v>
      </c>
      <c r="AX121" s="1" t="s">
        <v>26</v>
      </c>
      <c r="AY121" s="2">
        <v>31510114.859999999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97</v>
      </c>
      <c r="B122" s="24" t="s">
        <v>25</v>
      </c>
      <c r="C122" s="22" t="s">
        <v>26</v>
      </c>
      <c r="D122" s="22" t="s">
        <v>26</v>
      </c>
      <c r="E122" s="22" t="s">
        <v>26</v>
      </c>
      <c r="F122" s="22" t="s">
        <v>26</v>
      </c>
      <c r="G122" s="22" t="s">
        <v>26</v>
      </c>
      <c r="H122" s="22" t="s">
        <v>26</v>
      </c>
      <c r="I122" s="22" t="s">
        <v>26</v>
      </c>
      <c r="J122" s="22" t="s">
        <v>26</v>
      </c>
      <c r="K122" s="22" t="s">
        <v>26</v>
      </c>
      <c r="L122" s="22" t="s">
        <v>26</v>
      </c>
      <c r="M122" s="22" t="s">
        <v>26</v>
      </c>
      <c r="N122" s="22" t="s">
        <v>26</v>
      </c>
      <c r="O122" s="10">
        <v>1881900292.05</v>
      </c>
      <c r="P122" s="11">
        <v>8.89790964497E-3</v>
      </c>
      <c r="Q122" s="22" t="s">
        <v>26</v>
      </c>
      <c r="R122" s="22" t="s">
        <v>26</v>
      </c>
      <c r="S122" s="22" t="s">
        <v>26</v>
      </c>
      <c r="T122" s="22" t="s">
        <v>26</v>
      </c>
      <c r="U122" s="22" t="s">
        <v>26</v>
      </c>
      <c r="V122" s="22" t="s">
        <v>26</v>
      </c>
      <c r="W122" s="22" t="s">
        <v>26</v>
      </c>
      <c r="X122" s="22" t="s">
        <v>26</v>
      </c>
      <c r="Y122" s="22" t="s">
        <v>26</v>
      </c>
      <c r="Z122" s="22" t="s">
        <v>26</v>
      </c>
      <c r="AA122" s="22" t="s">
        <v>26</v>
      </c>
      <c r="AB122" s="22" t="s">
        <v>26</v>
      </c>
      <c r="AC122" s="22" t="s">
        <v>26</v>
      </c>
      <c r="AD122" s="22" t="s">
        <v>26</v>
      </c>
      <c r="AE122" s="10">
        <v>1881900292.05</v>
      </c>
      <c r="AF122" s="11">
        <v>3.11524043219E-3</v>
      </c>
      <c r="AG122" s="22" t="s">
        <v>26</v>
      </c>
      <c r="AH122" s="22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1" t="s">
        <v>26</v>
      </c>
      <c r="AN122" s="1" t="s">
        <v>26</v>
      </c>
      <c r="AO122" s="1" t="s">
        <v>26</v>
      </c>
      <c r="AP122" s="1" t="s">
        <v>26</v>
      </c>
      <c r="AQ122" s="1" t="s">
        <v>26</v>
      </c>
      <c r="AR122" s="1" t="s">
        <v>26</v>
      </c>
      <c r="AS122" s="1" t="s">
        <v>26</v>
      </c>
      <c r="AT122" s="1" t="s">
        <v>26</v>
      </c>
      <c r="AU122" s="1" t="s">
        <v>26</v>
      </c>
      <c r="AV122" s="1" t="s">
        <v>26</v>
      </c>
      <c r="AW122" s="1" t="s">
        <v>26</v>
      </c>
      <c r="AX122" s="1" t="s">
        <v>26</v>
      </c>
      <c r="AY122" s="10">
        <v>1881900292.05</v>
      </c>
      <c r="AZ122" s="11">
        <v>2.7428713561700002E-3</v>
      </c>
      <c r="BA122" s="1" t="s">
        <v>26</v>
      </c>
      <c r="BB122" s="1" t="s">
        <v>26</v>
      </c>
    </row>
    <row r="123" spans="1:54" s="7" customFormat="1">
      <c r="A123" s="3" t="s">
        <v>86</v>
      </c>
      <c r="B123" s="31" t="s">
        <v>46</v>
      </c>
      <c r="C123" s="22" t="s">
        <v>26</v>
      </c>
      <c r="D123" s="22" t="s">
        <v>26</v>
      </c>
      <c r="E123" s="22" t="s">
        <v>26</v>
      </c>
      <c r="F123" s="22" t="s">
        <v>26</v>
      </c>
      <c r="G123" s="22" t="s">
        <v>26</v>
      </c>
      <c r="H123" s="22" t="s">
        <v>26</v>
      </c>
      <c r="I123" s="22" t="s">
        <v>26</v>
      </c>
      <c r="J123" s="22" t="s">
        <v>26</v>
      </c>
      <c r="K123" s="22" t="s">
        <v>26</v>
      </c>
      <c r="L123" s="22" t="s">
        <v>26</v>
      </c>
      <c r="M123" s="22" t="s">
        <v>26</v>
      </c>
      <c r="N123" s="22" t="s">
        <v>26</v>
      </c>
      <c r="O123" s="2">
        <v>1881900292.05</v>
      </c>
      <c r="P123" s="1">
        <v>1</v>
      </c>
      <c r="Q123" s="22" t="s">
        <v>26</v>
      </c>
      <c r="R123" s="22" t="s">
        <v>26</v>
      </c>
      <c r="S123" s="22" t="s">
        <v>26</v>
      </c>
      <c r="T123" s="22" t="s">
        <v>26</v>
      </c>
      <c r="U123" s="22" t="s">
        <v>26</v>
      </c>
      <c r="V123" s="22" t="s">
        <v>26</v>
      </c>
      <c r="W123" s="22" t="s">
        <v>26</v>
      </c>
      <c r="X123" s="22" t="s">
        <v>26</v>
      </c>
      <c r="Y123" s="22" t="s">
        <v>26</v>
      </c>
      <c r="Z123" s="22" t="s">
        <v>26</v>
      </c>
      <c r="AA123" s="22" t="s">
        <v>26</v>
      </c>
      <c r="AB123" s="22" t="s">
        <v>26</v>
      </c>
      <c r="AC123" s="22" t="s">
        <v>26</v>
      </c>
      <c r="AD123" s="22" t="s">
        <v>26</v>
      </c>
      <c r="AE123" s="2">
        <v>1881900292.05</v>
      </c>
      <c r="AF123" s="1">
        <v>1</v>
      </c>
      <c r="AG123" s="22" t="s">
        <v>26</v>
      </c>
      <c r="AH123" s="22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1" t="s">
        <v>26</v>
      </c>
      <c r="AN123" s="1" t="s">
        <v>26</v>
      </c>
      <c r="AO123" s="1" t="s">
        <v>26</v>
      </c>
      <c r="AP123" s="1" t="s">
        <v>26</v>
      </c>
      <c r="AQ123" s="1" t="s">
        <v>26</v>
      </c>
      <c r="AR123" s="1" t="s">
        <v>26</v>
      </c>
      <c r="AS123" s="1" t="s">
        <v>26</v>
      </c>
      <c r="AT123" s="1" t="s">
        <v>26</v>
      </c>
      <c r="AU123" s="1" t="s">
        <v>26</v>
      </c>
      <c r="AV123" s="1" t="s">
        <v>26</v>
      </c>
      <c r="AW123" s="1" t="s">
        <v>26</v>
      </c>
      <c r="AX123" s="1" t="s">
        <v>26</v>
      </c>
      <c r="AY123" s="2">
        <v>1881900292.05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98</v>
      </c>
      <c r="B124" s="24" t="s">
        <v>25</v>
      </c>
      <c r="C124" s="22" t="s">
        <v>26</v>
      </c>
      <c r="D124" s="22" t="s">
        <v>26</v>
      </c>
      <c r="E124" s="22" t="s">
        <v>26</v>
      </c>
      <c r="F124" s="22" t="s">
        <v>26</v>
      </c>
      <c r="G124" s="22" t="s">
        <v>26</v>
      </c>
      <c r="H124" s="22" t="s">
        <v>26</v>
      </c>
      <c r="I124" s="22" t="s">
        <v>26</v>
      </c>
      <c r="J124" s="22" t="s">
        <v>26</v>
      </c>
      <c r="K124" s="22" t="s">
        <v>26</v>
      </c>
      <c r="L124" s="22" t="s">
        <v>26</v>
      </c>
      <c r="M124" s="22" t="s">
        <v>26</v>
      </c>
      <c r="N124" s="22" t="s">
        <v>26</v>
      </c>
      <c r="O124" s="10">
        <v>572609773</v>
      </c>
      <c r="P124" s="11">
        <v>2.70738574382E-3</v>
      </c>
      <c r="Q124" s="22" t="s">
        <v>26</v>
      </c>
      <c r="R124" s="22" t="s">
        <v>26</v>
      </c>
      <c r="S124" s="22" t="s">
        <v>26</v>
      </c>
      <c r="T124" s="22" t="s">
        <v>26</v>
      </c>
      <c r="U124" s="22" t="s">
        <v>26</v>
      </c>
      <c r="V124" s="22" t="s">
        <v>26</v>
      </c>
      <c r="W124" s="22" t="s">
        <v>26</v>
      </c>
      <c r="X124" s="22" t="s">
        <v>26</v>
      </c>
      <c r="Y124" s="22" t="s">
        <v>26</v>
      </c>
      <c r="Z124" s="22" t="s">
        <v>26</v>
      </c>
      <c r="AA124" s="22" t="s">
        <v>26</v>
      </c>
      <c r="AB124" s="22" t="s">
        <v>26</v>
      </c>
      <c r="AC124" s="22" t="s">
        <v>26</v>
      </c>
      <c r="AD124" s="22" t="s">
        <v>26</v>
      </c>
      <c r="AE124" s="10">
        <v>572609773</v>
      </c>
      <c r="AF124" s="11">
        <v>9.4788078000000004E-4</v>
      </c>
      <c r="AG124" s="22" t="s">
        <v>26</v>
      </c>
      <c r="AH124" s="22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1" t="s">
        <v>26</v>
      </c>
      <c r="AN124" s="1" t="s">
        <v>26</v>
      </c>
      <c r="AO124" s="1" t="s">
        <v>26</v>
      </c>
      <c r="AP124" s="1" t="s">
        <v>26</v>
      </c>
      <c r="AQ124" s="1" t="s">
        <v>26</v>
      </c>
      <c r="AR124" s="1" t="s">
        <v>26</v>
      </c>
      <c r="AS124" s="1" t="s">
        <v>26</v>
      </c>
      <c r="AT124" s="1" t="s">
        <v>26</v>
      </c>
      <c r="AU124" s="1" t="s">
        <v>26</v>
      </c>
      <c r="AV124" s="1" t="s">
        <v>26</v>
      </c>
      <c r="AW124" s="1" t="s">
        <v>26</v>
      </c>
      <c r="AX124" s="1" t="s">
        <v>26</v>
      </c>
      <c r="AY124" s="10">
        <v>572609773</v>
      </c>
      <c r="AZ124" s="11">
        <v>8.3457925548000001E-4</v>
      </c>
      <c r="BA124" s="1" t="s">
        <v>26</v>
      </c>
      <c r="BB124" s="1" t="s">
        <v>26</v>
      </c>
    </row>
    <row r="125" spans="1:54">
      <c r="A125" s="3" t="s">
        <v>86</v>
      </c>
      <c r="B125" s="36" t="s">
        <v>99</v>
      </c>
      <c r="C125" s="22" t="s">
        <v>26</v>
      </c>
      <c r="D125" s="22" t="s">
        <v>26</v>
      </c>
      <c r="E125" s="22" t="s">
        <v>26</v>
      </c>
      <c r="F125" s="22" t="s">
        <v>26</v>
      </c>
      <c r="G125" s="22" t="s">
        <v>26</v>
      </c>
      <c r="H125" s="22" t="s">
        <v>26</v>
      </c>
      <c r="I125" s="22" t="s">
        <v>26</v>
      </c>
      <c r="J125" s="22" t="s">
        <v>26</v>
      </c>
      <c r="K125" s="22" t="s">
        <v>26</v>
      </c>
      <c r="L125" s="22" t="s">
        <v>26</v>
      </c>
      <c r="M125" s="22" t="s">
        <v>26</v>
      </c>
      <c r="N125" s="22" t="s">
        <v>26</v>
      </c>
      <c r="O125" s="2">
        <v>572609773</v>
      </c>
      <c r="P125" s="1">
        <v>1</v>
      </c>
      <c r="Q125" s="22" t="s">
        <v>26</v>
      </c>
      <c r="R125" s="22" t="s">
        <v>26</v>
      </c>
      <c r="S125" s="22" t="s">
        <v>26</v>
      </c>
      <c r="T125" s="22" t="s">
        <v>26</v>
      </c>
      <c r="U125" s="22" t="s">
        <v>26</v>
      </c>
      <c r="V125" s="22" t="s">
        <v>26</v>
      </c>
      <c r="W125" s="22" t="s">
        <v>26</v>
      </c>
      <c r="X125" s="22" t="s">
        <v>26</v>
      </c>
      <c r="Y125" s="22" t="s">
        <v>26</v>
      </c>
      <c r="Z125" s="22" t="s">
        <v>26</v>
      </c>
      <c r="AA125" s="22" t="s">
        <v>26</v>
      </c>
      <c r="AB125" s="22" t="s">
        <v>26</v>
      </c>
      <c r="AC125" s="22" t="s">
        <v>26</v>
      </c>
      <c r="AD125" s="22" t="s">
        <v>26</v>
      </c>
      <c r="AE125" s="2">
        <v>572609773</v>
      </c>
      <c r="AF125" s="1">
        <v>1</v>
      </c>
      <c r="AG125" s="22" t="s">
        <v>26</v>
      </c>
      <c r="AH125" s="22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1" t="s">
        <v>26</v>
      </c>
      <c r="AN125" s="1" t="s">
        <v>26</v>
      </c>
      <c r="AO125" s="1" t="s">
        <v>26</v>
      </c>
      <c r="AP125" s="1" t="s">
        <v>26</v>
      </c>
      <c r="AQ125" s="1" t="s">
        <v>26</v>
      </c>
      <c r="AR125" s="1" t="s">
        <v>26</v>
      </c>
      <c r="AS125" s="1" t="s">
        <v>26</v>
      </c>
      <c r="AT125" s="1" t="s">
        <v>26</v>
      </c>
      <c r="AU125" s="1" t="s">
        <v>26</v>
      </c>
      <c r="AV125" s="1" t="s">
        <v>26</v>
      </c>
      <c r="AW125" s="1" t="s">
        <v>26</v>
      </c>
      <c r="AX125" s="1" t="s">
        <v>26</v>
      </c>
      <c r="AY125" s="2">
        <v>572609773</v>
      </c>
      <c r="AZ125" s="1">
        <v>1</v>
      </c>
      <c r="BA125" s="1" t="s">
        <v>26</v>
      </c>
      <c r="BB125" s="1" t="s">
        <v>26</v>
      </c>
    </row>
    <row r="126" spans="1:54">
      <c r="A126" s="13" t="s">
        <v>100</v>
      </c>
      <c r="B126" s="25" t="s">
        <v>25</v>
      </c>
      <c r="C126" s="55">
        <v>5533016416.4700003</v>
      </c>
      <c r="D126" s="56">
        <v>0.99839999999999995</v>
      </c>
      <c r="E126" s="56" t="s">
        <v>26</v>
      </c>
      <c r="F126" s="56" t="s">
        <v>26</v>
      </c>
      <c r="G126" s="55">
        <f>+G8+G13+G17+G47+G68+G92+G97</f>
        <v>141926098211.68079</v>
      </c>
      <c r="H126" s="56">
        <f>+H8+H13+H17+H47+H68+H92+H97</f>
        <v>0.99999279785318118</v>
      </c>
      <c r="I126" s="56" t="s">
        <v>26</v>
      </c>
      <c r="J126" s="56" t="s">
        <v>25</v>
      </c>
      <c r="K126" s="55">
        <v>2676234231.8000002</v>
      </c>
      <c r="L126" s="56">
        <v>0.99890000000000001</v>
      </c>
      <c r="M126" s="56" t="s">
        <v>26</v>
      </c>
      <c r="N126" s="56" t="s">
        <v>26</v>
      </c>
      <c r="O126" s="55">
        <f>+O8+O13+O17+O47+O68+O92+O97+O87+O57</f>
        <v>211492827231.84</v>
      </c>
      <c r="P126" s="56">
        <f>+P8+P13+P17+P47+P68+P92+P97+P87+P57</f>
        <v>0.9999701234007361</v>
      </c>
      <c r="Q126" s="56" t="s">
        <v>26</v>
      </c>
      <c r="R126" s="56" t="s">
        <v>26</v>
      </c>
      <c r="S126" s="55">
        <f>+S8+S13+S17+S47+S68+S92+S97+S87+S57</f>
        <v>105943323320.62733</v>
      </c>
      <c r="T126" s="56">
        <f>+T8+T13+T17+T47+T68+T92+T97+T87+T57</f>
        <v>0.99999544665689288</v>
      </c>
      <c r="U126" s="56" t="s">
        <v>26</v>
      </c>
      <c r="V126" s="56" t="s">
        <v>26</v>
      </c>
      <c r="W126" s="55">
        <v>5918260553.79</v>
      </c>
      <c r="X126" s="56">
        <v>0.99880000000000002</v>
      </c>
      <c r="Y126" s="56" t="s">
        <v>26</v>
      </c>
      <c r="Z126" s="56" t="s">
        <v>26</v>
      </c>
      <c r="AA126" s="55">
        <f>+AA8+AA13+AA17+AA47+AA68+AA92+AA97+AA87+AA57</f>
        <v>130544708592.53</v>
      </c>
      <c r="AB126" s="56">
        <f>+AB8+AB13+AB17+AB47+AB68+AB92+AB97+AB87+AB57</f>
        <v>0.999743203349995</v>
      </c>
      <c r="AC126" s="56" t="s">
        <v>26</v>
      </c>
      <c r="AD126" s="56" t="s">
        <v>26</v>
      </c>
      <c r="AE126" s="55">
        <f>+AE8+AE13+AE17+AE47+AE68+AE92+AE97+AE87+AE57</f>
        <v>604034468558.73828</v>
      </c>
      <c r="AF126" s="56">
        <f>+AF8+AF13+AF17+AF47+AF68+AF92+AF97+AF87+AF57</f>
        <v>0.99990026402578225</v>
      </c>
      <c r="AG126" s="56" t="s">
        <v>26</v>
      </c>
      <c r="AH126" s="56" t="s">
        <v>26</v>
      </c>
      <c r="AI126" s="55">
        <v>16254952104.08</v>
      </c>
      <c r="AJ126" s="56">
        <v>1</v>
      </c>
      <c r="AK126" s="56" t="s">
        <v>26</v>
      </c>
      <c r="AL126" s="56" t="s">
        <v>26</v>
      </c>
      <c r="AM126" s="55">
        <v>23308143052.869999</v>
      </c>
      <c r="AN126" s="56">
        <v>1</v>
      </c>
      <c r="AO126" s="56" t="s">
        <v>26</v>
      </c>
      <c r="AP126" s="56" t="s">
        <v>26</v>
      </c>
      <c r="AQ126" s="55">
        <v>39563095156.949997</v>
      </c>
      <c r="AR126" s="56">
        <v>1</v>
      </c>
      <c r="AS126" s="56" t="s">
        <v>26</v>
      </c>
      <c r="AT126" s="56" t="s">
        <v>26</v>
      </c>
      <c r="AU126" s="55">
        <v>42447057527.459999</v>
      </c>
      <c r="AV126" s="56">
        <v>1</v>
      </c>
      <c r="AW126" s="56" t="s">
        <v>26</v>
      </c>
      <c r="AX126" s="56" t="s">
        <v>26</v>
      </c>
      <c r="AY126" s="55">
        <f>+AY8+AY13+AY17+AY47+AY68+AY92+AY97+AY87+AY57</f>
        <v>686044621243.14819</v>
      </c>
      <c r="AZ126" s="56">
        <f>+AZ8+AZ13+AZ17+AZ47+AZ68+AZ92+AZ97+AZ87+AZ57</f>
        <v>0.99991064809050423</v>
      </c>
      <c r="BA126" s="56" t="s">
        <v>26</v>
      </c>
      <c r="BB126" s="56" t="s">
        <v>26</v>
      </c>
    </row>
    <row r="127" spans="1:54" s="7" customFormat="1">
      <c r="A127" s="5" t="s">
        <v>101</v>
      </c>
      <c r="B127" s="24" t="s">
        <v>25</v>
      </c>
      <c r="C127" s="10">
        <v>9142995.2599999998</v>
      </c>
      <c r="D127" s="11">
        <v>1.6000000000000001E-3</v>
      </c>
      <c r="E127" s="22" t="s">
        <v>26</v>
      </c>
      <c r="F127" s="22" t="s">
        <v>26</v>
      </c>
      <c r="G127" s="10">
        <v>1022179.99</v>
      </c>
      <c r="H127" s="11">
        <v>0</v>
      </c>
      <c r="I127" s="11" t="s">
        <v>26</v>
      </c>
      <c r="J127" s="11" t="s">
        <v>26</v>
      </c>
      <c r="K127" s="10">
        <v>2858342.67</v>
      </c>
      <c r="L127" s="11">
        <v>1.1000000000000001E-3</v>
      </c>
      <c r="M127" s="11" t="s">
        <v>26</v>
      </c>
      <c r="N127" s="11" t="s">
        <v>26</v>
      </c>
      <c r="O127" s="10">
        <v>6318875.2300000004</v>
      </c>
      <c r="P127" s="11">
        <f>+O127/O128</f>
        <v>2.987659925019798E-5</v>
      </c>
      <c r="Q127" s="22" t="s">
        <v>26</v>
      </c>
      <c r="R127" s="22" t="s">
        <v>26</v>
      </c>
      <c r="S127" s="10">
        <v>482398.47</v>
      </c>
      <c r="T127" s="11">
        <v>0</v>
      </c>
      <c r="U127" s="11" t="s">
        <v>26</v>
      </c>
      <c r="V127" s="11" t="s">
        <v>26</v>
      </c>
      <c r="W127" s="10">
        <v>6893128.8799999999</v>
      </c>
      <c r="X127" s="11">
        <v>1.1999999999999999E-3</v>
      </c>
      <c r="Y127" s="11" t="s">
        <v>26</v>
      </c>
      <c r="Z127" s="11" t="s">
        <v>26</v>
      </c>
      <c r="AA127" s="10">
        <v>33532054.760000002</v>
      </c>
      <c r="AB127" s="11">
        <v>2.9999999999999997E-4</v>
      </c>
      <c r="AC127" s="11" t="s">
        <v>26</v>
      </c>
      <c r="AD127" s="11" t="s">
        <v>26</v>
      </c>
      <c r="AE127" s="10">
        <v>60249975.259999998</v>
      </c>
      <c r="AF127" s="11">
        <v>1E-4</v>
      </c>
      <c r="AG127" s="22" t="s">
        <v>26</v>
      </c>
      <c r="AH127" s="22" t="s">
        <v>26</v>
      </c>
      <c r="AI127" s="10">
        <v>202923.68</v>
      </c>
      <c r="AJ127" s="11">
        <v>0</v>
      </c>
      <c r="AK127" s="11" t="s">
        <v>26</v>
      </c>
      <c r="AL127" s="11" t="s">
        <v>26</v>
      </c>
      <c r="AM127" s="10">
        <v>632353.93999999994</v>
      </c>
      <c r="AN127" s="11">
        <v>0</v>
      </c>
      <c r="AO127" s="11" t="s">
        <v>26</v>
      </c>
      <c r="AP127" s="11" t="s">
        <v>26</v>
      </c>
      <c r="AQ127" s="10">
        <v>835277.62</v>
      </c>
      <c r="AR127" s="11">
        <v>0</v>
      </c>
      <c r="AS127" s="11" t="s">
        <v>26</v>
      </c>
      <c r="AT127" s="11" t="s">
        <v>26</v>
      </c>
      <c r="AU127" s="10">
        <v>219621.72</v>
      </c>
      <c r="AV127" s="11">
        <v>0</v>
      </c>
      <c r="AW127" s="11" t="s">
        <v>26</v>
      </c>
      <c r="AX127" s="11" t="s">
        <v>26</v>
      </c>
      <c r="AY127" s="10">
        <v>61304874.600000001</v>
      </c>
      <c r="AZ127" s="11">
        <v>1E-4</v>
      </c>
      <c r="BA127" s="11" t="s">
        <v>26</v>
      </c>
      <c r="BB127" s="11" t="s">
        <v>26</v>
      </c>
    </row>
    <row r="128" spans="1:54">
      <c r="A128" s="13" t="s">
        <v>102</v>
      </c>
      <c r="B128" s="25" t="s">
        <v>25</v>
      </c>
      <c r="C128" s="55">
        <v>5542159411.7299995</v>
      </c>
      <c r="D128" s="56">
        <v>1</v>
      </c>
      <c r="E128" s="56" t="s">
        <v>26</v>
      </c>
      <c r="F128" s="56" t="s">
        <v>26</v>
      </c>
      <c r="G128" s="55">
        <v>141927120391.64001</v>
      </c>
      <c r="H128" s="56">
        <f>+H126+H127</f>
        <v>0.99999279785318118</v>
      </c>
      <c r="I128" s="56" t="s">
        <v>26</v>
      </c>
      <c r="J128" s="56" t="s">
        <v>26</v>
      </c>
      <c r="K128" s="55">
        <v>2679092574.4699998</v>
      </c>
      <c r="L128" s="56">
        <v>1</v>
      </c>
      <c r="M128" s="56" t="s">
        <v>26</v>
      </c>
      <c r="N128" s="56" t="s">
        <v>26</v>
      </c>
      <c r="O128" s="55">
        <v>211499146107.07001</v>
      </c>
      <c r="P128" s="56">
        <v>1</v>
      </c>
      <c r="Q128" s="56" t="s">
        <v>26</v>
      </c>
      <c r="R128" s="56" t="s">
        <v>26</v>
      </c>
      <c r="S128" s="55">
        <f>+S126+S127</f>
        <v>105943805719.09734</v>
      </c>
      <c r="T128" s="56">
        <f>+T126+T127</f>
        <v>0.99999544665689288</v>
      </c>
      <c r="U128" s="56" t="s">
        <v>26</v>
      </c>
      <c r="V128" s="56" t="s">
        <v>26</v>
      </c>
      <c r="W128" s="55">
        <v>5925153682.6700001</v>
      </c>
      <c r="X128" s="56">
        <v>1</v>
      </c>
      <c r="Y128" s="56" t="s">
        <v>26</v>
      </c>
      <c r="Z128" s="56" t="s">
        <v>26</v>
      </c>
      <c r="AA128" s="55">
        <v>130578240647.28999</v>
      </c>
      <c r="AB128" s="56">
        <v>1</v>
      </c>
      <c r="AC128" s="56" t="s">
        <v>26</v>
      </c>
      <c r="AD128" s="56" t="s">
        <v>26</v>
      </c>
      <c r="AE128" s="55">
        <f>+AE126+AE127</f>
        <v>604094718533.99829</v>
      </c>
      <c r="AF128" s="56">
        <f>+AF126+AF127</f>
        <v>1.0000002640257823</v>
      </c>
      <c r="AG128" s="56" t="s">
        <v>26</v>
      </c>
      <c r="AH128" s="56" t="s">
        <v>26</v>
      </c>
      <c r="AI128" s="55">
        <v>16255155027.76</v>
      </c>
      <c r="AJ128" s="56">
        <v>1</v>
      </c>
      <c r="AK128" s="56" t="s">
        <v>26</v>
      </c>
      <c r="AL128" s="56" t="s">
        <v>26</v>
      </c>
      <c r="AM128" s="55">
        <v>23308775406.810001</v>
      </c>
      <c r="AN128" s="56">
        <v>1</v>
      </c>
      <c r="AO128" s="56" t="s">
        <v>26</v>
      </c>
      <c r="AP128" s="56" t="s">
        <v>26</v>
      </c>
      <c r="AQ128" s="55">
        <v>39563930434.57</v>
      </c>
      <c r="AR128" s="56">
        <v>1</v>
      </c>
      <c r="AS128" s="56" t="s">
        <v>26</v>
      </c>
      <c r="AT128" s="56" t="s">
        <v>26</v>
      </c>
      <c r="AU128" s="55">
        <v>42447277149.18</v>
      </c>
      <c r="AV128" s="56">
        <v>1</v>
      </c>
      <c r="AW128" s="56" t="s">
        <v>26</v>
      </c>
      <c r="AX128" s="56" t="s">
        <v>26</v>
      </c>
      <c r="AY128" s="55">
        <f>+AY126+AY127</f>
        <v>686105926117.74817</v>
      </c>
      <c r="AZ128" s="56">
        <f>+AZ126+AZ127</f>
        <v>1.0000106480905042</v>
      </c>
      <c r="BA128" s="56" t="s">
        <v>26</v>
      </c>
      <c r="BB128" s="56" t="s">
        <v>26</v>
      </c>
    </row>
    <row r="130" spans="1:51">
      <c r="A130" s="18" t="s">
        <v>103</v>
      </c>
      <c r="G130" s="46"/>
      <c r="S130" s="46"/>
      <c r="AY130" s="46"/>
    </row>
    <row r="131" spans="1:51">
      <c r="A131" s="39" t="s">
        <v>115</v>
      </c>
      <c r="AY131" s="41"/>
    </row>
    <row r="132" spans="1:51">
      <c r="AY132" s="42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133"/>
  <sheetViews>
    <sheetView zoomScaleNormal="100" workbookViewId="0">
      <pane xSplit="2" ySplit="7" topLeftCell="AS86" activePane="bottomRight" state="frozen"/>
      <selection pane="bottomRight" activeCell="BA97" sqref="BA97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" style="9" bestFit="1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0.85546875" style="9" bestFit="1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85546875" style="9" bestFit="1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2363532557.8299999</v>
      </c>
      <c r="D8" s="56">
        <v>0.42128557619700002</v>
      </c>
      <c r="E8" s="56" t="s">
        <v>26</v>
      </c>
      <c r="F8" s="56" t="s">
        <v>26</v>
      </c>
      <c r="G8" s="55">
        <f>+G9+G11</f>
        <v>75950992037.226608</v>
      </c>
      <c r="H8" s="56">
        <f>+G8/G130</f>
        <v>0.52942453878782347</v>
      </c>
      <c r="I8" s="56" t="s">
        <v>26</v>
      </c>
      <c r="J8" s="56" t="s">
        <v>26</v>
      </c>
      <c r="K8" s="55">
        <v>946705134.71000004</v>
      </c>
      <c r="L8" s="56">
        <v>0.3482401913846</v>
      </c>
      <c r="M8" s="56" t="s">
        <v>26</v>
      </c>
      <c r="N8" s="56" t="s">
        <v>26</v>
      </c>
      <c r="O8" s="55">
        <f>+O9+O11</f>
        <v>85822991341.62001</v>
      </c>
      <c r="P8" s="56">
        <f>+O8/O130</f>
        <v>0.40180454715110403</v>
      </c>
      <c r="Q8" s="56" t="s">
        <v>26</v>
      </c>
      <c r="R8" s="56" t="s">
        <v>26</v>
      </c>
      <c r="S8" s="55">
        <f>+S9+S11</f>
        <v>50000975155.086891</v>
      </c>
      <c r="T8" s="56">
        <f>+S8/S130</f>
        <v>0.46711287173671134</v>
      </c>
      <c r="U8" s="56" t="s">
        <v>26</v>
      </c>
      <c r="V8" s="56" t="s">
        <v>26</v>
      </c>
      <c r="W8" s="55">
        <v>1591824845.8099999</v>
      </c>
      <c r="X8" s="56">
        <v>0.26608422827581002</v>
      </c>
      <c r="Y8" s="56" t="s">
        <v>26</v>
      </c>
      <c r="Z8" s="56" t="s">
        <v>26</v>
      </c>
      <c r="AA8" s="55">
        <f>+AA9+AA11</f>
        <v>67079849844.620003</v>
      </c>
      <c r="AB8" s="56">
        <f>+AA8/AA130</f>
        <v>0.50851785847831898</v>
      </c>
      <c r="AC8" s="56" t="s">
        <v>26</v>
      </c>
      <c r="AD8" s="56" t="s">
        <v>26</v>
      </c>
      <c r="AE8" s="55">
        <f>+AE9+AE11</f>
        <v>283756870916.9035</v>
      </c>
      <c r="AF8" s="56">
        <f>+AE8/AE130</f>
        <v>0.46493151984000164</v>
      </c>
      <c r="AG8" s="56" t="s">
        <v>26</v>
      </c>
      <c r="AH8" s="56" t="s">
        <v>26</v>
      </c>
      <c r="AI8" s="55">
        <v>6203340838.7600002</v>
      </c>
      <c r="AJ8" s="56">
        <v>0.37355720520975999</v>
      </c>
      <c r="AK8" s="56" t="s">
        <v>26</v>
      </c>
      <c r="AL8" s="56" t="s">
        <v>26</v>
      </c>
      <c r="AM8" s="55">
        <v>4926705376.79</v>
      </c>
      <c r="AN8" s="56">
        <v>0.21048792260926999</v>
      </c>
      <c r="AO8" s="56" t="s">
        <v>26</v>
      </c>
      <c r="AP8" s="56" t="s">
        <v>26</v>
      </c>
      <c r="AQ8" s="55">
        <v>11130046215.549999</v>
      </c>
      <c r="AR8" s="56">
        <v>0.27816594892393998</v>
      </c>
      <c r="AS8" s="56" t="s">
        <v>26</v>
      </c>
      <c r="AT8" s="56" t="s">
        <v>26</v>
      </c>
      <c r="AU8" s="55">
        <v>19535324784.110001</v>
      </c>
      <c r="AV8" s="56">
        <v>0.45510507860996002</v>
      </c>
      <c r="AW8" s="56" t="s">
        <v>26</v>
      </c>
      <c r="AX8" s="56" t="s">
        <v>26</v>
      </c>
      <c r="AY8" s="55">
        <f>+AY9+AY11</f>
        <v>314422241916.56348</v>
      </c>
      <c r="AZ8" s="56">
        <f>+AY8/AY130</f>
        <v>0.45354366250515654</v>
      </c>
      <c r="BA8" s="56" t="s">
        <v>26</v>
      </c>
      <c r="BB8" s="56" t="s">
        <v>26</v>
      </c>
    </row>
    <row r="9" spans="1:54" s="8" customFormat="1">
      <c r="A9" s="26" t="s">
        <v>27</v>
      </c>
      <c r="B9" s="27" t="s">
        <v>25</v>
      </c>
      <c r="C9" s="28">
        <v>2363532557.8299999</v>
      </c>
      <c r="D9" s="29">
        <v>0.42128557619700002</v>
      </c>
      <c r="E9" s="29">
        <v>0.5</v>
      </c>
      <c r="F9" s="29">
        <v>7.8700000000000006E-2</v>
      </c>
      <c r="G9" s="28">
        <f>+G10</f>
        <v>69947282029.826614</v>
      </c>
      <c r="H9" s="29">
        <f>+G9/G130</f>
        <v>0.48757503404237301</v>
      </c>
      <c r="I9" s="29">
        <v>0.5</v>
      </c>
      <c r="J9" s="29">
        <f>+I9-H9</f>
        <v>1.2424965957626988E-2</v>
      </c>
      <c r="K9" s="28">
        <v>946705134.71000004</v>
      </c>
      <c r="L9" s="29">
        <v>0.3482401913846</v>
      </c>
      <c r="M9" s="29">
        <v>0.5</v>
      </c>
      <c r="N9" s="29">
        <v>0.15179999999999999</v>
      </c>
      <c r="O9" s="28">
        <f>+O10</f>
        <v>84505103779.020004</v>
      </c>
      <c r="P9" s="29">
        <f>+O9/O128</f>
        <v>0.39563483205350125</v>
      </c>
      <c r="Q9" s="29">
        <v>0.5</v>
      </c>
      <c r="R9" s="29">
        <f>+Q9-P9</f>
        <v>0.10436516794649875</v>
      </c>
      <c r="S9" s="28">
        <f>+S10</f>
        <v>48432061390.086891</v>
      </c>
      <c r="T9" s="29">
        <f>+S9/S130</f>
        <v>0.45245596130639854</v>
      </c>
      <c r="U9" s="29">
        <v>0.5</v>
      </c>
      <c r="V9" s="29">
        <f>+U9-T9</f>
        <v>4.7544038693601465E-2</v>
      </c>
      <c r="W9" s="28">
        <v>1591824845.8099999</v>
      </c>
      <c r="X9" s="29">
        <v>0.26608422827581002</v>
      </c>
      <c r="Y9" s="29">
        <v>0.5</v>
      </c>
      <c r="Z9" s="29">
        <v>0.2339</v>
      </c>
      <c r="AA9" s="28">
        <f>+AA10</f>
        <v>65510936079.620003</v>
      </c>
      <c r="AB9" s="29">
        <f>+AA9/AA130</f>
        <v>0.49662426196963594</v>
      </c>
      <c r="AC9" s="29">
        <v>0.5</v>
      </c>
      <c r="AD9" s="29">
        <f>+AC9-AB9</f>
        <v>3.3757380303640616E-3</v>
      </c>
      <c r="AE9" s="28">
        <f>+AE10</f>
        <v>273297445816.9035</v>
      </c>
      <c r="AF9" s="29">
        <f>+AE9/AE130</f>
        <v>0.44779390342675984</v>
      </c>
      <c r="AG9" s="29">
        <v>0.5</v>
      </c>
      <c r="AH9" s="29">
        <f>+AG9-AF9</f>
        <v>5.2206096573240157E-2</v>
      </c>
      <c r="AI9" s="28">
        <v>6203340838.7600002</v>
      </c>
      <c r="AJ9" s="29">
        <v>0.37355720520975999</v>
      </c>
      <c r="AK9" s="29">
        <v>0.5</v>
      </c>
      <c r="AL9" s="29">
        <v>0.12640000000000001</v>
      </c>
      <c r="AM9" s="28">
        <v>4926705376.79</v>
      </c>
      <c r="AN9" s="29">
        <v>0.21048792260926999</v>
      </c>
      <c r="AO9" s="29">
        <v>0.5</v>
      </c>
      <c r="AP9" s="29">
        <v>0.28949999999999998</v>
      </c>
      <c r="AQ9" s="28">
        <v>11130046215.549999</v>
      </c>
      <c r="AR9" s="29">
        <v>0.27816594892393998</v>
      </c>
      <c r="AS9" s="29">
        <v>0.5</v>
      </c>
      <c r="AT9" s="29">
        <v>0.2218</v>
      </c>
      <c r="AU9" s="28">
        <v>19535324784.110001</v>
      </c>
      <c r="AV9" s="29">
        <v>0.45510507860996002</v>
      </c>
      <c r="AW9" s="29">
        <v>0.5</v>
      </c>
      <c r="AX9" s="29">
        <v>4.4900000000000002E-2</v>
      </c>
      <c r="AY9" s="28">
        <f>+AY10</f>
        <v>303962816816.56348</v>
      </c>
      <c r="AZ9" s="29">
        <f>+AY9/AY130</f>
        <v>0.43845628847386525</v>
      </c>
      <c r="BA9" s="29">
        <v>0.5</v>
      </c>
      <c r="BB9" s="29">
        <f>+BA9-AZ9</f>
        <v>6.1543711526134748E-2</v>
      </c>
    </row>
    <row r="10" spans="1:54">
      <c r="A10" s="3" t="s">
        <v>28</v>
      </c>
      <c r="B10" s="31" t="s">
        <v>29</v>
      </c>
      <c r="C10" s="2">
        <v>2363532557.8299999</v>
      </c>
      <c r="D10" s="1">
        <v>1</v>
      </c>
      <c r="E10" s="22" t="s">
        <v>26</v>
      </c>
      <c r="F10" s="22" t="s">
        <v>26</v>
      </c>
      <c r="G10" s="2">
        <v>69947282029.826614</v>
      </c>
      <c r="H10" s="40">
        <f>+G10/G9</f>
        <v>1</v>
      </c>
      <c r="I10" s="22" t="s">
        <v>26</v>
      </c>
      <c r="J10" s="22" t="s">
        <v>26</v>
      </c>
      <c r="K10" s="2">
        <v>946705134.71000004</v>
      </c>
      <c r="L10" s="1">
        <v>1</v>
      </c>
      <c r="M10" s="22" t="s">
        <v>26</v>
      </c>
      <c r="N10" s="22" t="s">
        <v>26</v>
      </c>
      <c r="O10" s="2">
        <v>84505103779.020004</v>
      </c>
      <c r="P10" s="1">
        <f>+O10/O9</f>
        <v>1</v>
      </c>
      <c r="Q10" s="1" t="s">
        <v>26</v>
      </c>
      <c r="R10" s="1" t="s">
        <v>26</v>
      </c>
      <c r="S10" s="2">
        <v>48432061390.086891</v>
      </c>
      <c r="T10" s="1">
        <f>+S10/S9</f>
        <v>1</v>
      </c>
      <c r="U10" s="1" t="s">
        <v>26</v>
      </c>
      <c r="V10" s="1" t="s">
        <v>26</v>
      </c>
      <c r="W10" s="2">
        <v>1591824845.8099999</v>
      </c>
      <c r="X10" s="1">
        <v>1</v>
      </c>
      <c r="Y10" s="22" t="s">
        <v>26</v>
      </c>
      <c r="Z10" s="1" t="s">
        <v>26</v>
      </c>
      <c r="AA10" s="2">
        <v>65510936079.620003</v>
      </c>
      <c r="AB10" s="1">
        <f>+AA10/AA9</f>
        <v>1</v>
      </c>
      <c r="AC10" s="1" t="s">
        <v>26</v>
      </c>
      <c r="AD10" s="1" t="s">
        <v>26</v>
      </c>
      <c r="AE10" s="2">
        <f>+C10+G10+K10+O10+S10+W10+AA10</f>
        <v>273297445816.9035</v>
      </c>
      <c r="AF10" s="1">
        <f>+AE10/AE9</f>
        <v>1</v>
      </c>
      <c r="AG10" s="22" t="s">
        <v>26</v>
      </c>
      <c r="AH10" s="22" t="s">
        <v>26</v>
      </c>
      <c r="AI10" s="2">
        <v>6203340838.7600002</v>
      </c>
      <c r="AJ10" s="1">
        <v>1</v>
      </c>
      <c r="AK10" s="1" t="s">
        <v>26</v>
      </c>
      <c r="AL10" s="1" t="s">
        <v>26</v>
      </c>
      <c r="AM10" s="2">
        <v>4926705376.79</v>
      </c>
      <c r="AN10" s="1">
        <v>1</v>
      </c>
      <c r="AO10" s="1" t="s">
        <v>26</v>
      </c>
      <c r="AP10" s="1" t="s">
        <v>26</v>
      </c>
      <c r="AQ10" s="2">
        <v>11130046215.549999</v>
      </c>
      <c r="AR10" s="1">
        <v>1</v>
      </c>
      <c r="AS10" s="1" t="s">
        <v>26</v>
      </c>
      <c r="AT10" s="1" t="s">
        <v>26</v>
      </c>
      <c r="AU10" s="2">
        <v>19535324784.110001</v>
      </c>
      <c r="AV10" s="1">
        <v>1</v>
      </c>
      <c r="AW10" s="1" t="s">
        <v>26</v>
      </c>
      <c r="AX10" s="1" t="s">
        <v>26</v>
      </c>
      <c r="AY10" s="2">
        <f>+AE10+AQ10+AU10</f>
        <v>303962816816.56348</v>
      </c>
      <c r="AZ10" s="1">
        <v>1</v>
      </c>
      <c r="BA10" s="1" t="s">
        <v>26</v>
      </c>
      <c r="BB10" s="1" t="s">
        <v>26</v>
      </c>
    </row>
    <row r="11" spans="1:54" s="45" customFormat="1">
      <c r="A11" s="26" t="s">
        <v>27</v>
      </c>
      <c r="B11" s="43"/>
      <c r="C11" s="22" t="s">
        <v>26</v>
      </c>
      <c r="D11" s="22" t="s">
        <v>26</v>
      </c>
      <c r="E11" s="22" t="s">
        <v>26</v>
      </c>
      <c r="F11" s="22" t="s">
        <v>26</v>
      </c>
      <c r="G11" s="28">
        <f>+G12</f>
        <v>6003710007.3999996</v>
      </c>
      <c r="H11" s="44">
        <f>+G11/G130</f>
        <v>4.1849504745450454E-2</v>
      </c>
      <c r="I11" s="29">
        <v>0.1</v>
      </c>
      <c r="J11" s="29">
        <f>+I11-H11</f>
        <v>5.8150495254549552E-2</v>
      </c>
      <c r="K11" s="22" t="s">
        <v>26</v>
      </c>
      <c r="L11" s="22" t="s">
        <v>26</v>
      </c>
      <c r="M11" s="22" t="s">
        <v>26</v>
      </c>
      <c r="N11" s="22" t="s">
        <v>26</v>
      </c>
      <c r="O11" s="28">
        <f>+O12</f>
        <v>1317887562.5999999</v>
      </c>
      <c r="P11" s="44">
        <f>+O11/O130</f>
        <v>6.1700624390817185E-3</v>
      </c>
      <c r="Q11" s="29">
        <v>0.1</v>
      </c>
      <c r="R11" s="29">
        <f>+Q11-P11</f>
        <v>9.3829937560918286E-2</v>
      </c>
      <c r="S11" s="28">
        <f>+S12</f>
        <v>1568913765</v>
      </c>
      <c r="T11" s="44">
        <f>+S11/S130</f>
        <v>1.4656910430312833E-2</v>
      </c>
      <c r="U11" s="29">
        <v>0.1</v>
      </c>
      <c r="V11" s="29">
        <f>+U11-T11</f>
        <v>8.5343089569687169E-2</v>
      </c>
      <c r="W11" s="22" t="s">
        <v>26</v>
      </c>
      <c r="X11" s="22" t="s">
        <v>26</v>
      </c>
      <c r="Y11" s="22" t="s">
        <v>26</v>
      </c>
      <c r="Z11" s="22" t="s">
        <v>26</v>
      </c>
      <c r="AA11" s="28">
        <f>+AA12</f>
        <v>1568913765</v>
      </c>
      <c r="AB11" s="44">
        <f>+AA11/AA130</f>
        <v>1.1893596508683064E-2</v>
      </c>
      <c r="AC11" s="29">
        <v>0.1</v>
      </c>
      <c r="AD11" s="29">
        <f>+AC11-AB11</f>
        <v>8.8106403491316945E-2</v>
      </c>
      <c r="AE11" s="28">
        <f>+AE12</f>
        <v>10459425100</v>
      </c>
      <c r="AF11" s="44">
        <f>+AE11/AE130</f>
        <v>1.7137616413241803E-2</v>
      </c>
      <c r="AG11" s="29">
        <v>0.1</v>
      </c>
      <c r="AH11" s="29">
        <f>+AG11-AF11</f>
        <v>8.2862383586758209E-2</v>
      </c>
      <c r="AI11" s="1" t="s">
        <v>26</v>
      </c>
      <c r="AJ11" s="1" t="s">
        <v>26</v>
      </c>
      <c r="AK11" s="1" t="s">
        <v>26</v>
      </c>
      <c r="AL11" s="1" t="s">
        <v>26</v>
      </c>
      <c r="AM11" s="1" t="s">
        <v>26</v>
      </c>
      <c r="AN11" s="1" t="s">
        <v>26</v>
      </c>
      <c r="AO11" s="1" t="s">
        <v>26</v>
      </c>
      <c r="AP11" s="1" t="s">
        <v>26</v>
      </c>
      <c r="AQ11" s="1" t="s">
        <v>26</v>
      </c>
      <c r="AR11" s="1" t="s">
        <v>26</v>
      </c>
      <c r="AS11" s="1" t="s">
        <v>26</v>
      </c>
      <c r="AT11" s="1" t="s">
        <v>26</v>
      </c>
      <c r="AU11" s="1" t="s">
        <v>26</v>
      </c>
      <c r="AV11" s="1" t="s">
        <v>26</v>
      </c>
      <c r="AW11" s="1" t="s">
        <v>26</v>
      </c>
      <c r="AX11" s="1" t="s">
        <v>26</v>
      </c>
      <c r="AY11" s="28">
        <f>+AY12</f>
        <v>10459425100</v>
      </c>
      <c r="AZ11" s="44">
        <f>+AY11/AY130</f>
        <v>1.508737403129134E-2</v>
      </c>
      <c r="BA11" s="29">
        <v>0.1</v>
      </c>
      <c r="BB11" s="29">
        <f>+BA11-AZ11</f>
        <v>8.491262596870866E-2</v>
      </c>
    </row>
    <row r="12" spans="1:54" s="8" customFormat="1" ht="17.25" customHeight="1">
      <c r="A12" s="30" t="s">
        <v>113</v>
      </c>
      <c r="B12" s="43" t="s">
        <v>29</v>
      </c>
      <c r="C12" s="22" t="s">
        <v>26</v>
      </c>
      <c r="D12" s="22" t="s">
        <v>26</v>
      </c>
      <c r="E12" s="22" t="s">
        <v>26</v>
      </c>
      <c r="F12" s="22" t="s">
        <v>26</v>
      </c>
      <c r="G12" s="22">
        <v>6003710007.3999996</v>
      </c>
      <c r="H12" s="23">
        <f>+G12/G11</f>
        <v>1</v>
      </c>
      <c r="I12" s="22" t="s">
        <v>26</v>
      </c>
      <c r="J12" s="22" t="s">
        <v>26</v>
      </c>
      <c r="K12" s="22" t="s">
        <v>26</v>
      </c>
      <c r="L12" s="22" t="s">
        <v>26</v>
      </c>
      <c r="M12" s="22" t="s">
        <v>26</v>
      </c>
      <c r="N12" s="22" t="s">
        <v>26</v>
      </c>
      <c r="O12" s="22">
        <v>1317887562.5999999</v>
      </c>
      <c r="P12" s="23">
        <f>+O12/O11</f>
        <v>1</v>
      </c>
      <c r="Q12" s="23" t="s">
        <v>26</v>
      </c>
      <c r="R12" s="23" t="s">
        <v>26</v>
      </c>
      <c r="S12" s="22">
        <v>1568913765</v>
      </c>
      <c r="T12" s="23">
        <f>+S12/S11</f>
        <v>1</v>
      </c>
      <c r="U12" s="23" t="s">
        <v>26</v>
      </c>
      <c r="V12" s="23" t="s">
        <v>26</v>
      </c>
      <c r="W12" s="22" t="s">
        <v>26</v>
      </c>
      <c r="X12" s="22" t="s">
        <v>26</v>
      </c>
      <c r="Y12" s="22" t="s">
        <v>26</v>
      </c>
      <c r="Z12" s="22" t="s">
        <v>26</v>
      </c>
      <c r="AA12" s="22">
        <v>1568913765</v>
      </c>
      <c r="AB12" s="23">
        <f>+AA12/AA11</f>
        <v>1</v>
      </c>
      <c r="AC12" s="23" t="s">
        <v>26</v>
      </c>
      <c r="AD12" s="23" t="s">
        <v>26</v>
      </c>
      <c r="AE12" s="22">
        <f>G12+O12+S12+AA12</f>
        <v>10459425100</v>
      </c>
      <c r="AF12" s="23">
        <f>+AE12/AE11</f>
        <v>1</v>
      </c>
      <c r="AG12" s="23" t="s">
        <v>26</v>
      </c>
      <c r="AH12" s="23" t="s">
        <v>26</v>
      </c>
      <c r="AI12" s="23" t="s">
        <v>26</v>
      </c>
      <c r="AJ12" s="23" t="s">
        <v>26</v>
      </c>
      <c r="AK12" s="23" t="s">
        <v>26</v>
      </c>
      <c r="AL12" s="23" t="s">
        <v>26</v>
      </c>
      <c r="AM12" s="23" t="s">
        <v>26</v>
      </c>
      <c r="AN12" s="23" t="s">
        <v>26</v>
      </c>
      <c r="AO12" s="23" t="s">
        <v>26</v>
      </c>
      <c r="AP12" s="23" t="s">
        <v>26</v>
      </c>
      <c r="AQ12" s="23" t="s">
        <v>26</v>
      </c>
      <c r="AR12" s="23" t="s">
        <v>26</v>
      </c>
      <c r="AS12" s="23" t="s">
        <v>26</v>
      </c>
      <c r="AT12" s="23" t="s">
        <v>26</v>
      </c>
      <c r="AU12" s="23" t="s">
        <v>26</v>
      </c>
      <c r="AV12" s="23" t="s">
        <v>26</v>
      </c>
      <c r="AW12" s="23" t="s">
        <v>26</v>
      </c>
      <c r="AX12" s="23" t="s">
        <v>26</v>
      </c>
      <c r="AY12" s="22">
        <f>+AE12</f>
        <v>10459425100</v>
      </c>
      <c r="AZ12" s="23">
        <v>1</v>
      </c>
      <c r="BA12" s="23" t="s">
        <v>26</v>
      </c>
      <c r="BB12" s="23" t="s">
        <v>26</v>
      </c>
    </row>
    <row r="13" spans="1:54">
      <c r="A13" s="13" t="s">
        <v>30</v>
      </c>
      <c r="B13" s="25" t="s">
        <v>25</v>
      </c>
      <c r="C13" s="55">
        <v>2253407294.5300002</v>
      </c>
      <c r="D13" s="56">
        <v>0.40165640508637002</v>
      </c>
      <c r="E13" s="56" t="s">
        <v>26</v>
      </c>
      <c r="F13" s="56" t="s">
        <v>26</v>
      </c>
      <c r="G13" s="55">
        <v>44294391141.080002</v>
      </c>
      <c r="H13" s="56">
        <v>0.30875880580018999</v>
      </c>
      <c r="I13" s="56" t="s">
        <v>26</v>
      </c>
      <c r="J13" s="56" t="s">
        <v>26</v>
      </c>
      <c r="K13" s="55">
        <v>849648502.5</v>
      </c>
      <c r="L13" s="56">
        <v>0.31253845180724998</v>
      </c>
      <c r="M13" s="56" t="s">
        <v>26</v>
      </c>
      <c r="N13" s="56" t="s">
        <v>26</v>
      </c>
      <c r="O13" s="55">
        <v>75206568758.789993</v>
      </c>
      <c r="P13" s="56">
        <v>0.35210076962511</v>
      </c>
      <c r="Q13" s="56" t="s">
        <v>26</v>
      </c>
      <c r="R13" s="56" t="s">
        <v>26</v>
      </c>
      <c r="S13" s="55">
        <v>28153025133.41</v>
      </c>
      <c r="T13" s="56">
        <v>0.26300767889734</v>
      </c>
      <c r="U13" s="56" t="s">
        <v>26</v>
      </c>
      <c r="V13" s="56" t="s">
        <v>26</v>
      </c>
      <c r="W13" s="55">
        <v>2908915642.3699999</v>
      </c>
      <c r="X13" s="56">
        <v>0.48624481258525998</v>
      </c>
      <c r="Y13" s="56" t="s">
        <v>26</v>
      </c>
      <c r="Z13" s="56" t="s">
        <v>26</v>
      </c>
      <c r="AA13" s="55">
        <v>37465365216.309998</v>
      </c>
      <c r="AB13" s="56">
        <v>0.28401684456713</v>
      </c>
      <c r="AC13" s="56" t="s">
        <v>26</v>
      </c>
      <c r="AD13" s="56" t="s">
        <v>26</v>
      </c>
      <c r="AE13" s="55">
        <v>191131321688.98999</v>
      </c>
      <c r="AF13" s="56">
        <v>0.31316590007053002</v>
      </c>
      <c r="AG13" s="56" t="s">
        <v>26</v>
      </c>
      <c r="AH13" s="56" t="s">
        <v>26</v>
      </c>
      <c r="AI13" s="55">
        <v>6496349549.0900002</v>
      </c>
      <c r="AJ13" s="56">
        <v>0.39120181281364003</v>
      </c>
      <c r="AK13" s="56" t="s">
        <v>26</v>
      </c>
      <c r="AL13" s="56" t="s">
        <v>26</v>
      </c>
      <c r="AM13" s="55">
        <v>11525720126.290001</v>
      </c>
      <c r="AN13" s="56">
        <v>0.49242337432796002</v>
      </c>
      <c r="AO13" s="56" t="s">
        <v>26</v>
      </c>
      <c r="AP13" s="56" t="s">
        <v>26</v>
      </c>
      <c r="AQ13" s="55">
        <v>18022069675.380001</v>
      </c>
      <c r="AR13" s="56">
        <v>0.45041377328887</v>
      </c>
      <c r="AS13" s="56" t="s">
        <v>26</v>
      </c>
      <c r="AT13" s="56" t="s">
        <v>26</v>
      </c>
      <c r="AU13" s="55">
        <v>14085628991.549999</v>
      </c>
      <c r="AV13" s="56">
        <v>0.32814613323882003</v>
      </c>
      <c r="AW13" s="56" t="s">
        <v>26</v>
      </c>
      <c r="AX13" s="56" t="s">
        <v>26</v>
      </c>
      <c r="AY13" s="55">
        <v>223239020355.92001</v>
      </c>
      <c r="AZ13" s="56">
        <v>0.32201488765274999</v>
      </c>
      <c r="BA13" s="56" t="s">
        <v>26</v>
      </c>
      <c r="BB13" s="56" t="s">
        <v>26</v>
      </c>
    </row>
    <row r="14" spans="1:54" s="7" customFormat="1">
      <c r="A14" s="5" t="s">
        <v>31</v>
      </c>
      <c r="B14" s="24" t="s">
        <v>25</v>
      </c>
      <c r="C14" s="10">
        <v>2253407294.5300002</v>
      </c>
      <c r="D14" s="11">
        <v>0.40165640508637002</v>
      </c>
      <c r="E14" s="11">
        <v>0.5</v>
      </c>
      <c r="F14" s="11">
        <v>9.8299999999999998E-2</v>
      </c>
      <c r="G14" s="10">
        <v>44294391141.080002</v>
      </c>
      <c r="H14" s="11">
        <v>0.30875880580018999</v>
      </c>
      <c r="I14" s="11">
        <v>0.5</v>
      </c>
      <c r="J14" s="11">
        <v>0.19120000000000001</v>
      </c>
      <c r="K14" s="10">
        <v>849648502.5</v>
      </c>
      <c r="L14" s="11">
        <v>0.31253845180724998</v>
      </c>
      <c r="M14" s="11">
        <v>0.5</v>
      </c>
      <c r="N14" s="11">
        <v>0.1875</v>
      </c>
      <c r="O14" s="10">
        <v>75206568758.789993</v>
      </c>
      <c r="P14" s="11">
        <v>0.35210076962511</v>
      </c>
      <c r="Q14" s="11">
        <v>0.5</v>
      </c>
      <c r="R14" s="11">
        <v>0.1479</v>
      </c>
      <c r="S14" s="10">
        <v>28153025133.41</v>
      </c>
      <c r="T14" s="11">
        <v>0.26300767889734</v>
      </c>
      <c r="U14" s="11">
        <v>0.5</v>
      </c>
      <c r="V14" s="11">
        <v>0.23699999999999999</v>
      </c>
      <c r="W14" s="10">
        <v>2908915642.3699999</v>
      </c>
      <c r="X14" s="11">
        <v>0.48624481258525998</v>
      </c>
      <c r="Y14" s="11">
        <v>0.5</v>
      </c>
      <c r="Z14" s="11">
        <v>1.38E-2</v>
      </c>
      <c r="AA14" s="10">
        <v>37465365216.309998</v>
      </c>
      <c r="AB14" s="11">
        <v>0.28401684456713</v>
      </c>
      <c r="AC14" s="11">
        <v>0.5</v>
      </c>
      <c r="AD14" s="11">
        <v>0.216</v>
      </c>
      <c r="AE14" s="10">
        <v>191131321688.98999</v>
      </c>
      <c r="AF14" s="11">
        <v>0.31316590007053002</v>
      </c>
      <c r="AG14" s="11">
        <v>0.5</v>
      </c>
      <c r="AH14" s="11">
        <v>0.18679999999999999</v>
      </c>
      <c r="AI14" s="10">
        <v>6496349549.0900002</v>
      </c>
      <c r="AJ14" s="11">
        <v>0.39120181281364003</v>
      </c>
      <c r="AK14" s="11">
        <v>0.5</v>
      </c>
      <c r="AL14" s="11">
        <v>0.10879999999999999</v>
      </c>
      <c r="AM14" s="10">
        <v>11525720126.290001</v>
      </c>
      <c r="AN14" s="11">
        <v>0.49242337432796002</v>
      </c>
      <c r="AO14" s="11">
        <v>0.5</v>
      </c>
      <c r="AP14" s="11">
        <v>7.6E-3</v>
      </c>
      <c r="AQ14" s="10">
        <v>18022069675.380001</v>
      </c>
      <c r="AR14" s="11">
        <v>0.45041377328887</v>
      </c>
      <c r="AS14" s="11">
        <v>0.5</v>
      </c>
      <c r="AT14" s="11">
        <v>4.9599999999999998E-2</v>
      </c>
      <c r="AU14" s="10">
        <v>14085628991.549999</v>
      </c>
      <c r="AV14" s="11">
        <v>0.32814613323882003</v>
      </c>
      <c r="AW14" s="11">
        <v>0.5</v>
      </c>
      <c r="AX14" s="11">
        <v>0.1719</v>
      </c>
      <c r="AY14" s="10">
        <v>223239020355.92001</v>
      </c>
      <c r="AZ14" s="11">
        <v>0.32201488765274999</v>
      </c>
      <c r="BA14" s="11">
        <v>0.5</v>
      </c>
      <c r="BB14" s="11">
        <v>0.17799999999999999</v>
      </c>
    </row>
    <row r="15" spans="1:54">
      <c r="A15" s="3" t="s">
        <v>32</v>
      </c>
      <c r="B15" s="31" t="s">
        <v>29</v>
      </c>
      <c r="C15" s="2">
        <v>993617461.25</v>
      </c>
      <c r="D15" s="1">
        <v>0.44094002165606999</v>
      </c>
      <c r="E15" s="1" t="s">
        <v>26</v>
      </c>
      <c r="F15" s="1" t="s">
        <v>26</v>
      </c>
      <c r="G15" s="2">
        <v>18787481909.18</v>
      </c>
      <c r="H15" s="1">
        <v>0.42415035911297999</v>
      </c>
      <c r="I15" s="1" t="s">
        <v>26</v>
      </c>
      <c r="J15" s="1" t="s">
        <v>26</v>
      </c>
      <c r="K15" s="2">
        <v>286176893.25999999</v>
      </c>
      <c r="L15" s="1">
        <v>0.33681798110389999</v>
      </c>
      <c r="M15" s="1" t="s">
        <v>26</v>
      </c>
      <c r="N15" s="1" t="s">
        <v>26</v>
      </c>
      <c r="O15" s="2">
        <v>21033644738.93</v>
      </c>
      <c r="P15" s="1">
        <v>0.27967829254903998</v>
      </c>
      <c r="Q15" s="1" t="s">
        <v>26</v>
      </c>
      <c r="R15" s="1" t="s">
        <v>26</v>
      </c>
      <c r="S15" s="2">
        <v>11984146155.27</v>
      </c>
      <c r="T15" s="1">
        <v>0.42567880710794997</v>
      </c>
      <c r="U15" s="1" t="s">
        <v>26</v>
      </c>
      <c r="V15" s="1" t="s">
        <v>26</v>
      </c>
      <c r="W15" s="2">
        <v>1204885614.47</v>
      </c>
      <c r="X15" s="1">
        <v>0.41420438493305001</v>
      </c>
      <c r="Y15" s="1" t="s">
        <v>26</v>
      </c>
      <c r="Z15" s="1" t="s">
        <v>26</v>
      </c>
      <c r="AA15" s="2">
        <v>19471640200.48</v>
      </c>
      <c r="AB15" s="1">
        <v>0.51972375253941006</v>
      </c>
      <c r="AC15" s="1" t="s">
        <v>26</v>
      </c>
      <c r="AD15" s="1" t="s">
        <v>26</v>
      </c>
      <c r="AE15" s="2">
        <v>73761592972.839996</v>
      </c>
      <c r="AF15" s="1">
        <v>0.3859210113812</v>
      </c>
      <c r="AG15" s="1" t="s">
        <v>26</v>
      </c>
      <c r="AH15" s="1" t="s">
        <v>26</v>
      </c>
      <c r="AI15" s="2">
        <v>1718692970.21</v>
      </c>
      <c r="AJ15" s="1">
        <v>0.26456288369684999</v>
      </c>
      <c r="AK15" s="1" t="s">
        <v>26</v>
      </c>
      <c r="AL15" s="1" t="s">
        <v>26</v>
      </c>
      <c r="AM15" s="2">
        <v>6797858858.0299997</v>
      </c>
      <c r="AN15" s="1">
        <v>0.58979905667883004</v>
      </c>
      <c r="AO15" s="1" t="s">
        <v>26</v>
      </c>
      <c r="AP15" s="1" t="s">
        <v>26</v>
      </c>
      <c r="AQ15" s="2">
        <v>8516551828.2399998</v>
      </c>
      <c r="AR15" s="1">
        <v>0.47256236279424002</v>
      </c>
      <c r="AS15" s="1" t="s">
        <v>26</v>
      </c>
      <c r="AT15" s="1" t="s">
        <v>26</v>
      </c>
      <c r="AU15" s="2">
        <v>7888885297.2700005</v>
      </c>
      <c r="AV15" s="1">
        <v>0.56006624212540002</v>
      </c>
      <c r="AW15" s="1" t="s">
        <v>26</v>
      </c>
      <c r="AX15" s="1" t="s">
        <v>26</v>
      </c>
      <c r="AY15" s="2">
        <v>90167030098.350006</v>
      </c>
      <c r="AZ15" s="1">
        <v>0.40390353780711002</v>
      </c>
      <c r="BA15" s="1" t="s">
        <v>26</v>
      </c>
      <c r="BB15" s="1" t="s">
        <v>26</v>
      </c>
    </row>
    <row r="16" spans="1:54" s="7" customFormat="1">
      <c r="A16" s="3" t="s">
        <v>33</v>
      </c>
      <c r="B16" s="31" t="s">
        <v>29</v>
      </c>
      <c r="C16" s="2">
        <v>1259789833.28</v>
      </c>
      <c r="D16" s="1">
        <v>0.55905997834392995</v>
      </c>
      <c r="E16" s="1" t="s">
        <v>26</v>
      </c>
      <c r="F16" s="1" t="s">
        <v>26</v>
      </c>
      <c r="G16" s="2">
        <v>25506909231.900002</v>
      </c>
      <c r="H16" s="1">
        <v>0.57584964088701995</v>
      </c>
      <c r="I16" s="1" t="s">
        <v>26</v>
      </c>
      <c r="J16" s="1" t="s">
        <v>26</v>
      </c>
      <c r="K16" s="2">
        <v>563471609.24000001</v>
      </c>
      <c r="L16" s="1">
        <v>0.66318201889609996</v>
      </c>
      <c r="M16" s="1" t="s">
        <v>26</v>
      </c>
      <c r="N16" s="1" t="s">
        <v>26</v>
      </c>
      <c r="O16" s="2">
        <v>54172924019.860001</v>
      </c>
      <c r="P16" s="1">
        <v>0.72032170745096002</v>
      </c>
      <c r="Q16" s="1" t="s">
        <v>26</v>
      </c>
      <c r="R16" s="1" t="s">
        <v>26</v>
      </c>
      <c r="S16" s="2">
        <v>16168878978.139999</v>
      </c>
      <c r="T16" s="1">
        <v>0.57432119289204997</v>
      </c>
      <c r="U16" s="1" t="s">
        <v>26</v>
      </c>
      <c r="V16" s="1" t="s">
        <v>26</v>
      </c>
      <c r="W16" s="2">
        <v>1704030027.9000001</v>
      </c>
      <c r="X16" s="1">
        <v>0.58579561506694999</v>
      </c>
      <c r="Y16" s="1" t="s">
        <v>26</v>
      </c>
      <c r="Z16" s="1" t="s">
        <v>26</v>
      </c>
      <c r="AA16" s="2">
        <v>17993725015.830002</v>
      </c>
      <c r="AB16" s="1">
        <v>0.48027624746059</v>
      </c>
      <c r="AC16" s="1" t="s">
        <v>26</v>
      </c>
      <c r="AD16" s="1" t="s">
        <v>26</v>
      </c>
      <c r="AE16" s="2">
        <v>117369728716.14999</v>
      </c>
      <c r="AF16" s="1">
        <v>0.61407898861879995</v>
      </c>
      <c r="AG16" s="1" t="s">
        <v>26</v>
      </c>
      <c r="AH16" s="1" t="s">
        <v>26</v>
      </c>
      <c r="AI16" s="2">
        <v>4777656578.8800001</v>
      </c>
      <c r="AJ16" s="1">
        <v>0.73543711630315001</v>
      </c>
      <c r="AK16" s="1" t="s">
        <v>26</v>
      </c>
      <c r="AL16" s="1" t="s">
        <v>26</v>
      </c>
      <c r="AM16" s="2">
        <v>4727861268.2600002</v>
      </c>
      <c r="AN16" s="1">
        <v>0.41020094332117002</v>
      </c>
      <c r="AO16" s="1" t="s">
        <v>26</v>
      </c>
      <c r="AP16" s="1" t="s">
        <v>26</v>
      </c>
      <c r="AQ16" s="2">
        <v>9505517847.1399994</v>
      </c>
      <c r="AR16" s="1">
        <v>0.52743763720575998</v>
      </c>
      <c r="AS16" s="1" t="s">
        <v>26</v>
      </c>
      <c r="AT16" s="1" t="s">
        <v>26</v>
      </c>
      <c r="AU16" s="2">
        <v>6196743694.2799997</v>
      </c>
      <c r="AV16" s="1">
        <v>0.43993375787459998</v>
      </c>
      <c r="AW16" s="1" t="s">
        <v>26</v>
      </c>
      <c r="AX16" s="1" t="s">
        <v>26</v>
      </c>
      <c r="AY16" s="2">
        <v>133071990257.57001</v>
      </c>
      <c r="AZ16" s="1">
        <v>0.59609646219289003</v>
      </c>
      <c r="BA16" s="1" t="s">
        <v>26</v>
      </c>
      <c r="BB16" s="1" t="s">
        <v>26</v>
      </c>
    </row>
    <row r="17" spans="1:56">
      <c r="A17" s="13" t="s">
        <v>34</v>
      </c>
      <c r="B17" s="25" t="s">
        <v>25</v>
      </c>
      <c r="C17" s="55">
        <v>231769452.25</v>
      </c>
      <c r="D17" s="56">
        <v>4.131152198963E-2</v>
      </c>
      <c r="E17" s="56" t="s">
        <v>26</v>
      </c>
      <c r="F17" s="56" t="s">
        <v>26</v>
      </c>
      <c r="G17" s="55">
        <v>10468037849.52</v>
      </c>
      <c r="H17" s="56">
        <v>7.2968580947290002E-2</v>
      </c>
      <c r="I17" s="56" t="s">
        <v>26</v>
      </c>
      <c r="J17" s="56" t="s">
        <v>26</v>
      </c>
      <c r="K17" s="55">
        <v>170941203.66</v>
      </c>
      <c r="L17" s="56">
        <v>6.2879766144189997E-2</v>
      </c>
      <c r="M17" s="56" t="s">
        <v>26</v>
      </c>
      <c r="N17" s="56" t="s">
        <v>26</v>
      </c>
      <c r="O17" s="55">
        <v>13533645472.24</v>
      </c>
      <c r="P17" s="56">
        <v>6.3361579516980002E-2</v>
      </c>
      <c r="Q17" s="56" t="s">
        <v>26</v>
      </c>
      <c r="R17" s="56" t="s">
        <v>26</v>
      </c>
      <c r="S17" s="55">
        <v>15016359209.51</v>
      </c>
      <c r="T17" s="56">
        <v>0.14028395749538999</v>
      </c>
      <c r="U17" s="56" t="s">
        <v>26</v>
      </c>
      <c r="V17" s="56" t="s">
        <v>26</v>
      </c>
      <c r="W17" s="55">
        <v>1355896877.2</v>
      </c>
      <c r="X17" s="56">
        <v>0.22664728166605999</v>
      </c>
      <c r="Y17" s="56" t="s">
        <v>26</v>
      </c>
      <c r="Z17" s="56" t="s">
        <v>26</v>
      </c>
      <c r="AA17" s="55">
        <v>12846127038.91</v>
      </c>
      <c r="AB17" s="56">
        <v>9.7383715477870003E-2</v>
      </c>
      <c r="AC17" s="56" t="s">
        <v>26</v>
      </c>
      <c r="AD17" s="56" t="s">
        <v>26</v>
      </c>
      <c r="AE17" s="55">
        <v>53622777103.290001</v>
      </c>
      <c r="AF17" s="56">
        <v>8.7860143002410004E-2</v>
      </c>
      <c r="AG17" s="56" t="s">
        <v>26</v>
      </c>
      <c r="AH17" s="56" t="s">
        <v>26</v>
      </c>
      <c r="AI17" s="55">
        <v>2505448979.3800001</v>
      </c>
      <c r="AJ17" s="56">
        <v>0.15087491447914</v>
      </c>
      <c r="AK17" s="56" t="s">
        <v>26</v>
      </c>
      <c r="AL17" s="56" t="s">
        <v>26</v>
      </c>
      <c r="AM17" s="55">
        <v>4514595677.3199997</v>
      </c>
      <c r="AN17" s="56">
        <v>0.19288100116899001</v>
      </c>
      <c r="AO17" s="56" t="s">
        <v>26</v>
      </c>
      <c r="AP17" s="56" t="s">
        <v>26</v>
      </c>
      <c r="AQ17" s="55">
        <v>7020044656.6999998</v>
      </c>
      <c r="AR17" s="56">
        <v>0.17544737421584999</v>
      </c>
      <c r="AS17" s="56" t="s">
        <v>26</v>
      </c>
      <c r="AT17" s="56" t="s">
        <v>26</v>
      </c>
      <c r="AU17" s="55">
        <v>4681101774.1099997</v>
      </c>
      <c r="AV17" s="56">
        <v>0.10905337968174</v>
      </c>
      <c r="AW17" s="56" t="s">
        <v>26</v>
      </c>
      <c r="AX17" s="56" t="s">
        <v>26</v>
      </c>
      <c r="AY17" s="55">
        <v>65323923534.099998</v>
      </c>
      <c r="AZ17" s="56">
        <v>9.4227594550150007E-2</v>
      </c>
      <c r="BA17" s="56" t="s">
        <v>26</v>
      </c>
      <c r="BB17" s="56" t="s">
        <v>26</v>
      </c>
    </row>
    <row r="18" spans="1:56" s="7" customFormat="1">
      <c r="A18" s="5" t="s">
        <v>35</v>
      </c>
      <c r="B18" s="24" t="s">
        <v>25</v>
      </c>
      <c r="C18" s="10" t="s">
        <v>26</v>
      </c>
      <c r="D18" s="11" t="s">
        <v>26</v>
      </c>
      <c r="E18" s="11" t="s">
        <v>26</v>
      </c>
      <c r="F18" s="11" t="s">
        <v>26</v>
      </c>
      <c r="G18" s="10">
        <v>5989370996.1499996</v>
      </c>
      <c r="H18" s="11">
        <v>4.1749553129100003E-2</v>
      </c>
      <c r="I18" s="11">
        <v>0.15</v>
      </c>
      <c r="J18" s="11">
        <v>0.10829999999999999</v>
      </c>
      <c r="K18" s="10" t="s">
        <v>26</v>
      </c>
      <c r="L18" s="11" t="s">
        <v>26</v>
      </c>
      <c r="M18" s="11" t="s">
        <v>26</v>
      </c>
      <c r="N18" s="11" t="s">
        <v>26</v>
      </c>
      <c r="O18" s="10">
        <v>5205170925.8800001</v>
      </c>
      <c r="P18" s="11">
        <v>2.4369476221030001E-2</v>
      </c>
      <c r="Q18" s="11">
        <v>0.1384</v>
      </c>
      <c r="R18" s="11">
        <v>0.114</v>
      </c>
      <c r="S18" s="10">
        <v>4701106411.5200005</v>
      </c>
      <c r="T18" s="11">
        <v>4.3918089785530003E-2</v>
      </c>
      <c r="U18" s="11">
        <v>0.05</v>
      </c>
      <c r="V18" s="11">
        <v>6.1000000000000004E-3</v>
      </c>
      <c r="W18" s="10">
        <v>411698732.87</v>
      </c>
      <c r="X18" s="11">
        <v>6.8818211944730007E-2</v>
      </c>
      <c r="Y18" s="11">
        <v>0.15</v>
      </c>
      <c r="Z18" s="11">
        <v>8.1199999999999994E-2</v>
      </c>
      <c r="AA18" s="10">
        <v>4174246359.7800002</v>
      </c>
      <c r="AB18" s="11">
        <v>3.1644060393000002E-2</v>
      </c>
      <c r="AC18" s="11">
        <v>0.13550000000000001</v>
      </c>
      <c r="AD18" s="11">
        <v>0.10390000000000001</v>
      </c>
      <c r="AE18" s="10">
        <v>20481593426.200001</v>
      </c>
      <c r="AF18" s="11">
        <v>3.3558793940810003E-2</v>
      </c>
      <c r="AG18" s="11">
        <v>0.1434</v>
      </c>
      <c r="AH18" s="11">
        <v>0.10979999999999999</v>
      </c>
      <c r="AI18" s="10">
        <v>786112855.50999999</v>
      </c>
      <c r="AJ18" s="11">
        <v>4.7338704887680001E-2</v>
      </c>
      <c r="AK18" s="11">
        <v>0.05</v>
      </c>
      <c r="AL18" s="11">
        <v>2.7000000000000001E-3</v>
      </c>
      <c r="AM18" s="10">
        <v>1225514938.5599999</v>
      </c>
      <c r="AN18" s="11">
        <v>5.235874155564E-2</v>
      </c>
      <c r="AO18" s="11">
        <v>0.15</v>
      </c>
      <c r="AP18" s="11">
        <v>9.7600000000000006E-2</v>
      </c>
      <c r="AQ18" s="10">
        <v>2011627794.0699999</v>
      </c>
      <c r="AR18" s="11">
        <v>5.0275294763600001E-2</v>
      </c>
      <c r="AS18" s="11">
        <v>0.14729999999999999</v>
      </c>
      <c r="AT18" s="11">
        <v>9.7000000000000003E-2</v>
      </c>
      <c r="AU18" s="10">
        <v>1406908400.46</v>
      </c>
      <c r="AV18" s="11">
        <v>3.2776069262449997E-2</v>
      </c>
      <c r="AW18" s="11">
        <v>0.05</v>
      </c>
      <c r="AX18" s="11">
        <v>1.72E-2</v>
      </c>
      <c r="AY18" s="10">
        <v>23900129620.73</v>
      </c>
      <c r="AZ18" s="11">
        <v>3.4475144813100003E-2</v>
      </c>
      <c r="BA18" s="11">
        <v>0.14369999999999999</v>
      </c>
      <c r="BB18" s="11">
        <v>0.10920000000000001</v>
      </c>
    </row>
    <row r="19" spans="1:56" s="7" customFormat="1">
      <c r="A19" s="3" t="s">
        <v>36</v>
      </c>
      <c r="B19" s="31" t="s">
        <v>37</v>
      </c>
      <c r="C19" s="2" t="s">
        <v>26</v>
      </c>
      <c r="D19" s="1" t="s">
        <v>26</v>
      </c>
      <c r="E19" s="1" t="s">
        <v>26</v>
      </c>
      <c r="F19" s="1" t="s">
        <v>26</v>
      </c>
      <c r="G19" s="2" t="s">
        <v>26</v>
      </c>
      <c r="H19" s="1" t="s">
        <v>26</v>
      </c>
      <c r="I19" s="1" t="s">
        <v>26</v>
      </c>
      <c r="J19" s="1" t="s">
        <v>26</v>
      </c>
      <c r="K19" s="2" t="s">
        <v>26</v>
      </c>
      <c r="L19" s="1" t="s">
        <v>26</v>
      </c>
      <c r="M19" s="1" t="s">
        <v>26</v>
      </c>
      <c r="N19" s="1" t="s">
        <v>26</v>
      </c>
      <c r="O19" s="2">
        <v>4027161080</v>
      </c>
      <c r="P19" s="1">
        <v>0.77368469495921</v>
      </c>
      <c r="Q19" s="1" t="s">
        <v>26</v>
      </c>
      <c r="R19" s="1" t="s">
        <v>26</v>
      </c>
      <c r="S19" s="2">
        <v>992695206.22000003</v>
      </c>
      <c r="T19" s="1">
        <v>0.21116203704459999</v>
      </c>
      <c r="U19" s="1" t="s">
        <v>26</v>
      </c>
      <c r="V19" s="1" t="s">
        <v>26</v>
      </c>
      <c r="W19" s="2" t="s">
        <v>26</v>
      </c>
      <c r="X19" s="1" t="s">
        <v>26</v>
      </c>
      <c r="Y19" s="1" t="s">
        <v>26</v>
      </c>
      <c r="Z19" s="1" t="s">
        <v>26</v>
      </c>
      <c r="AA19" s="2">
        <v>4027161080</v>
      </c>
      <c r="AB19" s="1">
        <v>0.96476363225773998</v>
      </c>
      <c r="AC19" s="1" t="s">
        <v>26</v>
      </c>
      <c r="AD19" s="1" t="s">
        <v>26</v>
      </c>
      <c r="AE19" s="2">
        <v>9047017366.2199993</v>
      </c>
      <c r="AF19" s="1">
        <v>0.44171452767181002</v>
      </c>
      <c r="AG19" s="1" t="s">
        <v>26</v>
      </c>
      <c r="AH19" s="1" t="s">
        <v>26</v>
      </c>
      <c r="AI19" s="2">
        <v>360430916.66000003</v>
      </c>
      <c r="AJ19" s="1">
        <v>0.45849767515398998</v>
      </c>
      <c r="AK19" s="1" t="s">
        <v>26</v>
      </c>
      <c r="AL19" s="1" t="s">
        <v>26</v>
      </c>
      <c r="AM19" s="2" t="s">
        <v>26</v>
      </c>
      <c r="AN19" s="1" t="s">
        <v>26</v>
      </c>
      <c r="AO19" s="1" t="s">
        <v>26</v>
      </c>
      <c r="AP19" s="1" t="s">
        <v>26</v>
      </c>
      <c r="AQ19" s="2">
        <v>360430916.66000003</v>
      </c>
      <c r="AR19" s="1">
        <v>0.17917376053487999</v>
      </c>
      <c r="AS19" s="1" t="s">
        <v>26</v>
      </c>
      <c r="AT19" s="1" t="s">
        <v>26</v>
      </c>
      <c r="AU19" s="2">
        <v>643338982.52999997</v>
      </c>
      <c r="AV19" s="1">
        <v>0.4572714060984</v>
      </c>
      <c r="AW19" s="1" t="s">
        <v>26</v>
      </c>
      <c r="AX19" s="1" t="s">
        <v>26</v>
      </c>
      <c r="AY19" s="2">
        <v>10050787265.41</v>
      </c>
      <c r="AZ19" s="1">
        <v>0.42053275128232998</v>
      </c>
      <c r="BA19" s="1" t="s">
        <v>26</v>
      </c>
      <c r="BB19" s="1" t="s">
        <v>26</v>
      </c>
      <c r="BD19" s="20"/>
    </row>
    <row r="20" spans="1:56" s="7" customFormat="1">
      <c r="A20" s="3" t="s">
        <v>38</v>
      </c>
      <c r="B20" s="31" t="s">
        <v>39</v>
      </c>
      <c r="C20" s="2" t="s">
        <v>26</v>
      </c>
      <c r="D20" s="1" t="s">
        <v>26</v>
      </c>
      <c r="E20" s="1" t="s">
        <v>26</v>
      </c>
      <c r="F20" s="1" t="s">
        <v>26</v>
      </c>
      <c r="G20" s="2">
        <v>5989370996.1499996</v>
      </c>
      <c r="H20" s="1">
        <v>1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1178009845.8800001</v>
      </c>
      <c r="P20" s="1">
        <v>0.22631530504079</v>
      </c>
      <c r="Q20" s="1" t="s">
        <v>26</v>
      </c>
      <c r="R20" s="1" t="s">
        <v>26</v>
      </c>
      <c r="S20" s="2">
        <v>3708411205.3000002</v>
      </c>
      <c r="T20" s="1">
        <v>0.78883796295539998</v>
      </c>
      <c r="U20" s="1" t="s">
        <v>26</v>
      </c>
      <c r="V20" s="1" t="s">
        <v>26</v>
      </c>
      <c r="W20" s="2">
        <v>411698732.87</v>
      </c>
      <c r="X20" s="1">
        <v>1</v>
      </c>
      <c r="Y20" s="1" t="s">
        <v>26</v>
      </c>
      <c r="Z20" s="1" t="s">
        <v>26</v>
      </c>
      <c r="AA20" s="2">
        <v>147085279.78</v>
      </c>
      <c r="AB20" s="1">
        <v>3.5236367742260001E-2</v>
      </c>
      <c r="AC20" s="1" t="s">
        <v>26</v>
      </c>
      <c r="AD20" s="1" t="s">
        <v>26</v>
      </c>
      <c r="AE20" s="2">
        <v>11434576059.98</v>
      </c>
      <c r="AF20" s="1">
        <v>0.55828547232819004</v>
      </c>
      <c r="AG20" s="1" t="s">
        <v>26</v>
      </c>
      <c r="AH20" s="1" t="s">
        <v>26</v>
      </c>
      <c r="AI20" s="2">
        <v>425681938.85000002</v>
      </c>
      <c r="AJ20" s="1">
        <v>0.54150232484601002</v>
      </c>
      <c r="AK20" s="1" t="s">
        <v>26</v>
      </c>
      <c r="AL20" s="1" t="s">
        <v>26</v>
      </c>
      <c r="AM20" s="2">
        <v>1225514938.5599999</v>
      </c>
      <c r="AN20" s="1">
        <v>1</v>
      </c>
      <c r="AO20" s="1" t="s">
        <v>26</v>
      </c>
      <c r="AP20" s="1" t="s">
        <v>26</v>
      </c>
      <c r="AQ20" s="2">
        <v>1651196877.4100001</v>
      </c>
      <c r="AR20" s="1">
        <v>0.82082623946512001</v>
      </c>
      <c r="AS20" s="1" t="s">
        <v>26</v>
      </c>
      <c r="AT20" s="1" t="s">
        <v>26</v>
      </c>
      <c r="AU20" s="2">
        <v>763569417.92999995</v>
      </c>
      <c r="AV20" s="1">
        <v>0.5427285939016</v>
      </c>
      <c r="AW20" s="1" t="s">
        <v>26</v>
      </c>
      <c r="AX20" s="1" t="s">
        <v>26</v>
      </c>
      <c r="AY20" s="2">
        <v>13849342355.32</v>
      </c>
      <c r="AZ20" s="1">
        <v>0.57946724871766997</v>
      </c>
      <c r="BA20" s="1" t="s">
        <v>26</v>
      </c>
      <c r="BB20" s="1" t="s">
        <v>26</v>
      </c>
    </row>
    <row r="21" spans="1:56" s="7" customFormat="1">
      <c r="A21" s="5" t="s">
        <v>41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 t="s">
        <v>26</v>
      </c>
      <c r="H21" s="11" t="s">
        <v>26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10">
        <v>329961998.55000001</v>
      </c>
      <c r="P21" s="11">
        <v>1.54481018818E-3</v>
      </c>
      <c r="Q21" s="11">
        <v>0.15</v>
      </c>
      <c r="R21" s="11">
        <v>0.14849999999999999</v>
      </c>
      <c r="S21" s="10">
        <v>331731194.56999999</v>
      </c>
      <c r="T21" s="11">
        <v>3.0990577775699998E-3</v>
      </c>
      <c r="U21" s="11">
        <v>0.15</v>
      </c>
      <c r="V21" s="11">
        <v>0.1469</v>
      </c>
      <c r="W21" s="10">
        <v>137403822.56999999</v>
      </c>
      <c r="X21" s="11">
        <v>2.2967973007160001E-2</v>
      </c>
      <c r="Y21" s="11">
        <v>0.15</v>
      </c>
      <c r="Z21" s="11">
        <v>0.127</v>
      </c>
      <c r="AA21" s="10" t="s">
        <v>26</v>
      </c>
      <c r="AB21" s="11" t="s">
        <v>26</v>
      </c>
      <c r="AC21" s="11" t="s">
        <v>26</v>
      </c>
      <c r="AD21" s="11" t="s">
        <v>26</v>
      </c>
      <c r="AE21" s="10">
        <v>799097015.69000006</v>
      </c>
      <c r="AF21" s="11">
        <v>1.3093088770099999E-3</v>
      </c>
      <c r="AG21" s="11">
        <v>0.15</v>
      </c>
      <c r="AH21" s="11">
        <v>0.1487</v>
      </c>
      <c r="AI21" s="10">
        <v>128599525.39</v>
      </c>
      <c r="AJ21" s="11">
        <v>7.7440979860100003E-3</v>
      </c>
      <c r="AK21" s="11">
        <v>0.15</v>
      </c>
      <c r="AL21" s="11">
        <v>0.14230000000000001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>
        <v>128599525.39</v>
      </c>
      <c r="AR21" s="11">
        <v>3.2140036365100001E-3</v>
      </c>
      <c r="AS21" s="11">
        <v>0.15</v>
      </c>
      <c r="AT21" s="11">
        <v>0.14680000000000001</v>
      </c>
      <c r="AU21" s="10">
        <v>65634464.43</v>
      </c>
      <c r="AV21" s="11">
        <v>1.52905459336E-3</v>
      </c>
      <c r="AW21" s="11">
        <v>0.15</v>
      </c>
      <c r="AX21" s="11">
        <v>0.14849999999999999</v>
      </c>
      <c r="AY21" s="10">
        <v>993331005.50999999</v>
      </c>
      <c r="AZ21" s="11">
        <v>1.4328470517000001E-3</v>
      </c>
      <c r="BA21" s="11">
        <v>0.15</v>
      </c>
      <c r="BB21" s="11">
        <v>0.14860000000000001</v>
      </c>
    </row>
    <row r="22" spans="1:56" s="7" customFormat="1">
      <c r="A22" s="3" t="s">
        <v>38</v>
      </c>
      <c r="B22" s="31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>
        <v>329961998.55000001</v>
      </c>
      <c r="P22" s="1">
        <v>1</v>
      </c>
      <c r="Q22" s="1" t="s">
        <v>26</v>
      </c>
      <c r="R22" s="1" t="s">
        <v>26</v>
      </c>
      <c r="S22" s="2">
        <v>331731194.56999999</v>
      </c>
      <c r="T22" s="1">
        <v>1</v>
      </c>
      <c r="U22" s="1" t="s">
        <v>26</v>
      </c>
      <c r="V22" s="1" t="s">
        <v>26</v>
      </c>
      <c r="W22" s="2">
        <v>137403822.56999999</v>
      </c>
      <c r="X22" s="1">
        <v>1</v>
      </c>
      <c r="Y22" s="1" t="s">
        <v>26</v>
      </c>
      <c r="Z22" s="1" t="s">
        <v>26</v>
      </c>
      <c r="AA22" s="2" t="s">
        <v>26</v>
      </c>
      <c r="AB22" s="1" t="s">
        <v>26</v>
      </c>
      <c r="AC22" s="1" t="s">
        <v>26</v>
      </c>
      <c r="AD22" s="1" t="s">
        <v>26</v>
      </c>
      <c r="AE22" s="2">
        <v>799097015.69000006</v>
      </c>
      <c r="AF22" s="1">
        <v>1</v>
      </c>
      <c r="AG22" s="1" t="s">
        <v>26</v>
      </c>
      <c r="AH22" s="1" t="s">
        <v>26</v>
      </c>
      <c r="AI22" s="2">
        <v>128599525.39</v>
      </c>
      <c r="AJ22" s="1">
        <v>1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>
        <v>128599525.39</v>
      </c>
      <c r="AR22" s="1">
        <v>1</v>
      </c>
      <c r="AS22" s="1" t="s">
        <v>26</v>
      </c>
      <c r="AT22" s="1" t="s">
        <v>26</v>
      </c>
      <c r="AU22" s="2">
        <v>65634464.43</v>
      </c>
      <c r="AV22" s="1">
        <v>1</v>
      </c>
      <c r="AW22" s="1" t="s">
        <v>26</v>
      </c>
      <c r="AX22" s="1" t="s">
        <v>26</v>
      </c>
      <c r="AY22" s="2">
        <v>993331005.50999999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42</v>
      </c>
      <c r="B23" s="24" t="s">
        <v>25</v>
      </c>
      <c r="C23" s="10">
        <v>144754675.37</v>
      </c>
      <c r="D23" s="11">
        <v>2.580165719251E-2</v>
      </c>
      <c r="E23" s="11">
        <v>0.13500000000000001</v>
      </c>
      <c r="F23" s="11">
        <v>0.10920000000000001</v>
      </c>
      <c r="G23" s="10" t="s">
        <v>26</v>
      </c>
      <c r="H23" s="11" t="s">
        <v>26</v>
      </c>
      <c r="I23" s="11" t="s">
        <v>26</v>
      </c>
      <c r="J23" s="11" t="s">
        <v>26</v>
      </c>
      <c r="K23" s="10">
        <v>17748785.82</v>
      </c>
      <c r="L23" s="11">
        <v>6.52879164186E-3</v>
      </c>
      <c r="M23" s="11">
        <v>0.13500000000000001</v>
      </c>
      <c r="N23" s="11">
        <v>0.1285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10" t="s">
        <v>26</v>
      </c>
      <c r="X23" s="11" t="s">
        <v>26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162503461.19</v>
      </c>
      <c r="AF23" s="11">
        <v>2.6625956561E-4</v>
      </c>
      <c r="AG23" s="11">
        <v>0.13500000000000001</v>
      </c>
      <c r="AH23" s="11">
        <v>0.13469999999999999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10">
        <v>162503461.19</v>
      </c>
      <c r="AZ23" s="11">
        <v>2.3440585662000001E-4</v>
      </c>
      <c r="BA23" s="11">
        <v>0.13500000000000001</v>
      </c>
      <c r="BB23" s="11">
        <v>0.1348</v>
      </c>
    </row>
    <row r="24" spans="1:56" s="7" customFormat="1">
      <c r="A24" s="3" t="s">
        <v>38</v>
      </c>
      <c r="B24" s="31" t="s">
        <v>43</v>
      </c>
      <c r="C24" s="2">
        <v>144754675.37</v>
      </c>
      <c r="D24" s="1">
        <v>1</v>
      </c>
      <c r="E24" s="1" t="s">
        <v>26</v>
      </c>
      <c r="F24" s="1" t="s">
        <v>26</v>
      </c>
      <c r="G24" s="2" t="s">
        <v>26</v>
      </c>
      <c r="H24" s="1" t="s">
        <v>26</v>
      </c>
      <c r="I24" s="1" t="s">
        <v>26</v>
      </c>
      <c r="J24" s="1" t="s">
        <v>26</v>
      </c>
      <c r="K24" s="2">
        <v>17748785.82</v>
      </c>
      <c r="L24" s="1">
        <v>1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162503461.19</v>
      </c>
      <c r="AF24" s="1">
        <v>1</v>
      </c>
      <c r="AG24" s="1" t="s">
        <v>26</v>
      </c>
      <c r="AH24" s="1" t="s">
        <v>26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2">
        <v>162503461.19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44</v>
      </c>
      <c r="B25" s="24" t="s">
        <v>25</v>
      </c>
      <c r="C25" s="10">
        <v>20995264.800000001</v>
      </c>
      <c r="D25" s="11">
        <v>3.7422806804100002E-3</v>
      </c>
      <c r="E25" s="11">
        <v>0.13500000000000001</v>
      </c>
      <c r="F25" s="11">
        <v>0.1313</v>
      </c>
      <c r="G25" s="10">
        <v>1312204050</v>
      </c>
      <c r="H25" s="11">
        <v>9.1468591170800004E-3</v>
      </c>
      <c r="I25" s="11">
        <v>0.13500000000000001</v>
      </c>
      <c r="J25" s="11">
        <v>0.12590000000000001</v>
      </c>
      <c r="K25" s="10" t="s">
        <v>26</v>
      </c>
      <c r="L25" s="11" t="s">
        <v>26</v>
      </c>
      <c r="M25" s="11" t="s">
        <v>26</v>
      </c>
      <c r="N25" s="11" t="s">
        <v>26</v>
      </c>
      <c r="O25" s="10">
        <v>1495867041.76</v>
      </c>
      <c r="P25" s="11">
        <v>7.0033235840099997E-3</v>
      </c>
      <c r="Q25" s="11">
        <v>0.1368</v>
      </c>
      <c r="R25" s="11">
        <v>0.1298</v>
      </c>
      <c r="S25" s="10">
        <v>1698222664.29</v>
      </c>
      <c r="T25" s="11">
        <v>1.5864923896069999E-2</v>
      </c>
      <c r="U25" s="11">
        <v>0.14349999999999999</v>
      </c>
      <c r="V25" s="11">
        <v>0.12759999999999999</v>
      </c>
      <c r="W25" s="10">
        <v>223245293.02000001</v>
      </c>
      <c r="X25" s="11">
        <v>3.7316952091679997E-2</v>
      </c>
      <c r="Y25" s="11">
        <v>0.15</v>
      </c>
      <c r="Z25" s="11">
        <v>0.11269999999999999</v>
      </c>
      <c r="AA25" s="10">
        <v>3934276870.6700001</v>
      </c>
      <c r="AB25" s="11">
        <v>2.9824903507809999E-2</v>
      </c>
      <c r="AC25" s="11">
        <v>0.05</v>
      </c>
      <c r="AD25" s="11">
        <v>2.0199999999999999E-2</v>
      </c>
      <c r="AE25" s="10">
        <v>8684811184.5400009</v>
      </c>
      <c r="AF25" s="11">
        <v>1.422993723642E-2</v>
      </c>
      <c r="AG25" s="11">
        <v>0.1421</v>
      </c>
      <c r="AH25" s="11">
        <v>0.12790000000000001</v>
      </c>
      <c r="AI25" s="10">
        <v>174790932.28</v>
      </c>
      <c r="AJ25" s="11">
        <v>1.052568508739E-2</v>
      </c>
      <c r="AK25" s="11">
        <v>0.15</v>
      </c>
      <c r="AL25" s="11">
        <v>0.13950000000000001</v>
      </c>
      <c r="AM25" s="10">
        <v>165583328.11000001</v>
      </c>
      <c r="AN25" s="11">
        <v>7.0743606704799997E-3</v>
      </c>
      <c r="AO25" s="11">
        <v>0.15</v>
      </c>
      <c r="AP25" s="11">
        <v>0.1429</v>
      </c>
      <c r="AQ25" s="10">
        <v>340374260.38999999</v>
      </c>
      <c r="AR25" s="11">
        <v>8.5067507624900004E-3</v>
      </c>
      <c r="AS25" s="11">
        <v>0.15</v>
      </c>
      <c r="AT25" s="11">
        <v>0.14149999999999999</v>
      </c>
      <c r="AU25" s="10">
        <v>835985568.75</v>
      </c>
      <c r="AV25" s="11">
        <v>1.9475554268350001E-2</v>
      </c>
      <c r="AW25" s="11">
        <v>0.1396</v>
      </c>
      <c r="AX25" s="11">
        <v>0.1201</v>
      </c>
      <c r="AY25" s="10">
        <v>9861171013.6800003</v>
      </c>
      <c r="AZ25" s="11">
        <v>1.422441234078E-2</v>
      </c>
      <c r="BA25" s="11">
        <v>0.14219999999999999</v>
      </c>
      <c r="BB25" s="11">
        <v>0.128</v>
      </c>
    </row>
    <row r="26" spans="1:56" s="7" customFormat="1">
      <c r="A26" s="3" t="s">
        <v>36</v>
      </c>
      <c r="B26" s="31" t="s">
        <v>37</v>
      </c>
      <c r="C26" s="2">
        <v>20995264.800000001</v>
      </c>
      <c r="D26" s="1">
        <v>1</v>
      </c>
      <c r="E26" s="1" t="s">
        <v>26</v>
      </c>
      <c r="F26" s="1" t="s">
        <v>26</v>
      </c>
      <c r="G26" s="2">
        <v>1312204050</v>
      </c>
      <c r="H26" s="1">
        <v>1</v>
      </c>
      <c r="I26" s="1" t="s">
        <v>26</v>
      </c>
      <c r="J26" s="1" t="s">
        <v>26</v>
      </c>
      <c r="K26" s="2" t="s">
        <v>26</v>
      </c>
      <c r="L26" s="1" t="s">
        <v>26</v>
      </c>
      <c r="M26" s="1" t="s">
        <v>26</v>
      </c>
      <c r="N26" s="1" t="s">
        <v>26</v>
      </c>
      <c r="O26" s="2">
        <v>1312204050</v>
      </c>
      <c r="P26" s="1">
        <v>0.87721970828108997</v>
      </c>
      <c r="Q26" s="1" t="s">
        <v>26</v>
      </c>
      <c r="R26" s="1" t="s">
        <v>26</v>
      </c>
      <c r="S26" s="2">
        <v>734834268</v>
      </c>
      <c r="T26" s="1">
        <v>0.4327078441785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>
        <v>1179933881.76</v>
      </c>
      <c r="AB26" s="1">
        <v>0.29991124685616</v>
      </c>
      <c r="AC26" s="1" t="s">
        <v>26</v>
      </c>
      <c r="AD26" s="1" t="s">
        <v>26</v>
      </c>
      <c r="AE26" s="2">
        <v>4560171514.5600004</v>
      </c>
      <c r="AF26" s="1">
        <v>0.52507434159048005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>
        <v>577369782</v>
      </c>
      <c r="AV26" s="1">
        <v>0.69064563263131995</v>
      </c>
      <c r="AW26" s="1" t="s">
        <v>26</v>
      </c>
      <c r="AX26" s="1" t="s">
        <v>26</v>
      </c>
      <c r="AY26" s="2">
        <v>5137541296.5600004</v>
      </c>
      <c r="AZ26" s="1">
        <v>0.52098693851195998</v>
      </c>
      <c r="BA26" s="1" t="s">
        <v>26</v>
      </c>
      <c r="BB26" s="1" t="s">
        <v>26</v>
      </c>
    </row>
    <row r="27" spans="1:56" s="7" customFormat="1">
      <c r="A27" s="3" t="s">
        <v>38</v>
      </c>
      <c r="B27" s="31" t="s">
        <v>39</v>
      </c>
      <c r="C27" s="2" t="s">
        <v>26</v>
      </c>
      <c r="D27" s="1" t="s">
        <v>26</v>
      </c>
      <c r="E27" s="1" t="s">
        <v>26</v>
      </c>
      <c r="F27" s="1" t="s">
        <v>26</v>
      </c>
      <c r="G27" s="2" t="s">
        <v>26</v>
      </c>
      <c r="H27" s="1" t="s">
        <v>26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183662991.75999999</v>
      </c>
      <c r="P27" s="1">
        <v>0.12278029171891</v>
      </c>
      <c r="Q27" s="1" t="s">
        <v>26</v>
      </c>
      <c r="R27" s="1" t="s">
        <v>26</v>
      </c>
      <c r="S27" s="2">
        <v>963388396.28999996</v>
      </c>
      <c r="T27" s="1">
        <v>0.56729215582150005</v>
      </c>
      <c r="U27" s="1" t="s">
        <v>26</v>
      </c>
      <c r="V27" s="1" t="s">
        <v>26</v>
      </c>
      <c r="W27" s="2">
        <v>223245293.02000001</v>
      </c>
      <c r="X27" s="1">
        <v>1</v>
      </c>
      <c r="Y27" s="1" t="s">
        <v>26</v>
      </c>
      <c r="Z27" s="1" t="s">
        <v>26</v>
      </c>
      <c r="AA27" s="2">
        <v>2754342988.9099998</v>
      </c>
      <c r="AB27" s="1">
        <v>0.70008875314384</v>
      </c>
      <c r="AC27" s="1" t="s">
        <v>26</v>
      </c>
      <c r="AD27" s="1" t="s">
        <v>26</v>
      </c>
      <c r="AE27" s="2">
        <v>4124639669.98</v>
      </c>
      <c r="AF27" s="1">
        <v>0.47492565840952</v>
      </c>
      <c r="AG27" s="1" t="s">
        <v>26</v>
      </c>
      <c r="AH27" s="1" t="s">
        <v>26</v>
      </c>
      <c r="AI27" s="2">
        <v>174790932.28</v>
      </c>
      <c r="AJ27" s="1">
        <v>1</v>
      </c>
      <c r="AK27" s="1" t="s">
        <v>26</v>
      </c>
      <c r="AL27" s="1" t="s">
        <v>26</v>
      </c>
      <c r="AM27" s="2">
        <v>165583328.11000001</v>
      </c>
      <c r="AN27" s="1">
        <v>1</v>
      </c>
      <c r="AO27" s="1" t="s">
        <v>26</v>
      </c>
      <c r="AP27" s="1" t="s">
        <v>26</v>
      </c>
      <c r="AQ27" s="2">
        <v>340374260.38999999</v>
      </c>
      <c r="AR27" s="1">
        <v>1</v>
      </c>
      <c r="AS27" s="1" t="s">
        <v>26</v>
      </c>
      <c r="AT27" s="1" t="s">
        <v>26</v>
      </c>
      <c r="AU27" s="2">
        <v>258615786.75</v>
      </c>
      <c r="AV27" s="1">
        <v>0.30935436736867999</v>
      </c>
      <c r="AW27" s="1" t="s">
        <v>26</v>
      </c>
      <c r="AX27" s="1" t="s">
        <v>26</v>
      </c>
      <c r="AY27" s="2">
        <v>4723629717.1199999</v>
      </c>
      <c r="AZ27" s="1">
        <v>0.47901306148804002</v>
      </c>
      <c r="BA27" s="1" t="s">
        <v>26</v>
      </c>
      <c r="BB27" s="1" t="s">
        <v>26</v>
      </c>
    </row>
    <row r="28" spans="1:56" s="7" customFormat="1">
      <c r="A28" s="5" t="s">
        <v>45</v>
      </c>
      <c r="B28" s="24" t="s">
        <v>25</v>
      </c>
      <c r="C28" s="10">
        <v>32516341</v>
      </c>
      <c r="D28" s="11">
        <v>5.7958437714899997E-3</v>
      </c>
      <c r="E28" s="11">
        <v>0.09</v>
      </c>
      <c r="F28" s="11">
        <v>8.4199999999999997E-2</v>
      </c>
      <c r="G28" s="10">
        <v>39519860.600000001</v>
      </c>
      <c r="H28" s="11">
        <v>2.7547742839999998E-4</v>
      </c>
      <c r="I28" s="11">
        <v>0.09</v>
      </c>
      <c r="J28" s="11">
        <v>8.9700000000000002E-2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>
        <v>52062331.289999999</v>
      </c>
      <c r="T28" s="11">
        <v>4.8637021583999997E-4</v>
      </c>
      <c r="U28" s="11">
        <v>0.1134</v>
      </c>
      <c r="V28" s="11">
        <v>0.1129</v>
      </c>
      <c r="W28" s="10" t="s">
        <v>26</v>
      </c>
      <c r="X28" s="11" t="s">
        <v>26</v>
      </c>
      <c r="Y28" s="11" t="s">
        <v>26</v>
      </c>
      <c r="Z28" s="11" t="s">
        <v>26</v>
      </c>
      <c r="AA28" s="10">
        <v>35017598</v>
      </c>
      <c r="AB28" s="11">
        <v>2.6546084979999998E-4</v>
      </c>
      <c r="AC28" s="11">
        <v>0.09</v>
      </c>
      <c r="AD28" s="11">
        <v>8.9700000000000002E-2</v>
      </c>
      <c r="AE28" s="10">
        <v>159116130.88999999</v>
      </c>
      <c r="AF28" s="11">
        <v>2.6070947401999998E-4</v>
      </c>
      <c r="AG28" s="11">
        <v>9.7699999999999995E-2</v>
      </c>
      <c r="AH28" s="11">
        <v>9.74E-2</v>
      </c>
      <c r="AI28" s="10">
        <v>4207740.6399999997</v>
      </c>
      <c r="AJ28" s="11">
        <v>2.5338472841999999E-4</v>
      </c>
      <c r="AK28" s="11">
        <v>0.13500000000000001</v>
      </c>
      <c r="AL28" s="11">
        <v>0.13469999999999999</v>
      </c>
      <c r="AM28" s="10">
        <v>216534029.19999999</v>
      </c>
      <c r="AN28" s="11">
        <v>9.2511718267599997E-3</v>
      </c>
      <c r="AO28" s="11">
        <v>0.13500000000000001</v>
      </c>
      <c r="AP28" s="11">
        <v>0.12570000000000001</v>
      </c>
      <c r="AQ28" s="10">
        <v>220741769.84</v>
      </c>
      <c r="AR28" s="11">
        <v>5.5168543495300003E-3</v>
      </c>
      <c r="AS28" s="11">
        <v>0.13500000000000001</v>
      </c>
      <c r="AT28" s="11">
        <v>0.1295</v>
      </c>
      <c r="AU28" s="10">
        <v>13023959.140000001</v>
      </c>
      <c r="AV28" s="11">
        <v>3.0341292063E-4</v>
      </c>
      <c r="AW28" s="11">
        <v>0.13500000000000001</v>
      </c>
      <c r="AX28" s="11">
        <v>0.13469999999999999</v>
      </c>
      <c r="AY28" s="10">
        <v>392881859.87</v>
      </c>
      <c r="AZ28" s="11">
        <v>5.6671906087999997E-4</v>
      </c>
      <c r="BA28" s="11">
        <v>0.11990000000000001</v>
      </c>
      <c r="BB28" s="11">
        <v>0.1193</v>
      </c>
    </row>
    <row r="29" spans="1:56" s="7" customFormat="1">
      <c r="A29" s="3" t="s">
        <v>36</v>
      </c>
      <c r="B29" s="31" t="s">
        <v>46</v>
      </c>
      <c r="C29" s="2">
        <v>32516341</v>
      </c>
      <c r="D29" s="1">
        <v>1</v>
      </c>
      <c r="E29" s="1" t="s">
        <v>26</v>
      </c>
      <c r="F29" s="1" t="s">
        <v>26</v>
      </c>
      <c r="G29" s="2">
        <v>39519860.600000001</v>
      </c>
      <c r="H29" s="1">
        <v>1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2">
        <v>25012570</v>
      </c>
      <c r="T29" s="1">
        <v>0.48043507427037002</v>
      </c>
      <c r="U29" s="1" t="s">
        <v>26</v>
      </c>
      <c r="V29" s="1" t="s">
        <v>26</v>
      </c>
      <c r="W29" s="2" t="s">
        <v>26</v>
      </c>
      <c r="X29" s="1" t="s">
        <v>26</v>
      </c>
      <c r="Y29" s="1" t="s">
        <v>26</v>
      </c>
      <c r="Z29" s="1" t="s">
        <v>26</v>
      </c>
      <c r="AA29" s="2">
        <v>35017598</v>
      </c>
      <c r="AB29" s="1">
        <v>1</v>
      </c>
      <c r="AC29" s="1" t="s">
        <v>26</v>
      </c>
      <c r="AD29" s="1" t="s">
        <v>26</v>
      </c>
      <c r="AE29" s="2">
        <v>132066369.59999999</v>
      </c>
      <c r="AF29" s="1">
        <v>0.82999988034714001</v>
      </c>
      <c r="AG29" s="1" t="s">
        <v>26</v>
      </c>
      <c r="AH29" s="1" t="s">
        <v>26</v>
      </c>
      <c r="AI29" s="2" t="s">
        <v>26</v>
      </c>
      <c r="AJ29" s="1" t="s">
        <v>26</v>
      </c>
      <c r="AK29" s="1" t="s">
        <v>26</v>
      </c>
      <c r="AL29" s="1" t="s">
        <v>26</v>
      </c>
      <c r="AM29" s="2" t="s">
        <v>26</v>
      </c>
      <c r="AN29" s="1" t="s">
        <v>26</v>
      </c>
      <c r="AO29" s="1" t="s">
        <v>26</v>
      </c>
      <c r="AP29" s="1" t="s">
        <v>26</v>
      </c>
      <c r="AQ29" s="2" t="s">
        <v>26</v>
      </c>
      <c r="AR29" s="1" t="s">
        <v>26</v>
      </c>
      <c r="AS29" s="1" t="s">
        <v>26</v>
      </c>
      <c r="AT29" s="1" t="s">
        <v>26</v>
      </c>
      <c r="AU29" s="2" t="s">
        <v>26</v>
      </c>
      <c r="AV29" s="1" t="s">
        <v>26</v>
      </c>
      <c r="AW29" s="1" t="s">
        <v>26</v>
      </c>
      <c r="AX29" s="1" t="s">
        <v>26</v>
      </c>
      <c r="AY29" s="2">
        <v>132066369.59999999</v>
      </c>
      <c r="AZ29" s="1">
        <v>0.33614779171454001</v>
      </c>
      <c r="BA29" s="1" t="s">
        <v>26</v>
      </c>
      <c r="BB29" s="1" t="s">
        <v>26</v>
      </c>
    </row>
    <row r="30" spans="1:56" s="7" customFormat="1">
      <c r="A30" s="3" t="s">
        <v>38</v>
      </c>
      <c r="B30" s="31" t="s">
        <v>43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27049761.289999999</v>
      </c>
      <c r="T30" s="1">
        <v>0.51956492572962998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27049761.289999999</v>
      </c>
      <c r="AF30" s="1">
        <v>0.17000011965285999</v>
      </c>
      <c r="AG30" s="1" t="s">
        <v>26</v>
      </c>
      <c r="AH30" s="1" t="s">
        <v>26</v>
      </c>
      <c r="AI30" s="2">
        <v>4207740.6399999997</v>
      </c>
      <c r="AJ30" s="1">
        <v>1</v>
      </c>
      <c r="AK30" s="1" t="s">
        <v>26</v>
      </c>
      <c r="AL30" s="1" t="s">
        <v>26</v>
      </c>
      <c r="AM30" s="2">
        <v>216534029.19999999</v>
      </c>
      <c r="AN30" s="1">
        <v>1</v>
      </c>
      <c r="AO30" s="1" t="s">
        <v>26</v>
      </c>
      <c r="AP30" s="1" t="s">
        <v>26</v>
      </c>
      <c r="AQ30" s="2">
        <v>220741769.84</v>
      </c>
      <c r="AR30" s="1">
        <v>1</v>
      </c>
      <c r="AS30" s="1" t="s">
        <v>26</v>
      </c>
      <c r="AT30" s="1" t="s">
        <v>26</v>
      </c>
      <c r="AU30" s="2">
        <v>13023959.140000001</v>
      </c>
      <c r="AV30" s="1">
        <v>1</v>
      </c>
      <c r="AW30" s="1" t="s">
        <v>26</v>
      </c>
      <c r="AX30" s="1" t="s">
        <v>26</v>
      </c>
      <c r="AY30" s="2">
        <v>260815490.27000001</v>
      </c>
      <c r="AZ30" s="1">
        <v>0.66385220828545999</v>
      </c>
      <c r="BA30" s="1" t="s">
        <v>26</v>
      </c>
      <c r="BB30" s="1" t="s">
        <v>26</v>
      </c>
    </row>
    <row r="31" spans="1:56" s="7" customFormat="1">
      <c r="A31" s="5" t="s">
        <v>47</v>
      </c>
      <c r="B31" s="24" t="s">
        <v>25</v>
      </c>
      <c r="C31" s="10" t="s">
        <v>26</v>
      </c>
      <c r="D31" s="11" t="s">
        <v>26</v>
      </c>
      <c r="E31" s="11" t="s">
        <v>26</v>
      </c>
      <c r="F31" s="11" t="s">
        <v>26</v>
      </c>
      <c r="G31" s="10">
        <v>3533816.23</v>
      </c>
      <c r="H31" s="11">
        <v>2.4632845169999999E-5</v>
      </c>
      <c r="I31" s="11">
        <v>0.13500000000000001</v>
      </c>
      <c r="J31" s="11">
        <v>0.13500000000000001</v>
      </c>
      <c r="K31" s="10">
        <v>59459155.189999998</v>
      </c>
      <c r="L31" s="11">
        <v>2.1871717838809999E-2</v>
      </c>
      <c r="M31" s="11">
        <v>0.13500000000000001</v>
      </c>
      <c r="N31" s="11">
        <v>0.11310000000000001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 t="s">
        <v>26</v>
      </c>
      <c r="AB31" s="11" t="s">
        <v>26</v>
      </c>
      <c r="AC31" s="11" t="s">
        <v>26</v>
      </c>
      <c r="AD31" s="11" t="s">
        <v>26</v>
      </c>
      <c r="AE31" s="10">
        <v>62992971.420000002</v>
      </c>
      <c r="AF31" s="11">
        <v>1.0321307057E-4</v>
      </c>
      <c r="AG31" s="11">
        <v>0.13500000000000001</v>
      </c>
      <c r="AH31" s="11">
        <v>0.13489999999999999</v>
      </c>
      <c r="AI31" s="10">
        <v>3086873.43</v>
      </c>
      <c r="AJ31" s="11">
        <v>1.8588754693999999E-4</v>
      </c>
      <c r="AK31" s="11">
        <v>0.13500000000000001</v>
      </c>
      <c r="AL31" s="11">
        <v>0.1348</v>
      </c>
      <c r="AM31" s="10" t="s">
        <v>26</v>
      </c>
      <c r="AN31" s="11" t="s">
        <v>26</v>
      </c>
      <c r="AO31" s="11" t="s">
        <v>26</v>
      </c>
      <c r="AP31" s="11" t="s">
        <v>26</v>
      </c>
      <c r="AQ31" s="10">
        <v>3086873.43</v>
      </c>
      <c r="AR31" s="11">
        <v>7.7148204079999997E-5</v>
      </c>
      <c r="AS31" s="11">
        <v>0.13500000000000001</v>
      </c>
      <c r="AT31" s="11">
        <v>0.13489999999999999</v>
      </c>
      <c r="AU31" s="10" t="s">
        <v>26</v>
      </c>
      <c r="AV31" s="11" t="s">
        <v>26</v>
      </c>
      <c r="AW31" s="11" t="s">
        <v>26</v>
      </c>
      <c r="AX31" s="11" t="s">
        <v>26</v>
      </c>
      <c r="AY31" s="10">
        <v>66079844.850000001</v>
      </c>
      <c r="AZ31" s="11">
        <v>9.5317985989999996E-5</v>
      </c>
      <c r="BA31" s="11">
        <v>0.13500000000000001</v>
      </c>
      <c r="BB31" s="11">
        <v>0.13489999999999999</v>
      </c>
    </row>
    <row r="32" spans="1:56" s="7" customFormat="1">
      <c r="A32" s="3" t="s">
        <v>38</v>
      </c>
      <c r="B32" s="31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>
        <v>3533816.23</v>
      </c>
      <c r="H32" s="1">
        <v>1</v>
      </c>
      <c r="I32" s="1" t="s">
        <v>26</v>
      </c>
      <c r="J32" s="1" t="s">
        <v>26</v>
      </c>
      <c r="K32" s="2">
        <v>59459155.189999998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62992971.420000002</v>
      </c>
      <c r="AF32" s="1">
        <v>1</v>
      </c>
      <c r="AG32" s="1" t="s">
        <v>26</v>
      </c>
      <c r="AH32" s="1" t="s">
        <v>26</v>
      </c>
      <c r="AI32" s="2">
        <v>3086873.43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3086873.43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66079844.850000001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48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22832814.440000001</v>
      </c>
      <c r="L33" s="11">
        <v>8.3989231482E-3</v>
      </c>
      <c r="M33" s="11">
        <v>0.13500000000000001</v>
      </c>
      <c r="N33" s="11">
        <v>0.12659999999999999</v>
      </c>
      <c r="O33" s="10" t="s">
        <v>26</v>
      </c>
      <c r="P33" s="11" t="s">
        <v>26</v>
      </c>
      <c r="Q33" s="11" t="s">
        <v>26</v>
      </c>
      <c r="R33" s="11" t="s">
        <v>26</v>
      </c>
      <c r="S33" s="10">
        <v>100711555.98</v>
      </c>
      <c r="T33" s="11">
        <v>9.4085493303000002E-4</v>
      </c>
      <c r="U33" s="11">
        <v>0.13500000000000001</v>
      </c>
      <c r="V33" s="11">
        <v>0.1341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 t="s">
        <v>26</v>
      </c>
      <c r="AB33" s="11" t="s">
        <v>26</v>
      </c>
      <c r="AC33" s="11" t="s">
        <v>26</v>
      </c>
      <c r="AD33" s="11" t="s">
        <v>26</v>
      </c>
      <c r="AE33" s="10">
        <v>123544370.42</v>
      </c>
      <c r="AF33" s="11">
        <v>2.0242566011E-4</v>
      </c>
      <c r="AG33" s="11">
        <v>0.13500000000000001</v>
      </c>
      <c r="AH33" s="11">
        <v>0.1348</v>
      </c>
      <c r="AI33" s="10" t="s">
        <v>26</v>
      </c>
      <c r="AJ33" s="11" t="s">
        <v>26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 t="s">
        <v>26</v>
      </c>
      <c r="AR33" s="11" t="s">
        <v>26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123544370.42</v>
      </c>
      <c r="AZ33" s="11">
        <v>1.7820865948E-4</v>
      </c>
      <c r="BA33" s="11">
        <v>0.13500000000000001</v>
      </c>
      <c r="BB33" s="11">
        <v>0.1348</v>
      </c>
    </row>
    <row r="34" spans="1:54" s="7" customFormat="1">
      <c r="A34" s="3" t="s">
        <v>38</v>
      </c>
      <c r="B34" s="31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22832814.440000001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100711555.98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 t="s">
        <v>26</v>
      </c>
      <c r="AB34" s="1" t="s">
        <v>26</v>
      </c>
      <c r="AC34" s="1" t="s">
        <v>26</v>
      </c>
      <c r="AD34" s="1" t="s">
        <v>26</v>
      </c>
      <c r="AE34" s="2">
        <v>123544370.42</v>
      </c>
      <c r="AF34" s="1">
        <v>1</v>
      </c>
      <c r="AG34" s="1" t="s">
        <v>26</v>
      </c>
      <c r="AH34" s="1" t="s">
        <v>26</v>
      </c>
      <c r="AI34" s="2" t="s">
        <v>26</v>
      </c>
      <c r="AJ34" s="1" t="s">
        <v>26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 t="s">
        <v>26</v>
      </c>
      <c r="AR34" s="1" t="s">
        <v>26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123544370.42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49</v>
      </c>
      <c r="B35" s="24" t="s">
        <v>25</v>
      </c>
      <c r="C35" s="10">
        <v>8853173.5500000007</v>
      </c>
      <c r="D35" s="11">
        <v>1.5780253620099999E-3</v>
      </c>
      <c r="E35" s="11">
        <v>0.13500000000000001</v>
      </c>
      <c r="F35" s="11">
        <v>0.13339999999999999</v>
      </c>
      <c r="G35" s="10">
        <v>266671177.08000001</v>
      </c>
      <c r="H35" s="11">
        <v>1.85886005102E-3</v>
      </c>
      <c r="I35" s="11">
        <v>0.09</v>
      </c>
      <c r="J35" s="11">
        <v>8.8099999999999998E-2</v>
      </c>
      <c r="K35" s="10" t="s">
        <v>26</v>
      </c>
      <c r="L35" s="11" t="s">
        <v>26</v>
      </c>
      <c r="M35" s="11" t="s">
        <v>26</v>
      </c>
      <c r="N35" s="11" t="s">
        <v>26</v>
      </c>
      <c r="O35" s="10">
        <v>609457083.63</v>
      </c>
      <c r="P35" s="11">
        <v>2.8533452827499998E-3</v>
      </c>
      <c r="Q35" s="11">
        <v>9.3399999999999997E-2</v>
      </c>
      <c r="R35" s="11">
        <v>9.0499999999999997E-2</v>
      </c>
      <c r="S35" s="10">
        <v>78001591.790000007</v>
      </c>
      <c r="T35" s="11">
        <v>7.2869673897000002E-4</v>
      </c>
      <c r="U35" s="11">
        <v>0.13500000000000001</v>
      </c>
      <c r="V35" s="11">
        <v>0.1343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563340734.75</v>
      </c>
      <c r="AB35" s="11">
        <v>4.2705644793800002E-3</v>
      </c>
      <c r="AC35" s="11">
        <v>0.09</v>
      </c>
      <c r="AD35" s="11">
        <v>8.5699999999999998E-2</v>
      </c>
      <c r="AE35" s="10">
        <v>1526323760.8</v>
      </c>
      <c r="AF35" s="11">
        <v>2.5008593574600002E-3</v>
      </c>
      <c r="AG35" s="11">
        <v>9.3899999999999997E-2</v>
      </c>
      <c r="AH35" s="11">
        <v>9.1399999999999995E-2</v>
      </c>
      <c r="AI35" s="10">
        <v>51944791.5</v>
      </c>
      <c r="AJ35" s="11">
        <v>3.1280485213200002E-3</v>
      </c>
      <c r="AK35" s="11">
        <v>0.09</v>
      </c>
      <c r="AL35" s="11">
        <v>8.6900000000000005E-2</v>
      </c>
      <c r="AM35" s="10">
        <v>1784307168.3900001</v>
      </c>
      <c r="AN35" s="11">
        <v>7.6232508430600004E-2</v>
      </c>
      <c r="AO35" s="11">
        <v>0.13500000000000001</v>
      </c>
      <c r="AP35" s="11">
        <v>5.8799999999999998E-2</v>
      </c>
      <c r="AQ35" s="10">
        <v>1836251959.8900001</v>
      </c>
      <c r="AR35" s="11">
        <v>4.5892241505040003E-2</v>
      </c>
      <c r="AS35" s="11">
        <v>0.13370000000000001</v>
      </c>
      <c r="AT35" s="11">
        <v>8.7800000000000003E-2</v>
      </c>
      <c r="AU35" s="10">
        <v>16420504.59</v>
      </c>
      <c r="AV35" s="11">
        <v>3.8254060861000002E-4</v>
      </c>
      <c r="AW35" s="11">
        <v>0.13500000000000001</v>
      </c>
      <c r="AX35" s="11">
        <v>0.1346</v>
      </c>
      <c r="AY35" s="10">
        <v>3378996225.2800002</v>
      </c>
      <c r="AZ35" s="11">
        <v>4.8740900588399999E-3</v>
      </c>
      <c r="BA35" s="11">
        <v>0.1158</v>
      </c>
      <c r="BB35" s="11">
        <v>0.1109</v>
      </c>
    </row>
    <row r="36" spans="1:54" s="7" customFormat="1">
      <c r="A36" s="3" t="s">
        <v>36</v>
      </c>
      <c r="B36" s="31" t="s">
        <v>46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266671177.08000001</v>
      </c>
      <c r="H36" s="1">
        <v>1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563340734.75</v>
      </c>
      <c r="P36" s="1">
        <v>0.92433208158755997</v>
      </c>
      <c r="Q36" s="1" t="s">
        <v>26</v>
      </c>
      <c r="R36" s="1" t="s">
        <v>26</v>
      </c>
      <c r="S36" s="2" t="s">
        <v>26</v>
      </c>
      <c r="T36" s="1" t="s">
        <v>26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563340734.75</v>
      </c>
      <c r="AB36" s="1">
        <v>1</v>
      </c>
      <c r="AC36" s="1" t="s">
        <v>26</v>
      </c>
      <c r="AD36" s="1" t="s">
        <v>26</v>
      </c>
      <c r="AE36" s="2">
        <v>1393352646.5799999</v>
      </c>
      <c r="AF36" s="1">
        <v>0.91288144911646996</v>
      </c>
      <c r="AG36" s="1" t="s">
        <v>26</v>
      </c>
      <c r="AH36" s="1" t="s">
        <v>26</v>
      </c>
      <c r="AI36" s="2">
        <v>51944791.5</v>
      </c>
      <c r="AJ36" s="1">
        <v>1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51944791.5</v>
      </c>
      <c r="AR36" s="1">
        <v>2.8288487982399999E-2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1445297438.0799999</v>
      </c>
      <c r="AZ36" s="1">
        <v>0.42772981729515003</v>
      </c>
      <c r="BA36" s="1" t="s">
        <v>26</v>
      </c>
      <c r="BB36" s="1" t="s">
        <v>26</v>
      </c>
    </row>
    <row r="37" spans="1:54" s="7" customFormat="1">
      <c r="A37" s="3" t="s">
        <v>38</v>
      </c>
      <c r="B37" s="31" t="s">
        <v>43</v>
      </c>
      <c r="C37" s="2">
        <v>8853173.5500000007</v>
      </c>
      <c r="D37" s="1">
        <v>1</v>
      </c>
      <c r="E37" s="1" t="s">
        <v>26</v>
      </c>
      <c r="F37" s="1" t="s">
        <v>26</v>
      </c>
      <c r="G37" s="2" t="s">
        <v>26</v>
      </c>
      <c r="H37" s="1" t="s">
        <v>26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46116348.880000003</v>
      </c>
      <c r="P37" s="1">
        <v>7.5667918412439999E-2</v>
      </c>
      <c r="Q37" s="1" t="s">
        <v>26</v>
      </c>
      <c r="R37" s="1" t="s">
        <v>26</v>
      </c>
      <c r="S37" s="2">
        <v>78001591.790000007</v>
      </c>
      <c r="T37" s="1">
        <v>1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132971114.22</v>
      </c>
      <c r="AF37" s="1">
        <v>8.7118550883530002E-2</v>
      </c>
      <c r="AG37" s="1" t="s">
        <v>26</v>
      </c>
      <c r="AH37" s="1" t="s">
        <v>26</v>
      </c>
      <c r="AI37" s="2" t="s">
        <v>26</v>
      </c>
      <c r="AJ37" s="1" t="s">
        <v>26</v>
      </c>
      <c r="AK37" s="1" t="s">
        <v>26</v>
      </c>
      <c r="AL37" s="1" t="s">
        <v>26</v>
      </c>
      <c r="AM37" s="2">
        <v>1784307168.3900001</v>
      </c>
      <c r="AN37" s="1">
        <v>1</v>
      </c>
      <c r="AO37" s="1" t="s">
        <v>26</v>
      </c>
      <c r="AP37" s="1" t="s">
        <v>26</v>
      </c>
      <c r="AQ37" s="2">
        <v>1784307168.3900001</v>
      </c>
      <c r="AR37" s="1">
        <v>0.97171151201759998</v>
      </c>
      <c r="AS37" s="1" t="s">
        <v>26</v>
      </c>
      <c r="AT37" s="1" t="s">
        <v>26</v>
      </c>
      <c r="AU37" s="2">
        <v>16420504.59</v>
      </c>
      <c r="AV37" s="1">
        <v>1</v>
      </c>
      <c r="AW37" s="1" t="s">
        <v>26</v>
      </c>
      <c r="AX37" s="1" t="s">
        <v>26</v>
      </c>
      <c r="AY37" s="2">
        <v>1933698787.2</v>
      </c>
      <c r="AZ37" s="1">
        <v>0.57227018270484997</v>
      </c>
      <c r="BA37" s="1" t="s">
        <v>26</v>
      </c>
      <c r="BB37" s="1" t="s">
        <v>26</v>
      </c>
    </row>
    <row r="38" spans="1:54" s="7" customFormat="1">
      <c r="A38" s="5" t="s">
        <v>50</v>
      </c>
      <c r="B38" s="24" t="s">
        <v>25</v>
      </c>
      <c r="C38" s="10" t="s">
        <v>26</v>
      </c>
      <c r="D38" s="11" t="s">
        <v>26</v>
      </c>
      <c r="E38" s="11" t="s">
        <v>26</v>
      </c>
      <c r="F38" s="11" t="s">
        <v>26</v>
      </c>
      <c r="G38" s="10">
        <v>151596079.46000001</v>
      </c>
      <c r="H38" s="11">
        <v>1.0567167366399999E-3</v>
      </c>
      <c r="I38" s="11">
        <v>0.13500000000000001</v>
      </c>
      <c r="J38" s="11">
        <v>0.13389999999999999</v>
      </c>
      <c r="K38" s="10" t="s">
        <v>26</v>
      </c>
      <c r="L38" s="11" t="s">
        <v>26</v>
      </c>
      <c r="M38" s="11" t="s">
        <v>26</v>
      </c>
      <c r="N38" s="11" t="s">
        <v>26</v>
      </c>
      <c r="O38" s="10">
        <v>101391437.69</v>
      </c>
      <c r="P38" s="11">
        <v>4.7469262104999998E-4</v>
      </c>
      <c r="Q38" s="11">
        <v>0.13500000000000001</v>
      </c>
      <c r="R38" s="11">
        <v>0.13450000000000001</v>
      </c>
      <c r="S38" s="10">
        <v>119261161.16</v>
      </c>
      <c r="T38" s="11">
        <v>1.1141467401999999E-3</v>
      </c>
      <c r="U38" s="11">
        <v>0.13500000000000001</v>
      </c>
      <c r="V38" s="11">
        <v>0.13389999999999999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10">
        <v>372248678.31</v>
      </c>
      <c r="AF38" s="11">
        <v>6.0992406353000002E-4</v>
      </c>
      <c r="AG38" s="11">
        <v>0.13500000000000001</v>
      </c>
      <c r="AH38" s="11">
        <v>0.13439999999999999</v>
      </c>
      <c r="AI38" s="10">
        <v>148961392.13</v>
      </c>
      <c r="AJ38" s="11">
        <v>8.9702634071899996E-3</v>
      </c>
      <c r="AK38" s="11">
        <v>0.13500000000000001</v>
      </c>
      <c r="AL38" s="11">
        <v>0.126</v>
      </c>
      <c r="AM38" s="10" t="s">
        <v>26</v>
      </c>
      <c r="AN38" s="11" t="s">
        <v>26</v>
      </c>
      <c r="AO38" s="11" t="s">
        <v>26</v>
      </c>
      <c r="AP38" s="11" t="s">
        <v>26</v>
      </c>
      <c r="AQ38" s="10">
        <v>148961392.13</v>
      </c>
      <c r="AR38" s="11">
        <v>3.7228944240099999E-3</v>
      </c>
      <c r="AS38" s="11">
        <v>0.13500000000000001</v>
      </c>
      <c r="AT38" s="11">
        <v>0.1313</v>
      </c>
      <c r="AU38" s="10">
        <v>98522923.239999995</v>
      </c>
      <c r="AV38" s="11">
        <v>2.29524122181E-3</v>
      </c>
      <c r="AW38" s="11">
        <v>0.13500000000000001</v>
      </c>
      <c r="AX38" s="11">
        <v>0.13270000000000001</v>
      </c>
      <c r="AY38" s="10">
        <v>619732993.67999995</v>
      </c>
      <c r="AZ38" s="11">
        <v>8.9394430246E-4</v>
      </c>
      <c r="BA38" s="11">
        <v>0.13500000000000001</v>
      </c>
      <c r="BB38" s="11">
        <v>0.1341</v>
      </c>
    </row>
    <row r="39" spans="1:54" s="7" customFormat="1">
      <c r="A39" s="3" t="s">
        <v>38</v>
      </c>
      <c r="B39" s="31" t="s">
        <v>43</v>
      </c>
      <c r="C39" s="2" t="s">
        <v>26</v>
      </c>
      <c r="D39" s="1" t="s">
        <v>26</v>
      </c>
      <c r="E39" s="1" t="s">
        <v>26</v>
      </c>
      <c r="F39" s="1" t="s">
        <v>26</v>
      </c>
      <c r="G39" s="2">
        <v>151596079.46000001</v>
      </c>
      <c r="H39" s="1">
        <v>1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101391437.69</v>
      </c>
      <c r="P39" s="1">
        <v>1</v>
      </c>
      <c r="Q39" s="1" t="s">
        <v>26</v>
      </c>
      <c r="R39" s="1" t="s">
        <v>26</v>
      </c>
      <c r="S39" s="2">
        <v>119261161.16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372248678.31</v>
      </c>
      <c r="AF39" s="1">
        <v>1</v>
      </c>
      <c r="AG39" s="1" t="s">
        <v>26</v>
      </c>
      <c r="AH39" s="1" t="s">
        <v>26</v>
      </c>
      <c r="AI39" s="2">
        <v>148961392.13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148961392.13</v>
      </c>
      <c r="AR39" s="1">
        <v>1</v>
      </c>
      <c r="AS39" s="1" t="s">
        <v>26</v>
      </c>
      <c r="AT39" s="1" t="s">
        <v>26</v>
      </c>
      <c r="AU39" s="2">
        <v>98522923.239999995</v>
      </c>
      <c r="AV39" s="1">
        <v>1</v>
      </c>
      <c r="AW39" s="1" t="s">
        <v>26</v>
      </c>
      <c r="AX39" s="1" t="s">
        <v>26</v>
      </c>
      <c r="AY39" s="2">
        <v>619732993.67999995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51</v>
      </c>
      <c r="B40" s="24" t="s">
        <v>25</v>
      </c>
      <c r="C40" s="10">
        <v>24649997.530000001</v>
      </c>
      <c r="D40" s="11">
        <v>4.39371498323E-3</v>
      </c>
      <c r="E40" s="11">
        <v>0.13500000000000001</v>
      </c>
      <c r="F40" s="11">
        <v>0.13059999999999999</v>
      </c>
      <c r="G40" s="10">
        <v>2705141870</v>
      </c>
      <c r="H40" s="11">
        <v>1.8856481639880001E-2</v>
      </c>
      <c r="I40" s="11">
        <v>0.13500000000000001</v>
      </c>
      <c r="J40" s="11">
        <v>0.11609999999999999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4896538995.0500002</v>
      </c>
      <c r="P40" s="11">
        <v>2.2924528762720001E-2</v>
      </c>
      <c r="Q40" s="11">
        <v>0.05</v>
      </c>
      <c r="R40" s="11">
        <v>2.7099999999999999E-2</v>
      </c>
      <c r="S40" s="10">
        <v>7935262298.9099998</v>
      </c>
      <c r="T40" s="11">
        <v>7.4131817408180006E-2</v>
      </c>
      <c r="U40" s="11">
        <v>0.1459</v>
      </c>
      <c r="V40" s="11">
        <v>7.1800000000000003E-2</v>
      </c>
      <c r="W40" s="10">
        <v>583549028.74000001</v>
      </c>
      <c r="X40" s="11">
        <v>9.7544144622499995E-2</v>
      </c>
      <c r="Y40" s="11">
        <v>0.15</v>
      </c>
      <c r="Z40" s="11">
        <v>5.2499999999999998E-2</v>
      </c>
      <c r="AA40" s="10">
        <v>3956001114.5</v>
      </c>
      <c r="AB40" s="11">
        <v>2.9989590309800002E-2</v>
      </c>
      <c r="AC40" s="11">
        <v>0.13500000000000001</v>
      </c>
      <c r="AD40" s="11">
        <v>0.105</v>
      </c>
      <c r="AE40" s="10">
        <v>20101143304.73</v>
      </c>
      <c r="AF40" s="11">
        <v>3.2935431931539999E-2</v>
      </c>
      <c r="AG40" s="11">
        <v>0.1399</v>
      </c>
      <c r="AH40" s="11">
        <v>0.107</v>
      </c>
      <c r="AI40" s="10">
        <v>915131737.88</v>
      </c>
      <c r="AJ40" s="11">
        <v>5.5108056011559998E-2</v>
      </c>
      <c r="AK40" s="11">
        <v>0.14610000000000001</v>
      </c>
      <c r="AL40" s="11">
        <v>9.0999999999999998E-2</v>
      </c>
      <c r="AM40" s="10">
        <v>989087086.30999994</v>
      </c>
      <c r="AN40" s="11">
        <v>4.2257628608730002E-2</v>
      </c>
      <c r="AO40" s="11">
        <v>0.15</v>
      </c>
      <c r="AP40" s="11">
        <v>0.1077</v>
      </c>
      <c r="AQ40" s="10">
        <v>1904218824.1900001</v>
      </c>
      <c r="AR40" s="11">
        <v>4.759089278979E-2</v>
      </c>
      <c r="AS40" s="11">
        <v>0.14810000000000001</v>
      </c>
      <c r="AT40" s="11">
        <v>0.10050000000000001</v>
      </c>
      <c r="AU40" s="10">
        <v>2118552564.9100001</v>
      </c>
      <c r="AV40" s="11">
        <v>4.9354901556429999E-2</v>
      </c>
      <c r="AW40" s="11">
        <v>0.1421</v>
      </c>
      <c r="AX40" s="11">
        <v>9.2700000000000005E-2</v>
      </c>
      <c r="AY40" s="10">
        <v>24123914693.830002</v>
      </c>
      <c r="AZ40" s="11">
        <v>3.4797947363739999E-2</v>
      </c>
      <c r="BA40" s="11">
        <v>0.14069999999999999</v>
      </c>
      <c r="BB40" s="11">
        <v>0.10589999999999999</v>
      </c>
    </row>
    <row r="41" spans="1:54" s="7" customFormat="1">
      <c r="A41" s="3" t="s">
        <v>36</v>
      </c>
      <c r="B41" s="31" t="s">
        <v>37</v>
      </c>
      <c r="C41" s="2">
        <v>24649997.530000001</v>
      </c>
      <c r="D41" s="1">
        <v>1</v>
      </c>
      <c r="E41" s="1" t="s">
        <v>26</v>
      </c>
      <c r="F41" s="1" t="s">
        <v>26</v>
      </c>
      <c r="G41" s="2">
        <v>2705141870</v>
      </c>
      <c r="H41" s="1">
        <v>1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4699668696.6099997</v>
      </c>
      <c r="P41" s="1">
        <v>0.95979398946091998</v>
      </c>
      <c r="Q41" s="1" t="s">
        <v>26</v>
      </c>
      <c r="R41" s="1" t="s">
        <v>26</v>
      </c>
      <c r="S41" s="2">
        <v>2164587413.9699998</v>
      </c>
      <c r="T41" s="1">
        <v>0.27278082720307001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3956001114.5</v>
      </c>
      <c r="AB41" s="1">
        <v>1</v>
      </c>
      <c r="AC41" s="1" t="s">
        <v>26</v>
      </c>
      <c r="AD41" s="1" t="s">
        <v>26</v>
      </c>
      <c r="AE41" s="2">
        <v>13550049092.610001</v>
      </c>
      <c r="AF41" s="1">
        <v>0.67409345265557996</v>
      </c>
      <c r="AG41" s="1" t="s">
        <v>26</v>
      </c>
      <c r="AH41" s="1" t="s">
        <v>26</v>
      </c>
      <c r="AI41" s="2">
        <v>240125339.40000001</v>
      </c>
      <c r="AJ41" s="1">
        <v>0.26239428648412999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240125339.40000001</v>
      </c>
      <c r="AR41" s="1">
        <v>0.12610175697751</v>
      </c>
      <c r="AS41" s="1" t="s">
        <v>26</v>
      </c>
      <c r="AT41" s="1" t="s">
        <v>26</v>
      </c>
      <c r="AU41" s="2">
        <v>1110297478.73</v>
      </c>
      <c r="AV41" s="1">
        <v>0.52408304477315004</v>
      </c>
      <c r="AW41" s="1" t="s">
        <v>26</v>
      </c>
      <c r="AX41" s="1" t="s">
        <v>26</v>
      </c>
      <c r="AY41" s="2">
        <v>14900471910.74</v>
      </c>
      <c r="AZ41" s="1">
        <v>0.61766392809170001</v>
      </c>
      <c r="BA41" s="1" t="s">
        <v>26</v>
      </c>
      <c r="BB41" s="1" t="s">
        <v>26</v>
      </c>
    </row>
    <row r="42" spans="1:54" s="7" customFormat="1">
      <c r="A42" s="3" t="s">
        <v>38</v>
      </c>
      <c r="B42" s="31" t="s">
        <v>39</v>
      </c>
      <c r="C42" s="2" t="s">
        <v>26</v>
      </c>
      <c r="D42" s="1" t="s">
        <v>26</v>
      </c>
      <c r="E42" s="1" t="s">
        <v>26</v>
      </c>
      <c r="F42" s="1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196870298.44</v>
      </c>
      <c r="P42" s="1">
        <v>4.0206010539080003E-2</v>
      </c>
      <c r="Q42" s="1" t="s">
        <v>26</v>
      </c>
      <c r="R42" s="1" t="s">
        <v>26</v>
      </c>
      <c r="S42" s="2">
        <v>5770674884.9399996</v>
      </c>
      <c r="T42" s="1">
        <v>0.72721917279693005</v>
      </c>
      <c r="U42" s="1" t="s">
        <v>26</v>
      </c>
      <c r="V42" s="1" t="s">
        <v>26</v>
      </c>
      <c r="W42" s="2">
        <v>583549028.74000001</v>
      </c>
      <c r="X42" s="1">
        <v>1</v>
      </c>
      <c r="Y42" s="1" t="s">
        <v>26</v>
      </c>
      <c r="Z42" s="1" t="s">
        <v>26</v>
      </c>
      <c r="AA42" s="2" t="s">
        <v>26</v>
      </c>
      <c r="AB42" s="1" t="s">
        <v>26</v>
      </c>
      <c r="AC42" s="1" t="s">
        <v>26</v>
      </c>
      <c r="AD42" s="1" t="s">
        <v>26</v>
      </c>
      <c r="AE42" s="2">
        <v>6551094212.1199999</v>
      </c>
      <c r="AF42" s="1">
        <v>0.32590654734441998</v>
      </c>
      <c r="AG42" s="1" t="s">
        <v>26</v>
      </c>
      <c r="AH42" s="1" t="s">
        <v>26</v>
      </c>
      <c r="AI42" s="2">
        <v>675006398.48000002</v>
      </c>
      <c r="AJ42" s="1">
        <v>0.73760571351587001</v>
      </c>
      <c r="AK42" s="1" t="s">
        <v>26</v>
      </c>
      <c r="AL42" s="1" t="s">
        <v>26</v>
      </c>
      <c r="AM42" s="2">
        <v>989087086.30999994</v>
      </c>
      <c r="AN42" s="1">
        <v>1</v>
      </c>
      <c r="AO42" s="1" t="s">
        <v>26</v>
      </c>
      <c r="AP42" s="1" t="s">
        <v>26</v>
      </c>
      <c r="AQ42" s="2">
        <v>1664093484.79</v>
      </c>
      <c r="AR42" s="1">
        <v>0.87389824302248997</v>
      </c>
      <c r="AS42" s="1" t="s">
        <v>26</v>
      </c>
      <c r="AT42" s="1" t="s">
        <v>26</v>
      </c>
      <c r="AU42" s="2">
        <v>1008255086.1799999</v>
      </c>
      <c r="AV42" s="1">
        <v>0.47591695522685001</v>
      </c>
      <c r="AW42" s="1" t="s">
        <v>26</v>
      </c>
      <c r="AX42" s="1" t="s">
        <v>26</v>
      </c>
      <c r="AY42" s="2">
        <v>9223442783.0900002</v>
      </c>
      <c r="AZ42" s="1">
        <v>0.38233607190829999</v>
      </c>
      <c r="BA42" s="1" t="s">
        <v>26</v>
      </c>
      <c r="BB42" s="1" t="s">
        <v>26</v>
      </c>
    </row>
    <row r="43" spans="1:54" s="7" customFormat="1">
      <c r="A43" s="5" t="s">
        <v>52</v>
      </c>
      <c r="B43" s="24" t="s">
        <v>25</v>
      </c>
      <c r="C43" s="10" t="s">
        <v>26</v>
      </c>
      <c r="D43" s="11" t="s">
        <v>26</v>
      </c>
      <c r="E43" s="11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>
        <v>70900448.209999993</v>
      </c>
      <c r="L43" s="11">
        <v>2.6080333515319999E-2</v>
      </c>
      <c r="M43" s="11">
        <v>0.15</v>
      </c>
      <c r="N43" s="11">
        <v>0.1239</v>
      </c>
      <c r="O43" s="10" t="s">
        <v>26</v>
      </c>
      <c r="P43" s="11" t="s">
        <v>26</v>
      </c>
      <c r="Q43" s="11" t="s">
        <v>26</v>
      </c>
      <c r="R43" s="11" t="s">
        <v>26</v>
      </c>
      <c r="S43" s="10" t="s">
        <v>26</v>
      </c>
      <c r="T43" s="11" t="s">
        <v>26</v>
      </c>
      <c r="U43" s="11" t="s">
        <v>26</v>
      </c>
      <c r="V43" s="11" t="s">
        <v>26</v>
      </c>
      <c r="W43" s="10" t="s">
        <v>26</v>
      </c>
      <c r="X43" s="11" t="s">
        <v>26</v>
      </c>
      <c r="Y43" s="11" t="s">
        <v>26</v>
      </c>
      <c r="Z43" s="11" t="s">
        <v>26</v>
      </c>
      <c r="AA43" s="10">
        <v>183244361.21000001</v>
      </c>
      <c r="AB43" s="11">
        <v>1.3891359380900001E-3</v>
      </c>
      <c r="AC43" s="11">
        <v>0.15</v>
      </c>
      <c r="AD43" s="11">
        <v>0.14860000000000001</v>
      </c>
      <c r="AE43" s="10">
        <v>254144809.41999999</v>
      </c>
      <c r="AF43" s="11">
        <v>4.1641258631000002E-4</v>
      </c>
      <c r="AG43" s="11">
        <v>0.15</v>
      </c>
      <c r="AH43" s="11">
        <v>0.14960000000000001</v>
      </c>
      <c r="AI43" s="10" t="s">
        <v>26</v>
      </c>
      <c r="AJ43" s="11" t="s">
        <v>26</v>
      </c>
      <c r="AK43" s="11" t="s">
        <v>26</v>
      </c>
      <c r="AL43" s="11" t="s">
        <v>26</v>
      </c>
      <c r="AM43" s="10">
        <v>133569126.75</v>
      </c>
      <c r="AN43" s="11">
        <v>5.7065900767700002E-3</v>
      </c>
      <c r="AO43" s="11">
        <v>0.15</v>
      </c>
      <c r="AP43" s="11">
        <v>0.14430000000000001</v>
      </c>
      <c r="AQ43" s="10">
        <v>133569126.75</v>
      </c>
      <c r="AR43" s="11">
        <v>3.3382056255500002E-3</v>
      </c>
      <c r="AS43" s="11">
        <v>0.15</v>
      </c>
      <c r="AT43" s="11">
        <v>0.1467</v>
      </c>
      <c r="AU43" s="10" t="s">
        <v>26</v>
      </c>
      <c r="AV43" s="11" t="s">
        <v>26</v>
      </c>
      <c r="AW43" s="11" t="s">
        <v>26</v>
      </c>
      <c r="AX43" s="11" t="s">
        <v>26</v>
      </c>
      <c r="AY43" s="10">
        <v>387713936.17000002</v>
      </c>
      <c r="AZ43" s="11">
        <v>5.5926450222999996E-4</v>
      </c>
      <c r="BA43" s="11">
        <v>0.15</v>
      </c>
      <c r="BB43" s="11">
        <v>0.14940000000000001</v>
      </c>
    </row>
    <row r="44" spans="1:54" s="7" customFormat="1">
      <c r="A44" s="3" t="s">
        <v>38</v>
      </c>
      <c r="B44" s="31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70900448.209999993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183244361.21000001</v>
      </c>
      <c r="AB44" s="1">
        <v>1</v>
      </c>
      <c r="AC44" s="1" t="s">
        <v>26</v>
      </c>
      <c r="AD44" s="1" t="s">
        <v>26</v>
      </c>
      <c r="AE44" s="2">
        <v>254144809.41999999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133569126.75</v>
      </c>
      <c r="AN44" s="1">
        <v>1</v>
      </c>
      <c r="AO44" s="1" t="s">
        <v>26</v>
      </c>
      <c r="AP44" s="1" t="s">
        <v>26</v>
      </c>
      <c r="AQ44" s="2">
        <v>133569126.75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387713936.17000002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53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>
        <v>895257989.67999995</v>
      </c>
      <c r="P45" s="11">
        <v>4.1914028572499996E-3</v>
      </c>
      <c r="Q45" s="11">
        <v>0.15</v>
      </c>
      <c r="R45" s="11">
        <v>0.14580000000000001</v>
      </c>
      <c r="S45" s="10" t="s">
        <v>26</v>
      </c>
      <c r="T45" s="11" t="s">
        <v>26</v>
      </c>
      <c r="U45" s="11" t="s">
        <v>26</v>
      </c>
      <c r="V45" s="11" t="s">
        <v>26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 t="s">
        <v>26</v>
      </c>
      <c r="AB45" s="11" t="s">
        <v>26</v>
      </c>
      <c r="AC45" s="11" t="s">
        <v>26</v>
      </c>
      <c r="AD45" s="11" t="s">
        <v>26</v>
      </c>
      <c r="AE45" s="10">
        <v>895257989.67999995</v>
      </c>
      <c r="AF45" s="11">
        <v>1.4668672390099999E-3</v>
      </c>
      <c r="AG45" s="11">
        <v>0.15</v>
      </c>
      <c r="AH45" s="11">
        <v>0.14849999999999999</v>
      </c>
      <c r="AI45" s="10">
        <v>292613130.62</v>
      </c>
      <c r="AJ45" s="11">
        <v>1.7620786302620001E-2</v>
      </c>
      <c r="AK45" s="11">
        <v>0.15</v>
      </c>
      <c r="AL45" s="11">
        <v>0.13239999999999999</v>
      </c>
      <c r="AM45" s="10" t="s">
        <v>26</v>
      </c>
      <c r="AN45" s="11" t="s">
        <v>26</v>
      </c>
      <c r="AO45" s="11" t="s">
        <v>26</v>
      </c>
      <c r="AP45" s="11" t="s">
        <v>26</v>
      </c>
      <c r="AQ45" s="10">
        <v>292613130.62</v>
      </c>
      <c r="AR45" s="11">
        <v>7.3130881552699997E-3</v>
      </c>
      <c r="AS45" s="11">
        <v>0.15</v>
      </c>
      <c r="AT45" s="11">
        <v>0.14269999999999999</v>
      </c>
      <c r="AU45" s="10">
        <v>126053388.59</v>
      </c>
      <c r="AV45" s="11">
        <v>2.93660525009E-3</v>
      </c>
      <c r="AW45" s="11">
        <v>0.15</v>
      </c>
      <c r="AX45" s="11">
        <v>0.14710000000000001</v>
      </c>
      <c r="AY45" s="10">
        <v>1313924508.8900001</v>
      </c>
      <c r="AZ45" s="11">
        <v>1.8952925543200001E-3</v>
      </c>
      <c r="BA45" s="11">
        <v>0.15</v>
      </c>
      <c r="BB45" s="11">
        <v>0.14810000000000001</v>
      </c>
    </row>
    <row r="46" spans="1:54" s="7" customFormat="1">
      <c r="A46" s="3" t="s">
        <v>38</v>
      </c>
      <c r="B46" s="31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895257989.67999995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895257989.67999995</v>
      </c>
      <c r="AF46" s="1">
        <v>1</v>
      </c>
      <c r="AG46" s="1" t="s">
        <v>26</v>
      </c>
      <c r="AH46" s="1" t="s">
        <v>26</v>
      </c>
      <c r="AI46" s="2">
        <v>292613130.62</v>
      </c>
      <c r="AJ46" s="1">
        <v>1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>
        <v>292613130.62</v>
      </c>
      <c r="AR46" s="1">
        <v>1</v>
      </c>
      <c r="AS46" s="1" t="s">
        <v>26</v>
      </c>
      <c r="AT46" s="1" t="s">
        <v>26</v>
      </c>
      <c r="AU46" s="2">
        <v>126053388.59</v>
      </c>
      <c r="AV46" s="1">
        <v>1</v>
      </c>
      <c r="AW46" s="1" t="s">
        <v>26</v>
      </c>
      <c r="AX46" s="1" t="s">
        <v>26</v>
      </c>
      <c r="AY46" s="2">
        <v>1313924508.8900001</v>
      </c>
      <c r="AZ46" s="1">
        <v>1</v>
      </c>
      <c r="BA46" s="1" t="s">
        <v>26</v>
      </c>
      <c r="BB46" s="1" t="s">
        <v>26</v>
      </c>
    </row>
    <row r="47" spans="1:54">
      <c r="A47" s="13" t="s">
        <v>54</v>
      </c>
      <c r="B47" s="25" t="s">
        <v>25</v>
      </c>
      <c r="C47" s="55">
        <v>74187669.349999994</v>
      </c>
      <c r="D47" s="56">
        <v>1.3223509414030001E-2</v>
      </c>
      <c r="E47" s="56" t="s">
        <v>26</v>
      </c>
      <c r="F47" s="56" t="s">
        <v>26</v>
      </c>
      <c r="G47" s="55">
        <v>391105124.19999999</v>
      </c>
      <c r="H47" s="56">
        <v>2.7262402299599998E-3</v>
      </c>
      <c r="I47" s="56" t="s">
        <v>26</v>
      </c>
      <c r="J47" s="56" t="s">
        <v>26</v>
      </c>
      <c r="K47" s="55">
        <v>98401855.329999998</v>
      </c>
      <c r="L47" s="56">
        <v>3.6196572381770001E-2</v>
      </c>
      <c r="M47" s="56" t="s">
        <v>26</v>
      </c>
      <c r="N47" s="56" t="s">
        <v>26</v>
      </c>
      <c r="O47" s="55">
        <v>3732869432.9899998</v>
      </c>
      <c r="P47" s="56">
        <v>1.7476481402590002E-2</v>
      </c>
      <c r="Q47" s="56" t="s">
        <v>26</v>
      </c>
      <c r="R47" s="56" t="s">
        <v>26</v>
      </c>
      <c r="S47" s="55">
        <v>1764791298.6500001</v>
      </c>
      <c r="T47" s="56">
        <v>1.6486813086570001E-2</v>
      </c>
      <c r="U47" s="56" t="s">
        <v>26</v>
      </c>
      <c r="V47" s="56" t="s">
        <v>26</v>
      </c>
      <c r="W47" s="55">
        <v>119303917.91</v>
      </c>
      <c r="X47" s="56">
        <v>1.9942452218229999E-2</v>
      </c>
      <c r="Y47" s="56" t="s">
        <v>26</v>
      </c>
      <c r="Z47" s="56" t="s">
        <v>26</v>
      </c>
      <c r="AA47" s="55">
        <v>2605038679.7399998</v>
      </c>
      <c r="AB47" s="56">
        <v>1.9748235777849999E-2</v>
      </c>
      <c r="AC47" s="56" t="s">
        <v>26</v>
      </c>
      <c r="AD47" s="56" t="s">
        <v>26</v>
      </c>
      <c r="AE47" s="55">
        <v>8785697978.1700001</v>
      </c>
      <c r="AF47" s="56">
        <v>1.43952387854E-2</v>
      </c>
      <c r="AG47" s="56" t="s">
        <v>26</v>
      </c>
      <c r="AH47" s="56" t="s">
        <v>26</v>
      </c>
      <c r="AI47" s="55">
        <v>206887514.08000001</v>
      </c>
      <c r="AJ47" s="56">
        <v>1.2458499953709999E-2</v>
      </c>
      <c r="AK47" s="56" t="s">
        <v>26</v>
      </c>
      <c r="AL47" s="56" t="s">
        <v>26</v>
      </c>
      <c r="AM47" s="55">
        <v>234160385.91</v>
      </c>
      <c r="AN47" s="56">
        <v>1.000423800858E-2</v>
      </c>
      <c r="AO47" s="56" t="s">
        <v>26</v>
      </c>
      <c r="AP47" s="56" t="s">
        <v>26</v>
      </c>
      <c r="AQ47" s="55">
        <v>441047899.99000001</v>
      </c>
      <c r="AR47" s="56">
        <v>1.102282104186E-2</v>
      </c>
      <c r="AS47" s="56" t="s">
        <v>26</v>
      </c>
      <c r="AT47" s="56" t="s">
        <v>26</v>
      </c>
      <c r="AU47" s="55">
        <v>725474740.45000005</v>
      </c>
      <c r="AV47" s="56">
        <v>1.6901036580190001E-2</v>
      </c>
      <c r="AW47" s="56" t="s">
        <v>26</v>
      </c>
      <c r="AX47" s="56" t="s">
        <v>26</v>
      </c>
      <c r="AY47" s="55">
        <v>9952220618.6100006</v>
      </c>
      <c r="AZ47" s="56">
        <v>1.435574837807E-2</v>
      </c>
      <c r="BA47" s="56" t="s">
        <v>26</v>
      </c>
      <c r="BB47" s="56" t="s">
        <v>26</v>
      </c>
    </row>
    <row r="48" spans="1:54" s="7" customFormat="1">
      <c r="A48" s="5" t="s">
        <v>55</v>
      </c>
      <c r="B48" s="24" t="s">
        <v>25</v>
      </c>
      <c r="C48" s="10">
        <v>35751345.700000003</v>
      </c>
      <c r="D48" s="11">
        <v>6.3724640573100001E-3</v>
      </c>
      <c r="E48" s="11">
        <v>0.12</v>
      </c>
      <c r="F48" s="11">
        <v>0.11360000000000001</v>
      </c>
      <c r="G48" s="10" t="s">
        <v>26</v>
      </c>
      <c r="H48" s="11" t="s">
        <v>26</v>
      </c>
      <c r="I48" s="11" t="s">
        <v>26</v>
      </c>
      <c r="J48" s="11" t="s">
        <v>26</v>
      </c>
      <c r="K48" s="10">
        <v>30644010.600000001</v>
      </c>
      <c r="L48" s="11">
        <v>1.1272227988289999E-2</v>
      </c>
      <c r="M48" s="11">
        <v>0.12</v>
      </c>
      <c r="N48" s="11">
        <v>0.1087</v>
      </c>
      <c r="O48" s="10">
        <v>820238017.05999994</v>
      </c>
      <c r="P48" s="11">
        <v>3.8401756900899998E-3</v>
      </c>
      <c r="Q48" s="11">
        <v>0.12</v>
      </c>
      <c r="R48" s="11">
        <v>0.1162</v>
      </c>
      <c r="S48" s="10">
        <v>306440106</v>
      </c>
      <c r="T48" s="11">
        <v>2.8627865253599998E-3</v>
      </c>
      <c r="U48" s="11">
        <v>0.12</v>
      </c>
      <c r="V48" s="11">
        <v>0.1171</v>
      </c>
      <c r="W48" s="10" t="s">
        <v>26</v>
      </c>
      <c r="X48" s="11" t="s">
        <v>26</v>
      </c>
      <c r="Y48" s="11" t="s">
        <v>26</v>
      </c>
      <c r="Z48" s="11" t="s">
        <v>26</v>
      </c>
      <c r="AA48" s="10">
        <v>898890977.60000002</v>
      </c>
      <c r="AB48" s="11">
        <v>6.8142984218599999E-3</v>
      </c>
      <c r="AC48" s="11">
        <v>0.12</v>
      </c>
      <c r="AD48" s="11">
        <v>0.1132</v>
      </c>
      <c r="AE48" s="10">
        <v>2091964456.96</v>
      </c>
      <c r="AF48" s="11">
        <v>3.42765343896E-3</v>
      </c>
      <c r="AG48" s="11">
        <v>0.12</v>
      </c>
      <c r="AH48" s="11">
        <v>0.1166</v>
      </c>
      <c r="AI48" s="10" t="s">
        <v>26</v>
      </c>
      <c r="AJ48" s="11" t="s">
        <v>26</v>
      </c>
      <c r="AK48" s="11" t="s">
        <v>26</v>
      </c>
      <c r="AL48" s="11" t="s">
        <v>26</v>
      </c>
      <c r="AM48" s="10" t="s">
        <v>26</v>
      </c>
      <c r="AN48" s="11" t="s">
        <v>26</v>
      </c>
      <c r="AO48" s="11" t="s">
        <v>26</v>
      </c>
      <c r="AP48" s="11" t="s">
        <v>26</v>
      </c>
      <c r="AQ48" s="10" t="s">
        <v>26</v>
      </c>
      <c r="AR48" s="11" t="s">
        <v>26</v>
      </c>
      <c r="AS48" s="11" t="s">
        <v>26</v>
      </c>
      <c r="AT48" s="11" t="s">
        <v>26</v>
      </c>
      <c r="AU48" s="10">
        <v>204293404</v>
      </c>
      <c r="AV48" s="11">
        <v>4.7593253101399996E-3</v>
      </c>
      <c r="AW48" s="11">
        <v>0.12</v>
      </c>
      <c r="AX48" s="11">
        <v>0.1152</v>
      </c>
      <c r="AY48" s="10">
        <v>2296257860.96</v>
      </c>
      <c r="AZ48" s="11">
        <v>3.3122758554499998E-3</v>
      </c>
      <c r="BA48" s="11">
        <v>0.12</v>
      </c>
      <c r="BB48" s="11">
        <v>0.1167</v>
      </c>
    </row>
    <row r="49" spans="1:54" s="7" customFormat="1">
      <c r="A49" s="3" t="s">
        <v>36</v>
      </c>
      <c r="B49" s="31" t="s">
        <v>56</v>
      </c>
      <c r="C49" s="2">
        <v>35751345.700000003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30644010.600000001</v>
      </c>
      <c r="L49" s="1">
        <v>1</v>
      </c>
      <c r="M49" s="1" t="s">
        <v>26</v>
      </c>
      <c r="N49" s="1" t="s">
        <v>26</v>
      </c>
      <c r="O49" s="2">
        <v>820238017.05999994</v>
      </c>
      <c r="P49" s="1">
        <v>1</v>
      </c>
      <c r="Q49" s="1" t="s">
        <v>26</v>
      </c>
      <c r="R49" s="1" t="s">
        <v>26</v>
      </c>
      <c r="S49" s="2">
        <v>306440106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898890977.60000002</v>
      </c>
      <c r="AB49" s="1">
        <v>1</v>
      </c>
      <c r="AC49" s="1" t="s">
        <v>26</v>
      </c>
      <c r="AD49" s="1" t="s">
        <v>26</v>
      </c>
      <c r="AE49" s="2">
        <v>2091964456.96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204293404</v>
      </c>
      <c r="AV49" s="1">
        <v>1</v>
      </c>
      <c r="AW49" s="1" t="s">
        <v>26</v>
      </c>
      <c r="AX49" s="1" t="s">
        <v>26</v>
      </c>
      <c r="AY49" s="2">
        <v>2296257860.96</v>
      </c>
      <c r="AZ49" s="1">
        <v>1</v>
      </c>
      <c r="BA49" s="1" t="s">
        <v>26</v>
      </c>
      <c r="BB49" s="1" t="s">
        <v>26</v>
      </c>
    </row>
    <row r="50" spans="1:54" s="7" customFormat="1">
      <c r="A50" s="5" t="s">
        <v>57</v>
      </c>
      <c r="B50" s="24" t="s">
        <v>25</v>
      </c>
      <c r="C50" s="10">
        <v>33425960.449999999</v>
      </c>
      <c r="D50" s="11">
        <v>5.9579780111199999E-3</v>
      </c>
      <c r="E50" s="11">
        <v>0.09</v>
      </c>
      <c r="F50" s="11">
        <v>8.4000000000000005E-2</v>
      </c>
      <c r="G50" s="10" t="s">
        <v>26</v>
      </c>
      <c r="H50" s="11" t="s">
        <v>26</v>
      </c>
      <c r="I50" s="11" t="s">
        <v>26</v>
      </c>
      <c r="J50" s="11" t="s">
        <v>26</v>
      </c>
      <c r="K50" s="10">
        <v>16581510.73</v>
      </c>
      <c r="L50" s="11">
        <v>6.0994160254899997E-3</v>
      </c>
      <c r="M50" s="11">
        <v>0.09</v>
      </c>
      <c r="N50" s="11">
        <v>8.3900000000000002E-2</v>
      </c>
      <c r="O50" s="10">
        <v>386798500.52999997</v>
      </c>
      <c r="P50" s="11">
        <v>1.81090630744E-3</v>
      </c>
      <c r="Q50" s="11">
        <v>0.09</v>
      </c>
      <c r="R50" s="11">
        <v>8.8200000000000001E-2</v>
      </c>
      <c r="S50" s="10">
        <v>292791575.60000002</v>
      </c>
      <c r="T50" s="11">
        <v>2.7352809275099999E-3</v>
      </c>
      <c r="U50" s="11">
        <v>0.09</v>
      </c>
      <c r="V50" s="11">
        <v>8.7300000000000003E-2</v>
      </c>
      <c r="W50" s="10" t="s">
        <v>26</v>
      </c>
      <c r="X50" s="11" t="s">
        <v>26</v>
      </c>
      <c r="Y50" s="11" t="s">
        <v>26</v>
      </c>
      <c r="Z50" s="11" t="s">
        <v>26</v>
      </c>
      <c r="AA50" s="10">
        <v>105788301.04000001</v>
      </c>
      <c r="AB50" s="11">
        <v>8.0195826945999996E-4</v>
      </c>
      <c r="AC50" s="11">
        <v>0.09</v>
      </c>
      <c r="AD50" s="11">
        <v>8.9200000000000002E-2</v>
      </c>
      <c r="AE50" s="10">
        <v>835385848.35000002</v>
      </c>
      <c r="AF50" s="11">
        <v>1.3687676032999999E-3</v>
      </c>
      <c r="AG50" s="11">
        <v>0.09</v>
      </c>
      <c r="AH50" s="11">
        <v>8.8599999999999998E-2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10" t="s">
        <v>26</v>
      </c>
      <c r="AV50" s="11" t="s">
        <v>26</v>
      </c>
      <c r="AW50" s="11" t="s">
        <v>26</v>
      </c>
      <c r="AX50" s="11" t="s">
        <v>26</v>
      </c>
      <c r="AY50" s="10">
        <v>835385848.35000002</v>
      </c>
      <c r="AZ50" s="11">
        <v>1.2050163975600001E-3</v>
      </c>
      <c r="BA50" s="11">
        <v>0.09</v>
      </c>
      <c r="BB50" s="11">
        <v>8.8800000000000004E-2</v>
      </c>
    </row>
    <row r="51" spans="1:54" s="7" customFormat="1">
      <c r="A51" s="3" t="s">
        <v>36</v>
      </c>
      <c r="B51" s="31" t="s">
        <v>46</v>
      </c>
      <c r="C51" s="2">
        <v>33425960.449999999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16581510.73</v>
      </c>
      <c r="L51" s="1">
        <v>1</v>
      </c>
      <c r="M51" s="1" t="s">
        <v>26</v>
      </c>
      <c r="N51" s="1" t="s">
        <v>26</v>
      </c>
      <c r="O51" s="2">
        <v>386798500.52999997</v>
      </c>
      <c r="P51" s="1">
        <v>1</v>
      </c>
      <c r="Q51" s="1" t="s">
        <v>26</v>
      </c>
      <c r="R51" s="1" t="s">
        <v>26</v>
      </c>
      <c r="S51" s="2">
        <v>292791575.60000002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105788301.04000001</v>
      </c>
      <c r="AB51" s="1">
        <v>1</v>
      </c>
      <c r="AC51" s="1" t="s">
        <v>26</v>
      </c>
      <c r="AD51" s="1" t="s">
        <v>26</v>
      </c>
      <c r="AE51" s="2">
        <v>835385848.35000002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835385848.35000002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4" t="s">
        <v>25</v>
      </c>
      <c r="C52" s="10">
        <v>5010363.2</v>
      </c>
      <c r="D52" s="11">
        <v>8.930673456E-4</v>
      </c>
      <c r="E52" s="11">
        <v>0.12</v>
      </c>
      <c r="F52" s="11">
        <v>0.1191</v>
      </c>
      <c r="G52" s="10">
        <v>80165807.200000003</v>
      </c>
      <c r="H52" s="11">
        <v>5.5880436009000001E-4</v>
      </c>
      <c r="I52" s="11">
        <v>0.12</v>
      </c>
      <c r="J52" s="11">
        <v>0.11940000000000001</v>
      </c>
      <c r="K52" s="10" t="s">
        <v>26</v>
      </c>
      <c r="L52" s="11" t="s">
        <v>26</v>
      </c>
      <c r="M52" s="11" t="s">
        <v>26</v>
      </c>
      <c r="N52" s="11" t="s">
        <v>26</v>
      </c>
      <c r="O52" s="10">
        <v>260538873.40000001</v>
      </c>
      <c r="P52" s="11">
        <v>1.2197862414899999E-3</v>
      </c>
      <c r="Q52" s="11">
        <v>0.12</v>
      </c>
      <c r="R52" s="11">
        <v>0.1188</v>
      </c>
      <c r="S52" s="10">
        <v>139288092.75999999</v>
      </c>
      <c r="T52" s="11">
        <v>1.30123984194E-3</v>
      </c>
      <c r="U52" s="11">
        <v>0.12</v>
      </c>
      <c r="V52" s="11">
        <v>0.1187</v>
      </c>
      <c r="W52" s="10" t="s">
        <v>26</v>
      </c>
      <c r="X52" s="11" t="s">
        <v>26</v>
      </c>
      <c r="Y52" s="11" t="s">
        <v>26</v>
      </c>
      <c r="Z52" s="11" t="s">
        <v>26</v>
      </c>
      <c r="AA52" s="10">
        <v>133576278.75</v>
      </c>
      <c r="AB52" s="11">
        <v>1.0126129287799999E-3</v>
      </c>
      <c r="AC52" s="11">
        <v>0.12</v>
      </c>
      <c r="AD52" s="11">
        <v>0.11899999999999999</v>
      </c>
      <c r="AE52" s="10">
        <v>618579415.30999994</v>
      </c>
      <c r="AF52" s="11">
        <v>1.01353340546E-3</v>
      </c>
      <c r="AG52" s="11">
        <v>0.12</v>
      </c>
      <c r="AH52" s="11">
        <v>0.11899999999999999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10">
        <v>618579415.30999994</v>
      </c>
      <c r="AZ52" s="11">
        <v>8.9228030389999996E-4</v>
      </c>
      <c r="BA52" s="11">
        <v>0.12</v>
      </c>
      <c r="BB52" s="11">
        <v>0.1191</v>
      </c>
    </row>
    <row r="53" spans="1:54" s="7" customFormat="1">
      <c r="A53" s="3" t="s">
        <v>36</v>
      </c>
      <c r="B53" s="31" t="s">
        <v>56</v>
      </c>
      <c r="C53" s="2">
        <v>5010363.2</v>
      </c>
      <c r="D53" s="1">
        <v>1</v>
      </c>
      <c r="E53" s="1" t="s">
        <v>26</v>
      </c>
      <c r="F53" s="1" t="s">
        <v>26</v>
      </c>
      <c r="G53" s="2">
        <v>80165807.200000003</v>
      </c>
      <c r="H53" s="1">
        <v>1</v>
      </c>
      <c r="I53" s="1" t="s">
        <v>26</v>
      </c>
      <c r="J53" s="1" t="s">
        <v>26</v>
      </c>
      <c r="K53" s="2" t="s">
        <v>26</v>
      </c>
      <c r="L53" s="1" t="s">
        <v>26</v>
      </c>
      <c r="M53" s="1" t="s">
        <v>26</v>
      </c>
      <c r="N53" s="1" t="s">
        <v>26</v>
      </c>
      <c r="O53" s="2">
        <v>260538873.40000001</v>
      </c>
      <c r="P53" s="1">
        <v>1</v>
      </c>
      <c r="Q53" s="1" t="s">
        <v>26</v>
      </c>
      <c r="R53" s="1" t="s">
        <v>26</v>
      </c>
      <c r="S53" s="2">
        <v>139288092.75999999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133576278.75</v>
      </c>
      <c r="AB53" s="1">
        <v>1</v>
      </c>
      <c r="AC53" s="1" t="s">
        <v>26</v>
      </c>
      <c r="AD53" s="1" t="s">
        <v>26</v>
      </c>
      <c r="AE53" s="2">
        <v>618579415.30999994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618579415.30999994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59</v>
      </c>
      <c r="B54" s="24" t="s">
        <v>25</v>
      </c>
      <c r="C54" s="10" t="s">
        <v>26</v>
      </c>
      <c r="D54" s="11" t="s">
        <v>26</v>
      </c>
      <c r="E54" s="11" t="s">
        <v>26</v>
      </c>
      <c r="F54" s="11" t="s">
        <v>26</v>
      </c>
      <c r="G54" s="10">
        <v>310939317</v>
      </c>
      <c r="H54" s="11">
        <v>2.1674358698699999E-3</v>
      </c>
      <c r="I54" s="11">
        <v>0.12</v>
      </c>
      <c r="J54" s="11">
        <v>0.1178</v>
      </c>
      <c r="K54" s="10">
        <v>51176334</v>
      </c>
      <c r="L54" s="11">
        <v>1.8824928367990001E-2</v>
      </c>
      <c r="M54" s="11">
        <v>0.12</v>
      </c>
      <c r="N54" s="11">
        <v>0.1012</v>
      </c>
      <c r="O54" s="10">
        <v>2265294042</v>
      </c>
      <c r="P54" s="11">
        <v>1.0605613163569999E-2</v>
      </c>
      <c r="Q54" s="11">
        <v>0.12</v>
      </c>
      <c r="R54" s="11">
        <v>0.1094</v>
      </c>
      <c r="S54" s="10">
        <v>1026271524.29</v>
      </c>
      <c r="T54" s="11">
        <v>9.5875057917500003E-3</v>
      </c>
      <c r="U54" s="11">
        <v>0.1338</v>
      </c>
      <c r="V54" s="11">
        <v>0.1242</v>
      </c>
      <c r="W54" s="10">
        <v>119303917.91</v>
      </c>
      <c r="X54" s="11">
        <v>1.9942452218229999E-2</v>
      </c>
      <c r="Y54" s="11">
        <v>0.13800000000000001</v>
      </c>
      <c r="Z54" s="11">
        <v>0.1181</v>
      </c>
      <c r="AA54" s="10">
        <v>1466783122.3499999</v>
      </c>
      <c r="AB54" s="11">
        <v>1.111936615776E-2</v>
      </c>
      <c r="AC54" s="11">
        <v>0.12</v>
      </c>
      <c r="AD54" s="11">
        <v>0.1089</v>
      </c>
      <c r="AE54" s="10">
        <v>5239768257.5500002</v>
      </c>
      <c r="AF54" s="11">
        <v>8.5852843376800006E-3</v>
      </c>
      <c r="AG54" s="11">
        <v>0.1231</v>
      </c>
      <c r="AH54" s="11">
        <v>0.1145</v>
      </c>
      <c r="AI54" s="10">
        <v>206887514.08000001</v>
      </c>
      <c r="AJ54" s="11">
        <v>1.2458499953709999E-2</v>
      </c>
      <c r="AK54" s="11">
        <v>0.1203</v>
      </c>
      <c r="AL54" s="11">
        <v>0.10780000000000001</v>
      </c>
      <c r="AM54" s="10">
        <v>234160385.91</v>
      </c>
      <c r="AN54" s="11">
        <v>1.000423800858E-2</v>
      </c>
      <c r="AO54" s="11">
        <v>0.1216</v>
      </c>
      <c r="AP54" s="11">
        <v>0.1116</v>
      </c>
      <c r="AQ54" s="10">
        <v>441047899.99000001</v>
      </c>
      <c r="AR54" s="11">
        <v>1.102282104186E-2</v>
      </c>
      <c r="AS54" s="11">
        <v>0.121</v>
      </c>
      <c r="AT54" s="11">
        <v>0.11</v>
      </c>
      <c r="AU54" s="10">
        <v>521181336.44999999</v>
      </c>
      <c r="AV54" s="11">
        <v>1.214171127004E-2</v>
      </c>
      <c r="AW54" s="11">
        <v>0.1323</v>
      </c>
      <c r="AX54" s="11">
        <v>0.1202</v>
      </c>
      <c r="AY54" s="10">
        <v>6201997493.9899998</v>
      </c>
      <c r="AZ54" s="11">
        <v>8.9461758211700007E-3</v>
      </c>
      <c r="BA54" s="11">
        <v>0.1237</v>
      </c>
      <c r="BB54" s="11">
        <v>0.1148</v>
      </c>
    </row>
    <row r="55" spans="1:54" s="7" customFormat="1">
      <c r="A55" s="3" t="s">
        <v>36</v>
      </c>
      <c r="B55" s="31" t="s">
        <v>56</v>
      </c>
      <c r="C55" s="2" t="s">
        <v>26</v>
      </c>
      <c r="D55" s="1" t="s">
        <v>26</v>
      </c>
      <c r="E55" s="1" t="s">
        <v>26</v>
      </c>
      <c r="F55" s="1" t="s">
        <v>26</v>
      </c>
      <c r="G55" s="2">
        <v>310939317</v>
      </c>
      <c r="H55" s="1">
        <v>1</v>
      </c>
      <c r="I55" s="1" t="s">
        <v>26</v>
      </c>
      <c r="J55" s="1" t="s">
        <v>26</v>
      </c>
      <c r="K55" s="2">
        <v>51176334</v>
      </c>
      <c r="L55" s="1">
        <v>1</v>
      </c>
      <c r="M55" s="1" t="s">
        <v>26</v>
      </c>
      <c r="N55" s="1" t="s">
        <v>26</v>
      </c>
      <c r="O55" s="2">
        <v>2265294042</v>
      </c>
      <c r="P55" s="1">
        <v>1</v>
      </c>
      <c r="Q55" s="1" t="s">
        <v>26</v>
      </c>
      <c r="R55" s="1" t="s">
        <v>26</v>
      </c>
      <c r="S55" s="2">
        <v>552704407.20000005</v>
      </c>
      <c r="T55" s="1">
        <v>0.53855572732797996</v>
      </c>
      <c r="U55" s="1" t="s">
        <v>26</v>
      </c>
      <c r="V55" s="1" t="s">
        <v>26</v>
      </c>
      <c r="W55" s="2">
        <v>47703664.57</v>
      </c>
      <c r="X55" s="1">
        <v>0.39984994127340001</v>
      </c>
      <c r="Y55" s="1" t="s">
        <v>26</v>
      </c>
      <c r="Z55" s="1" t="s">
        <v>26</v>
      </c>
      <c r="AA55" s="2">
        <v>1466783122.3499999</v>
      </c>
      <c r="AB55" s="1">
        <v>1</v>
      </c>
      <c r="AC55" s="1" t="s">
        <v>26</v>
      </c>
      <c r="AD55" s="1" t="s">
        <v>26</v>
      </c>
      <c r="AE55" s="2">
        <v>4694600887.1199999</v>
      </c>
      <c r="AF55" s="1">
        <v>0.89595582406827001</v>
      </c>
      <c r="AG55" s="1" t="s">
        <v>26</v>
      </c>
      <c r="AH55" s="1" t="s">
        <v>26</v>
      </c>
      <c r="AI55" s="2">
        <v>204705336</v>
      </c>
      <c r="AJ55" s="1">
        <v>0.98945234520457004</v>
      </c>
      <c r="AK55" s="1" t="s">
        <v>26</v>
      </c>
      <c r="AL55" s="1" t="s">
        <v>26</v>
      </c>
      <c r="AM55" s="2">
        <v>221798231.56</v>
      </c>
      <c r="AN55" s="1">
        <v>0.94720646576509004</v>
      </c>
      <c r="AO55" s="1" t="s">
        <v>26</v>
      </c>
      <c r="AP55" s="1" t="s">
        <v>26</v>
      </c>
      <c r="AQ55" s="2">
        <v>426503567.56</v>
      </c>
      <c r="AR55" s="1">
        <v>0.96702323618289998</v>
      </c>
      <c r="AS55" s="1" t="s">
        <v>26</v>
      </c>
      <c r="AT55" s="1" t="s">
        <v>26</v>
      </c>
      <c r="AU55" s="2">
        <v>307058004</v>
      </c>
      <c r="AV55" s="1">
        <v>0.58915771253727001</v>
      </c>
      <c r="AW55" s="1" t="s">
        <v>26</v>
      </c>
      <c r="AX55" s="1" t="s">
        <v>26</v>
      </c>
      <c r="AY55" s="2">
        <v>5428162458.6800003</v>
      </c>
      <c r="AZ55" s="1">
        <v>0.87522809609969998</v>
      </c>
      <c r="BA55" s="1" t="s">
        <v>26</v>
      </c>
      <c r="BB55" s="1" t="s">
        <v>26</v>
      </c>
    </row>
    <row r="56" spans="1:54" s="7" customFormat="1">
      <c r="A56" s="3" t="s">
        <v>38</v>
      </c>
      <c r="B56" s="31" t="s">
        <v>39</v>
      </c>
      <c r="C56" s="2" t="s">
        <v>26</v>
      </c>
      <c r="D56" s="1" t="s">
        <v>26</v>
      </c>
      <c r="E56" s="1" t="s">
        <v>26</v>
      </c>
      <c r="F56" s="1" t="s">
        <v>26</v>
      </c>
      <c r="G56" s="2" t="s">
        <v>26</v>
      </c>
      <c r="H56" s="1" t="s">
        <v>26</v>
      </c>
      <c r="I56" s="1" t="s">
        <v>26</v>
      </c>
      <c r="J56" s="1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>
        <v>473567117.08999997</v>
      </c>
      <c r="T56" s="1">
        <v>0.46144427267201998</v>
      </c>
      <c r="U56" s="1" t="s">
        <v>26</v>
      </c>
      <c r="V56" s="1" t="s">
        <v>26</v>
      </c>
      <c r="W56" s="2">
        <v>71600253.340000004</v>
      </c>
      <c r="X56" s="1">
        <v>0.60015005872659999</v>
      </c>
      <c r="Y56" s="1" t="s">
        <v>26</v>
      </c>
      <c r="Z56" s="1" t="s">
        <v>26</v>
      </c>
      <c r="AA56" s="2" t="s">
        <v>26</v>
      </c>
      <c r="AB56" s="1" t="s">
        <v>26</v>
      </c>
      <c r="AC56" s="1" t="s">
        <v>26</v>
      </c>
      <c r="AD56" s="1" t="s">
        <v>26</v>
      </c>
      <c r="AE56" s="2">
        <v>545167370.42999995</v>
      </c>
      <c r="AF56" s="1">
        <v>0.10404417593172</v>
      </c>
      <c r="AG56" s="1" t="s">
        <v>26</v>
      </c>
      <c r="AH56" s="1" t="s">
        <v>26</v>
      </c>
      <c r="AI56" s="2">
        <v>2182178.08</v>
      </c>
      <c r="AJ56" s="1">
        <v>1.054765479543E-2</v>
      </c>
      <c r="AK56" s="1" t="s">
        <v>26</v>
      </c>
      <c r="AL56" s="1" t="s">
        <v>26</v>
      </c>
      <c r="AM56" s="2">
        <v>12362154.35</v>
      </c>
      <c r="AN56" s="1">
        <v>5.2793534234909997E-2</v>
      </c>
      <c r="AO56" s="1" t="s">
        <v>26</v>
      </c>
      <c r="AP56" s="1" t="s">
        <v>26</v>
      </c>
      <c r="AQ56" s="2">
        <v>14544332.43</v>
      </c>
      <c r="AR56" s="1">
        <v>3.2976763817099998E-2</v>
      </c>
      <c r="AS56" s="1" t="s">
        <v>26</v>
      </c>
      <c r="AT56" s="1" t="s">
        <v>26</v>
      </c>
      <c r="AU56" s="2">
        <v>214123332.44999999</v>
      </c>
      <c r="AV56" s="1">
        <v>0.41084228746272999</v>
      </c>
      <c r="AW56" s="1" t="s">
        <v>26</v>
      </c>
      <c r="AX56" s="1" t="s">
        <v>26</v>
      </c>
      <c r="AY56" s="2">
        <v>773835035.30999994</v>
      </c>
      <c r="AZ56" s="1">
        <v>0.1247719039003</v>
      </c>
      <c r="BA56" s="1" t="s">
        <v>26</v>
      </c>
      <c r="BB56" s="1" t="s">
        <v>26</v>
      </c>
    </row>
    <row r="57" spans="1:54">
      <c r="A57" s="13" t="s">
        <v>60</v>
      </c>
      <c r="B57" s="25" t="s">
        <v>25</v>
      </c>
      <c r="C57" s="55">
        <v>89232069.469999999</v>
      </c>
      <c r="D57" s="56">
        <v>1.5905083971610001E-2</v>
      </c>
      <c r="E57" s="56" t="s">
        <v>26</v>
      </c>
      <c r="F57" s="56" t="s">
        <v>26</v>
      </c>
      <c r="G57" s="55" t="s">
        <v>26</v>
      </c>
      <c r="H57" s="56" t="s">
        <v>26</v>
      </c>
      <c r="I57" s="56" t="s">
        <v>26</v>
      </c>
      <c r="J57" s="56" t="s">
        <v>26</v>
      </c>
      <c r="K57" s="55">
        <v>49539503.020000003</v>
      </c>
      <c r="L57" s="56">
        <v>1.8222829242459999E-2</v>
      </c>
      <c r="M57" s="56" t="s">
        <v>26</v>
      </c>
      <c r="N57" s="56" t="s">
        <v>26</v>
      </c>
      <c r="O57" s="55">
        <v>58239288.880000003</v>
      </c>
      <c r="P57" s="56">
        <v>2.7266366190000001E-4</v>
      </c>
      <c r="Q57" s="56" t="s">
        <v>26</v>
      </c>
      <c r="R57" s="56" t="s">
        <v>26</v>
      </c>
      <c r="S57" s="55">
        <v>140056158.59</v>
      </c>
      <c r="T57" s="56">
        <v>1.30841517071E-3</v>
      </c>
      <c r="U57" s="56" t="s">
        <v>26</v>
      </c>
      <c r="V57" s="56" t="s">
        <v>26</v>
      </c>
      <c r="W57" s="55" t="s">
        <v>26</v>
      </c>
      <c r="X57" s="56" t="s">
        <v>26</v>
      </c>
      <c r="Y57" s="56" t="s">
        <v>26</v>
      </c>
      <c r="Z57" s="56" t="s">
        <v>26</v>
      </c>
      <c r="AA57" s="55">
        <v>119816275.98</v>
      </c>
      <c r="AB57" s="56">
        <v>9.0830131870000001E-4</v>
      </c>
      <c r="AC57" s="56" t="s">
        <v>26</v>
      </c>
      <c r="AD57" s="56" t="s">
        <v>26</v>
      </c>
      <c r="AE57" s="55">
        <v>456883295.94</v>
      </c>
      <c r="AF57" s="56">
        <v>7.4859665770999999E-4</v>
      </c>
      <c r="AG57" s="56" t="s">
        <v>26</v>
      </c>
      <c r="AH57" s="56" t="s">
        <v>26</v>
      </c>
      <c r="AI57" s="55">
        <v>60719383.189999998</v>
      </c>
      <c r="AJ57" s="56">
        <v>3.65644314509E-3</v>
      </c>
      <c r="AK57" s="56" t="s">
        <v>26</v>
      </c>
      <c r="AL57" s="56" t="s">
        <v>26</v>
      </c>
      <c r="AM57" s="55" t="s">
        <v>26</v>
      </c>
      <c r="AN57" s="56" t="s">
        <v>26</v>
      </c>
      <c r="AO57" s="56" t="s">
        <v>26</v>
      </c>
      <c r="AP57" s="56" t="s">
        <v>26</v>
      </c>
      <c r="AQ57" s="55">
        <v>60719383.189999998</v>
      </c>
      <c r="AR57" s="56">
        <v>1.51751974035E-3</v>
      </c>
      <c r="AS57" s="56" t="s">
        <v>26</v>
      </c>
      <c r="AT57" s="56" t="s">
        <v>26</v>
      </c>
      <c r="AU57" s="55">
        <v>4994702.6900000004</v>
      </c>
      <c r="AV57" s="56">
        <v>1.163591896E-4</v>
      </c>
      <c r="AW57" s="56" t="s">
        <v>26</v>
      </c>
      <c r="AX57" s="56" t="s">
        <v>26</v>
      </c>
      <c r="AY57" s="55">
        <v>522597381.81999999</v>
      </c>
      <c r="AZ57" s="56">
        <v>7.5382940189000003E-4</v>
      </c>
      <c r="BA57" s="56" t="s">
        <v>26</v>
      </c>
      <c r="BB57" s="56" t="s">
        <v>26</v>
      </c>
    </row>
    <row r="58" spans="1:54" s="7" customFormat="1">
      <c r="A58" s="5" t="s">
        <v>61</v>
      </c>
      <c r="B58" s="24" t="s">
        <v>25</v>
      </c>
      <c r="C58" s="10">
        <v>49285224.469999999</v>
      </c>
      <c r="D58" s="11">
        <v>8.7847971969199998E-3</v>
      </c>
      <c r="E58" s="11">
        <v>0.09</v>
      </c>
      <c r="F58" s="11">
        <v>8.1199999999999994E-2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10" t="s">
        <v>26</v>
      </c>
      <c r="P58" s="11" t="s">
        <v>26</v>
      </c>
      <c r="Q58" s="11" t="s">
        <v>26</v>
      </c>
      <c r="R58" s="11" t="s">
        <v>26</v>
      </c>
      <c r="S58" s="10" t="s">
        <v>26</v>
      </c>
      <c r="T58" s="11" t="s">
        <v>26</v>
      </c>
      <c r="U58" s="11" t="s">
        <v>26</v>
      </c>
      <c r="V58" s="11" t="s">
        <v>26</v>
      </c>
      <c r="W58" s="10" t="s">
        <v>26</v>
      </c>
      <c r="X58" s="11" t="s">
        <v>26</v>
      </c>
      <c r="Y58" s="11" t="s">
        <v>26</v>
      </c>
      <c r="Z58" s="11" t="s">
        <v>26</v>
      </c>
      <c r="AA58" s="10" t="s">
        <v>26</v>
      </c>
      <c r="AB58" s="11" t="s">
        <v>26</v>
      </c>
      <c r="AC58" s="11" t="s">
        <v>26</v>
      </c>
      <c r="AD58" s="11" t="s">
        <v>26</v>
      </c>
      <c r="AE58" s="10">
        <v>49285224.469999999</v>
      </c>
      <c r="AF58" s="11">
        <v>8.0753125889999994E-5</v>
      </c>
      <c r="AG58" s="11">
        <v>0.09</v>
      </c>
      <c r="AH58" s="11">
        <v>8.9899999999999994E-2</v>
      </c>
      <c r="AI58" s="10" t="s">
        <v>26</v>
      </c>
      <c r="AJ58" s="11" t="s">
        <v>26</v>
      </c>
      <c r="AK58" s="11" t="s">
        <v>26</v>
      </c>
      <c r="AL58" s="11" t="s">
        <v>26</v>
      </c>
      <c r="AM58" s="10" t="s">
        <v>26</v>
      </c>
      <c r="AN58" s="11" t="s">
        <v>26</v>
      </c>
      <c r="AO58" s="11" t="s">
        <v>26</v>
      </c>
      <c r="AP58" s="11" t="s">
        <v>26</v>
      </c>
      <c r="AQ58" s="10" t="s">
        <v>26</v>
      </c>
      <c r="AR58" s="11" t="s">
        <v>26</v>
      </c>
      <c r="AS58" s="11" t="s">
        <v>26</v>
      </c>
      <c r="AT58" s="11" t="s">
        <v>26</v>
      </c>
      <c r="AU58" s="10" t="s">
        <v>26</v>
      </c>
      <c r="AV58" s="11" t="s">
        <v>26</v>
      </c>
      <c r="AW58" s="11" t="s">
        <v>26</v>
      </c>
      <c r="AX58" s="11" t="s">
        <v>26</v>
      </c>
      <c r="AY58" s="10">
        <v>49285224.469999999</v>
      </c>
      <c r="AZ58" s="11">
        <v>7.109230275E-5</v>
      </c>
      <c r="BA58" s="11">
        <v>0.09</v>
      </c>
      <c r="BB58" s="11">
        <v>8.9899999999999994E-2</v>
      </c>
    </row>
    <row r="59" spans="1:54" s="7" customFormat="1">
      <c r="A59" s="3" t="s">
        <v>36</v>
      </c>
      <c r="B59" s="31" t="s">
        <v>46</v>
      </c>
      <c r="C59" s="2">
        <v>49285224.469999999</v>
      </c>
      <c r="D59" s="1">
        <v>1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49285224.469999999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49285224.469999999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62</v>
      </c>
      <c r="B60" s="24" t="s">
        <v>25</v>
      </c>
      <c r="C60" s="10">
        <v>17867406.960000001</v>
      </c>
      <c r="D60" s="11">
        <v>3.1847586830799999E-3</v>
      </c>
      <c r="E60" s="11">
        <v>0.12</v>
      </c>
      <c r="F60" s="11">
        <v>0.1168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>
        <v>89616115.079999998</v>
      </c>
      <c r="AB60" s="11">
        <v>6.7936041943000001E-4</v>
      </c>
      <c r="AC60" s="11">
        <v>0.13500000000000001</v>
      </c>
      <c r="AD60" s="11">
        <v>0.1343</v>
      </c>
      <c r="AE60" s="10">
        <v>107483522.04000001</v>
      </c>
      <c r="AF60" s="11">
        <v>1.7611019284999999E-4</v>
      </c>
      <c r="AG60" s="11">
        <v>0.13250000000000001</v>
      </c>
      <c r="AH60" s="11">
        <v>0.1323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107483522.04000001</v>
      </c>
      <c r="AZ60" s="11">
        <v>1.5504141802000001E-4</v>
      </c>
      <c r="BA60" s="11">
        <v>0.13250000000000001</v>
      </c>
      <c r="BB60" s="11">
        <v>0.1323</v>
      </c>
    </row>
    <row r="61" spans="1:54" s="7" customFormat="1">
      <c r="A61" s="3" t="s">
        <v>36</v>
      </c>
      <c r="B61" s="31" t="s">
        <v>56</v>
      </c>
      <c r="C61" s="2">
        <v>17867406.960000001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17867406.960000001</v>
      </c>
      <c r="AF61" s="1">
        <v>0.16623391772880999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17867406.960000001</v>
      </c>
      <c r="AZ61" s="1">
        <v>0.16623391772880999</v>
      </c>
      <c r="BA61" s="1" t="s">
        <v>26</v>
      </c>
      <c r="BB61" s="1" t="s">
        <v>26</v>
      </c>
    </row>
    <row r="62" spans="1:54" s="7" customFormat="1">
      <c r="A62" s="3" t="s">
        <v>38</v>
      </c>
      <c r="B62" s="31" t="s">
        <v>43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89616115.079999998</v>
      </c>
      <c r="AB62" s="1">
        <v>1</v>
      </c>
      <c r="AC62" s="1" t="s">
        <v>26</v>
      </c>
      <c r="AD62" s="1" t="s">
        <v>26</v>
      </c>
      <c r="AE62" s="2">
        <v>89616115.079999998</v>
      </c>
      <c r="AF62" s="1">
        <v>0.83376608227118998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89616115.079999998</v>
      </c>
      <c r="AZ62" s="1">
        <v>0.83376608227118998</v>
      </c>
      <c r="BA62" s="1" t="s">
        <v>26</v>
      </c>
      <c r="BB62" s="1" t="s">
        <v>26</v>
      </c>
    </row>
    <row r="63" spans="1:54" s="7" customFormat="1">
      <c r="A63" s="5" t="s">
        <v>63</v>
      </c>
      <c r="B63" s="24" t="s">
        <v>25</v>
      </c>
      <c r="C63" s="10">
        <v>22079438.039999999</v>
      </c>
      <c r="D63" s="11">
        <v>3.9355280916200004E-3</v>
      </c>
      <c r="E63" s="11">
        <v>0.12</v>
      </c>
      <c r="F63" s="11">
        <v>0.11609999999999999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10">
        <v>22079438.039999999</v>
      </c>
      <c r="AF63" s="11">
        <v>3.6176839179999999E-5</v>
      </c>
      <c r="AG63" s="11">
        <v>0.12</v>
      </c>
      <c r="AH63" s="11">
        <v>0.12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10">
        <v>22079438.039999999</v>
      </c>
      <c r="AZ63" s="11">
        <v>3.1848857550000002E-5</v>
      </c>
      <c r="BA63" s="11">
        <v>0.12</v>
      </c>
      <c r="BB63" s="11">
        <v>0.12</v>
      </c>
    </row>
    <row r="64" spans="1:54" s="7" customFormat="1">
      <c r="A64" s="3" t="s">
        <v>36</v>
      </c>
      <c r="B64" s="31" t="s">
        <v>56</v>
      </c>
      <c r="C64" s="2">
        <v>22079438.039999999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22079438.039999999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22079438.039999999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64</v>
      </c>
      <c r="B65" s="24" t="s">
        <v>25</v>
      </c>
      <c r="C65" s="10" t="s">
        <v>26</v>
      </c>
      <c r="D65" s="11" t="s">
        <v>26</v>
      </c>
      <c r="E65" s="11" t="s">
        <v>26</v>
      </c>
      <c r="F65" s="11" t="s">
        <v>26</v>
      </c>
      <c r="G65" s="10" t="s">
        <v>26</v>
      </c>
      <c r="H65" s="11" t="s">
        <v>26</v>
      </c>
      <c r="I65" s="11" t="s">
        <v>26</v>
      </c>
      <c r="J65" s="11" t="s">
        <v>26</v>
      </c>
      <c r="K65" s="10">
        <v>49539503.020000003</v>
      </c>
      <c r="L65" s="11">
        <v>1.8222829242459999E-2</v>
      </c>
      <c r="M65" s="11">
        <v>0.13500000000000001</v>
      </c>
      <c r="N65" s="11">
        <v>0.1168</v>
      </c>
      <c r="O65" s="10">
        <v>58239288.880000003</v>
      </c>
      <c r="P65" s="11">
        <v>2.7266366190000001E-4</v>
      </c>
      <c r="Q65" s="11">
        <v>0.13289999999999999</v>
      </c>
      <c r="R65" s="11">
        <v>0.1326</v>
      </c>
      <c r="S65" s="10">
        <v>140056158.59</v>
      </c>
      <c r="T65" s="11">
        <v>1.30841517071E-3</v>
      </c>
      <c r="U65" s="11">
        <v>0.13500000000000001</v>
      </c>
      <c r="V65" s="11">
        <v>0.13370000000000001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>
        <v>30200160.899999999</v>
      </c>
      <c r="AB65" s="11">
        <v>2.2894089927E-4</v>
      </c>
      <c r="AC65" s="11">
        <v>0.12</v>
      </c>
      <c r="AD65" s="11">
        <v>0.1198</v>
      </c>
      <c r="AE65" s="10">
        <v>278035111.38999999</v>
      </c>
      <c r="AF65" s="11">
        <v>4.5555649978999999E-4</v>
      </c>
      <c r="AG65" s="11">
        <v>0.13289999999999999</v>
      </c>
      <c r="AH65" s="11">
        <v>0.13239999999999999</v>
      </c>
      <c r="AI65" s="10">
        <v>60719383.189999998</v>
      </c>
      <c r="AJ65" s="11">
        <v>3.65644314509E-3</v>
      </c>
      <c r="AK65" s="11">
        <v>0.13500000000000001</v>
      </c>
      <c r="AL65" s="11">
        <v>0.1313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>
        <v>60719383.189999998</v>
      </c>
      <c r="AR65" s="11">
        <v>1.51751974035E-3</v>
      </c>
      <c r="AS65" s="11">
        <v>0.13500000000000001</v>
      </c>
      <c r="AT65" s="11">
        <v>0.13350000000000001</v>
      </c>
      <c r="AU65" s="10">
        <v>4994702.6900000004</v>
      </c>
      <c r="AV65" s="11">
        <v>1.163591896E-4</v>
      </c>
      <c r="AW65" s="11">
        <v>0.13500000000000001</v>
      </c>
      <c r="AX65" s="11">
        <v>0.13489999999999999</v>
      </c>
      <c r="AY65" s="10">
        <v>343749197.26999998</v>
      </c>
      <c r="AZ65" s="11">
        <v>4.9584682357000005E-4</v>
      </c>
      <c r="BA65" s="11">
        <v>0.1333</v>
      </c>
      <c r="BB65" s="11">
        <v>0.1328</v>
      </c>
    </row>
    <row r="66" spans="1:54" s="7" customFormat="1">
      <c r="A66" s="3" t="s">
        <v>36</v>
      </c>
      <c r="B66" s="31" t="s">
        <v>56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8195556.5899999999</v>
      </c>
      <c r="P66" s="1">
        <v>0.14072212672251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30200160.899999999</v>
      </c>
      <c r="AB66" s="1">
        <v>1</v>
      </c>
      <c r="AC66" s="1" t="s">
        <v>26</v>
      </c>
      <c r="AD66" s="1" t="s">
        <v>26</v>
      </c>
      <c r="AE66" s="2">
        <v>38395717.490000002</v>
      </c>
      <c r="AF66" s="1">
        <v>0.13809665008871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38395717.490000002</v>
      </c>
      <c r="AZ66" s="1">
        <v>0.11169689353439</v>
      </c>
      <c r="BA66" s="1" t="s">
        <v>26</v>
      </c>
      <c r="BB66" s="1" t="s">
        <v>26</v>
      </c>
    </row>
    <row r="67" spans="1:54" s="7" customFormat="1">
      <c r="A67" s="3" t="s">
        <v>38</v>
      </c>
      <c r="B67" s="31" t="s">
        <v>43</v>
      </c>
      <c r="C67" s="2" t="s">
        <v>26</v>
      </c>
      <c r="D67" s="1" t="s">
        <v>26</v>
      </c>
      <c r="E67" s="1" t="s">
        <v>26</v>
      </c>
      <c r="F67" s="1" t="s">
        <v>26</v>
      </c>
      <c r="G67" s="2" t="s">
        <v>26</v>
      </c>
      <c r="H67" s="1" t="s">
        <v>26</v>
      </c>
      <c r="I67" s="1" t="s">
        <v>26</v>
      </c>
      <c r="J67" s="1" t="s">
        <v>26</v>
      </c>
      <c r="K67" s="2">
        <v>49539503.020000003</v>
      </c>
      <c r="L67" s="1">
        <v>1</v>
      </c>
      <c r="M67" s="1" t="s">
        <v>26</v>
      </c>
      <c r="N67" s="1" t="s">
        <v>26</v>
      </c>
      <c r="O67" s="2">
        <v>50043732.289999999</v>
      </c>
      <c r="P67" s="1">
        <v>0.85927787327748995</v>
      </c>
      <c r="Q67" s="1" t="s">
        <v>26</v>
      </c>
      <c r="R67" s="1" t="s">
        <v>26</v>
      </c>
      <c r="S67" s="2">
        <v>140056158.59</v>
      </c>
      <c r="T67" s="1">
        <v>1</v>
      </c>
      <c r="U67" s="1" t="s">
        <v>26</v>
      </c>
      <c r="V67" s="1" t="s">
        <v>26</v>
      </c>
      <c r="W67" s="2" t="s">
        <v>26</v>
      </c>
      <c r="X67" s="1" t="s">
        <v>26</v>
      </c>
      <c r="Y67" s="1" t="s">
        <v>26</v>
      </c>
      <c r="Z67" s="1" t="s">
        <v>26</v>
      </c>
      <c r="AA67" s="2" t="s">
        <v>26</v>
      </c>
      <c r="AB67" s="1" t="s">
        <v>26</v>
      </c>
      <c r="AC67" s="1" t="s">
        <v>26</v>
      </c>
      <c r="AD67" s="1" t="s">
        <v>26</v>
      </c>
      <c r="AE67" s="2">
        <v>239639393.90000001</v>
      </c>
      <c r="AF67" s="1">
        <v>0.86190334991129003</v>
      </c>
      <c r="AG67" s="1" t="s">
        <v>26</v>
      </c>
      <c r="AH67" s="1" t="s">
        <v>26</v>
      </c>
      <c r="AI67" s="2">
        <v>60719383.189999998</v>
      </c>
      <c r="AJ67" s="1">
        <v>1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>
        <v>60719383.189999998</v>
      </c>
      <c r="AR67" s="1">
        <v>1</v>
      </c>
      <c r="AS67" s="1" t="s">
        <v>26</v>
      </c>
      <c r="AT67" s="1" t="s">
        <v>26</v>
      </c>
      <c r="AU67" s="2">
        <v>4994702.6900000004</v>
      </c>
      <c r="AV67" s="1">
        <v>1</v>
      </c>
      <c r="AW67" s="1" t="s">
        <v>26</v>
      </c>
      <c r="AX67" s="1" t="s">
        <v>26</v>
      </c>
      <c r="AY67" s="2">
        <v>305353479.77999997</v>
      </c>
      <c r="AZ67" s="1">
        <v>0.88830310646560995</v>
      </c>
      <c r="BA67" s="1" t="s">
        <v>26</v>
      </c>
      <c r="BB67" s="1" t="s">
        <v>26</v>
      </c>
    </row>
    <row r="68" spans="1:54">
      <c r="A68" s="13" t="s">
        <v>65</v>
      </c>
      <c r="B68" s="25" t="s">
        <v>25</v>
      </c>
      <c r="C68" s="55">
        <v>595895336.45000005</v>
      </c>
      <c r="D68" s="56">
        <v>0.10621478825743</v>
      </c>
      <c r="E68" s="56" t="s">
        <v>26</v>
      </c>
      <c r="F68" s="56" t="s">
        <v>26</v>
      </c>
      <c r="G68" s="55">
        <v>5435459032.0900002</v>
      </c>
      <c r="H68" s="56">
        <v>3.788845035433E-2</v>
      </c>
      <c r="I68" s="56" t="s">
        <v>26</v>
      </c>
      <c r="J68" s="56" t="s">
        <v>26</v>
      </c>
      <c r="K68" s="55">
        <v>545327834.69000006</v>
      </c>
      <c r="L68" s="56">
        <v>0.20059579541413</v>
      </c>
      <c r="M68" s="56" t="s">
        <v>26</v>
      </c>
      <c r="N68" s="56" t="s">
        <v>26</v>
      </c>
      <c r="O68" s="55">
        <v>10442819156.57</v>
      </c>
      <c r="P68" s="56">
        <v>4.8891004107330001E-2</v>
      </c>
      <c r="Q68" s="56" t="s">
        <v>26</v>
      </c>
      <c r="R68" s="56" t="s">
        <v>26</v>
      </c>
      <c r="S68" s="55">
        <v>5484059897.8999996</v>
      </c>
      <c r="T68" s="56">
        <v>5.1232500161020003E-2</v>
      </c>
      <c r="U68" s="56" t="s">
        <v>26</v>
      </c>
      <c r="V68" s="56" t="s">
        <v>26</v>
      </c>
      <c r="W68" s="55" t="s">
        <v>26</v>
      </c>
      <c r="X68" s="56" t="s">
        <v>26</v>
      </c>
      <c r="Y68" s="56" t="s">
        <v>26</v>
      </c>
      <c r="Z68" s="56" t="s">
        <v>26</v>
      </c>
      <c r="AA68" s="55">
        <v>5485138352.1300001</v>
      </c>
      <c r="AB68" s="56">
        <v>4.1581649552640002E-2</v>
      </c>
      <c r="AC68" s="56" t="s">
        <v>26</v>
      </c>
      <c r="AD68" s="56" t="s">
        <v>26</v>
      </c>
      <c r="AE68" s="55">
        <v>27988699609.830002</v>
      </c>
      <c r="AF68" s="56">
        <v>4.5859078604489997E-2</v>
      </c>
      <c r="AG68" s="56" t="s">
        <v>26</v>
      </c>
      <c r="AH68" s="56" t="s">
        <v>26</v>
      </c>
      <c r="AI68" s="55">
        <v>1121233333.98</v>
      </c>
      <c r="AJ68" s="56">
        <v>6.7519228995539998E-2</v>
      </c>
      <c r="AK68" s="56" t="s">
        <v>26</v>
      </c>
      <c r="AL68" s="56" t="s">
        <v>26</v>
      </c>
      <c r="AM68" s="55">
        <v>2204015176.6599998</v>
      </c>
      <c r="AN68" s="56">
        <v>9.4164059032230005E-2</v>
      </c>
      <c r="AO68" s="56" t="s">
        <v>26</v>
      </c>
      <c r="AP68" s="56" t="s">
        <v>26</v>
      </c>
      <c r="AQ68" s="55">
        <v>3325248510.6399999</v>
      </c>
      <c r="AR68" s="56">
        <v>8.3105756207710005E-2</v>
      </c>
      <c r="AS68" s="56" t="s">
        <v>26</v>
      </c>
      <c r="AT68" s="56" t="s">
        <v>26</v>
      </c>
      <c r="AU68" s="55">
        <v>1399997116.8699999</v>
      </c>
      <c r="AV68" s="56">
        <v>3.261506040816E-2</v>
      </c>
      <c r="AW68" s="56" t="s">
        <v>26</v>
      </c>
      <c r="AX68" s="56" t="s">
        <v>26</v>
      </c>
      <c r="AY68" s="55">
        <v>32713945237.34</v>
      </c>
      <c r="AZ68" s="56">
        <v>4.7188781707989999E-2</v>
      </c>
      <c r="BA68" s="56" t="s">
        <v>26</v>
      </c>
      <c r="BB68" s="56" t="s">
        <v>26</v>
      </c>
    </row>
    <row r="69" spans="1:54" s="7" customFormat="1">
      <c r="A69" s="5" t="s">
        <v>105</v>
      </c>
      <c r="B69" s="24" t="s">
        <v>25</v>
      </c>
      <c r="C69" s="10" t="s">
        <v>26</v>
      </c>
      <c r="D69" s="11" t="s">
        <v>26</v>
      </c>
      <c r="E69" s="11" t="s">
        <v>26</v>
      </c>
      <c r="F69" s="11" t="s">
        <v>26</v>
      </c>
      <c r="G69" s="10" t="s">
        <v>26</v>
      </c>
      <c r="H69" s="11" t="s">
        <v>26</v>
      </c>
      <c r="I69" s="11" t="s">
        <v>26</v>
      </c>
      <c r="J69" s="11" t="s">
        <v>26</v>
      </c>
      <c r="K69" s="10">
        <v>51700342.460000001</v>
      </c>
      <c r="L69" s="11">
        <v>1.9017681950609999E-2</v>
      </c>
      <c r="M69" s="11">
        <v>0.08</v>
      </c>
      <c r="N69" s="11">
        <v>6.0999999999999999E-2</v>
      </c>
      <c r="O69" s="10" t="s">
        <v>26</v>
      </c>
      <c r="P69" s="11" t="s">
        <v>26</v>
      </c>
      <c r="Q69" s="11" t="s">
        <v>26</v>
      </c>
      <c r="R69" s="11" t="s">
        <v>26</v>
      </c>
      <c r="S69" s="10">
        <v>86016138.129999995</v>
      </c>
      <c r="T69" s="11">
        <v>8.0356923386000001E-4</v>
      </c>
      <c r="U69" s="11">
        <v>0.08</v>
      </c>
      <c r="V69" s="11">
        <v>7.9200000000000007E-2</v>
      </c>
      <c r="W69" s="10" t="s">
        <v>26</v>
      </c>
      <c r="X69" s="11" t="s">
        <v>26</v>
      </c>
      <c r="Y69" s="11" t="s">
        <v>26</v>
      </c>
      <c r="Z69" s="11" t="s">
        <v>26</v>
      </c>
      <c r="AA69" s="10" t="s">
        <v>26</v>
      </c>
      <c r="AB69" s="11" t="s">
        <v>26</v>
      </c>
      <c r="AC69" s="11" t="s">
        <v>26</v>
      </c>
      <c r="AD69" s="11" t="s">
        <v>26</v>
      </c>
      <c r="AE69" s="10">
        <v>137716480.59</v>
      </c>
      <c r="AF69" s="11">
        <v>2.256464572E-4</v>
      </c>
      <c r="AG69" s="11">
        <v>0.08</v>
      </c>
      <c r="AH69" s="11">
        <v>7.9799999999999996E-2</v>
      </c>
      <c r="AI69" s="10" t="s">
        <v>26</v>
      </c>
      <c r="AJ69" s="11" t="s">
        <v>26</v>
      </c>
      <c r="AK69" s="11" t="s">
        <v>26</v>
      </c>
      <c r="AL69" s="11" t="s">
        <v>26</v>
      </c>
      <c r="AM69" s="10" t="s">
        <v>26</v>
      </c>
      <c r="AN69" s="11" t="s">
        <v>26</v>
      </c>
      <c r="AO69" s="11" t="s">
        <v>26</v>
      </c>
      <c r="AP69" s="11" t="s">
        <v>26</v>
      </c>
      <c r="AQ69" s="10" t="s">
        <v>26</v>
      </c>
      <c r="AR69" s="11" t="s">
        <v>26</v>
      </c>
      <c r="AS69" s="11" t="s">
        <v>26</v>
      </c>
      <c r="AT69" s="11" t="s">
        <v>26</v>
      </c>
      <c r="AU69" s="10" t="s">
        <v>26</v>
      </c>
      <c r="AV69" s="11" t="s">
        <v>26</v>
      </c>
      <c r="AW69" s="11" t="s">
        <v>26</v>
      </c>
      <c r="AX69" s="11" t="s">
        <v>26</v>
      </c>
      <c r="AY69" s="10">
        <v>137716480.59</v>
      </c>
      <c r="AZ69" s="11">
        <v>1.9865145867E-4</v>
      </c>
      <c r="BA69" s="11">
        <v>0.08</v>
      </c>
      <c r="BB69" s="11">
        <v>7.9799999999999996E-2</v>
      </c>
    </row>
    <row r="70" spans="1:54" s="7" customFormat="1">
      <c r="A70" s="3" t="s">
        <v>67</v>
      </c>
      <c r="B70" s="31" t="s">
        <v>56</v>
      </c>
      <c r="C70" s="2" t="s">
        <v>26</v>
      </c>
      <c r="D70" s="1" t="s">
        <v>26</v>
      </c>
      <c r="E70" s="1" t="s">
        <v>26</v>
      </c>
      <c r="F70" s="1" t="s">
        <v>26</v>
      </c>
      <c r="G70" s="2" t="s">
        <v>26</v>
      </c>
      <c r="H70" s="1" t="s">
        <v>26</v>
      </c>
      <c r="I70" s="1" t="s">
        <v>26</v>
      </c>
      <c r="J70" s="1" t="s">
        <v>26</v>
      </c>
      <c r="K70" s="2">
        <v>51700342.460000001</v>
      </c>
      <c r="L70" s="1">
        <v>1</v>
      </c>
      <c r="M70" s="1" t="s">
        <v>26</v>
      </c>
      <c r="N70" s="1" t="s">
        <v>26</v>
      </c>
      <c r="O70" s="2" t="s">
        <v>26</v>
      </c>
      <c r="P70" s="1" t="s">
        <v>26</v>
      </c>
      <c r="Q70" s="1" t="s">
        <v>26</v>
      </c>
      <c r="R70" s="1" t="s">
        <v>26</v>
      </c>
      <c r="S70" s="2">
        <v>86016138.129999995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137716480.59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137716480.59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66</v>
      </c>
      <c r="B71" s="24" t="s">
        <v>25</v>
      </c>
      <c r="C71" s="10" t="s">
        <v>26</v>
      </c>
      <c r="D71" s="11" t="s">
        <v>26</v>
      </c>
      <c r="E71" s="11" t="s">
        <v>26</v>
      </c>
      <c r="F71" s="11" t="s">
        <v>26</v>
      </c>
      <c r="G71" s="10">
        <v>202483335.5</v>
      </c>
      <c r="H71" s="11">
        <v>1.4114318145700001E-3</v>
      </c>
      <c r="I71" s="11">
        <v>0.08</v>
      </c>
      <c r="J71" s="11">
        <v>7.8600000000000003E-2</v>
      </c>
      <c r="K71" s="10">
        <v>80696887.579999998</v>
      </c>
      <c r="L71" s="11">
        <v>2.9683898972000002E-2</v>
      </c>
      <c r="M71" s="11">
        <v>0.08</v>
      </c>
      <c r="N71" s="11">
        <v>5.0299999999999997E-2</v>
      </c>
      <c r="O71" s="10">
        <v>166478138.87</v>
      </c>
      <c r="P71" s="11">
        <v>7.7941437548999996E-4</v>
      </c>
      <c r="Q71" s="11">
        <v>0.08</v>
      </c>
      <c r="R71" s="11">
        <v>7.9200000000000007E-2</v>
      </c>
      <c r="S71" s="10" t="s">
        <v>26</v>
      </c>
      <c r="T71" s="11" t="s">
        <v>26</v>
      </c>
      <c r="U71" s="11" t="s">
        <v>26</v>
      </c>
      <c r="V71" s="11" t="s">
        <v>26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>
        <v>43586828.990000002</v>
      </c>
      <c r="AB71" s="11">
        <v>3.3042233975000003E-4</v>
      </c>
      <c r="AC71" s="11">
        <v>0.08</v>
      </c>
      <c r="AD71" s="11">
        <v>7.9699999999999993E-2</v>
      </c>
      <c r="AE71" s="10">
        <v>493245190.94</v>
      </c>
      <c r="AF71" s="11">
        <v>8.0817509558999995E-4</v>
      </c>
      <c r="AG71" s="11">
        <v>0.08</v>
      </c>
      <c r="AH71" s="11">
        <v>7.9200000000000007E-2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10">
        <v>493245190.94</v>
      </c>
      <c r="AZ71" s="11">
        <v>7.1148983942000003E-4</v>
      </c>
      <c r="BA71" s="11">
        <v>0.08</v>
      </c>
      <c r="BB71" s="11">
        <v>7.9299999999999995E-2</v>
      </c>
    </row>
    <row r="72" spans="1:54" s="7" customFormat="1">
      <c r="A72" s="3" t="s">
        <v>67</v>
      </c>
      <c r="B72" s="31" t="s">
        <v>56</v>
      </c>
      <c r="C72" s="2" t="s">
        <v>26</v>
      </c>
      <c r="D72" s="1" t="s">
        <v>26</v>
      </c>
      <c r="E72" s="1" t="s">
        <v>26</v>
      </c>
      <c r="F72" s="1" t="s">
        <v>26</v>
      </c>
      <c r="G72" s="2">
        <v>202483335.5</v>
      </c>
      <c r="H72" s="1">
        <v>1</v>
      </c>
      <c r="I72" s="1" t="s">
        <v>26</v>
      </c>
      <c r="J72" s="1" t="s">
        <v>26</v>
      </c>
      <c r="K72" s="2">
        <v>80696887.579999998</v>
      </c>
      <c r="L72" s="1">
        <v>1</v>
      </c>
      <c r="M72" s="1" t="s">
        <v>26</v>
      </c>
      <c r="N72" s="1" t="s">
        <v>26</v>
      </c>
      <c r="O72" s="2">
        <v>166478138.87</v>
      </c>
      <c r="P72" s="1">
        <v>1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43586828.990000002</v>
      </c>
      <c r="AB72" s="1">
        <v>1</v>
      </c>
      <c r="AC72" s="1" t="s">
        <v>26</v>
      </c>
      <c r="AD72" s="1" t="s">
        <v>26</v>
      </c>
      <c r="AE72" s="2">
        <v>493245190.94</v>
      </c>
      <c r="AF72" s="1">
        <v>1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493245190.94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68</v>
      </c>
      <c r="B73" s="24" t="s">
        <v>25</v>
      </c>
      <c r="C73" s="10" t="s">
        <v>26</v>
      </c>
      <c r="D73" s="11" t="s">
        <v>26</v>
      </c>
      <c r="E73" s="11" t="s">
        <v>26</v>
      </c>
      <c r="F73" s="11" t="s">
        <v>26</v>
      </c>
      <c r="G73" s="10">
        <v>526958433.11000001</v>
      </c>
      <c r="H73" s="11">
        <v>3.6732202954400002E-3</v>
      </c>
      <c r="I73" s="11">
        <v>0.09</v>
      </c>
      <c r="J73" s="11">
        <v>8.6300000000000002E-2</v>
      </c>
      <c r="K73" s="10" t="s">
        <v>26</v>
      </c>
      <c r="L73" s="11" t="s">
        <v>26</v>
      </c>
      <c r="M73" s="11" t="s">
        <v>26</v>
      </c>
      <c r="N73" s="11" t="s">
        <v>26</v>
      </c>
      <c r="O73" s="10">
        <v>1160932364.52</v>
      </c>
      <c r="P73" s="11">
        <v>5.4352323975999997E-3</v>
      </c>
      <c r="Q73" s="11">
        <v>0.09</v>
      </c>
      <c r="R73" s="11">
        <v>8.4599999999999995E-2</v>
      </c>
      <c r="S73" s="10">
        <v>530443793.81999999</v>
      </c>
      <c r="T73" s="11">
        <v>4.9554458299600002E-3</v>
      </c>
      <c r="U73" s="11">
        <v>0.09</v>
      </c>
      <c r="V73" s="11">
        <v>8.5000000000000006E-2</v>
      </c>
      <c r="W73" s="10" t="s">
        <v>26</v>
      </c>
      <c r="X73" s="11" t="s">
        <v>26</v>
      </c>
      <c r="Y73" s="11" t="s">
        <v>26</v>
      </c>
      <c r="Z73" s="11" t="s">
        <v>26</v>
      </c>
      <c r="AA73" s="10">
        <v>1412991729.8599999</v>
      </c>
      <c r="AB73" s="11">
        <v>1.071158522537E-2</v>
      </c>
      <c r="AC73" s="11">
        <v>0.09</v>
      </c>
      <c r="AD73" s="11">
        <v>7.9299999999999995E-2</v>
      </c>
      <c r="AE73" s="10">
        <v>3631326321.3099999</v>
      </c>
      <c r="AF73" s="11">
        <v>5.9498755400899999E-3</v>
      </c>
      <c r="AG73" s="11">
        <v>0.09</v>
      </c>
      <c r="AH73" s="11">
        <v>8.4099999999999994E-2</v>
      </c>
      <c r="AI73" s="10">
        <v>98942350.409999996</v>
      </c>
      <c r="AJ73" s="11">
        <v>5.9581810602900003E-3</v>
      </c>
      <c r="AK73" s="11">
        <v>0.09</v>
      </c>
      <c r="AL73" s="11">
        <v>8.4000000000000005E-2</v>
      </c>
      <c r="AM73" s="10">
        <v>13928419.23</v>
      </c>
      <c r="AN73" s="11">
        <v>5.9507597972999996E-4</v>
      </c>
      <c r="AO73" s="11">
        <v>0.09</v>
      </c>
      <c r="AP73" s="11">
        <v>8.9399999999999993E-2</v>
      </c>
      <c r="AQ73" s="10">
        <v>112870769.64</v>
      </c>
      <c r="AR73" s="11">
        <v>2.8209051548100002E-3</v>
      </c>
      <c r="AS73" s="11">
        <v>0.09</v>
      </c>
      <c r="AT73" s="11">
        <v>8.72E-2</v>
      </c>
      <c r="AU73" s="10">
        <v>191298657.09</v>
      </c>
      <c r="AV73" s="11">
        <v>4.4565929328099999E-3</v>
      </c>
      <c r="AW73" s="11">
        <v>0.09</v>
      </c>
      <c r="AX73" s="11">
        <v>8.5500000000000007E-2</v>
      </c>
      <c r="AY73" s="10">
        <v>3935495748.04</v>
      </c>
      <c r="AZ73" s="11">
        <v>5.6768221753599997E-3</v>
      </c>
      <c r="BA73" s="11">
        <v>0.09</v>
      </c>
      <c r="BB73" s="11">
        <v>8.43E-2</v>
      </c>
    </row>
    <row r="74" spans="1:54" s="7" customFormat="1">
      <c r="A74" s="3" t="s">
        <v>67</v>
      </c>
      <c r="B74" s="31" t="s">
        <v>37</v>
      </c>
      <c r="C74" s="2" t="s">
        <v>26</v>
      </c>
      <c r="D74" s="1" t="s">
        <v>26</v>
      </c>
      <c r="E74" s="1" t="s">
        <v>26</v>
      </c>
      <c r="F74" s="1" t="s">
        <v>26</v>
      </c>
      <c r="G74" s="2">
        <v>526958433.11000001</v>
      </c>
      <c r="H74" s="1">
        <v>1</v>
      </c>
      <c r="I74" s="1" t="s">
        <v>26</v>
      </c>
      <c r="J74" s="1" t="s">
        <v>26</v>
      </c>
      <c r="K74" s="2" t="s">
        <v>26</v>
      </c>
      <c r="L74" s="1" t="s">
        <v>26</v>
      </c>
      <c r="M74" s="1" t="s">
        <v>26</v>
      </c>
      <c r="N74" s="1" t="s">
        <v>26</v>
      </c>
      <c r="O74" s="2">
        <v>1160932364.52</v>
      </c>
      <c r="P74" s="1">
        <v>1</v>
      </c>
      <c r="Q74" s="1" t="s">
        <v>26</v>
      </c>
      <c r="R74" s="1" t="s">
        <v>26</v>
      </c>
      <c r="S74" s="2">
        <v>530443793.81999999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1412991729.8599999</v>
      </c>
      <c r="AB74" s="1">
        <v>1</v>
      </c>
      <c r="AC74" s="1" t="s">
        <v>26</v>
      </c>
      <c r="AD74" s="1" t="s">
        <v>26</v>
      </c>
      <c r="AE74" s="2">
        <v>3631326321.3099999</v>
      </c>
      <c r="AF74" s="1">
        <v>1</v>
      </c>
      <c r="AG74" s="1" t="s">
        <v>26</v>
      </c>
      <c r="AH74" s="1" t="s">
        <v>26</v>
      </c>
      <c r="AI74" s="2">
        <v>98942350.409999996</v>
      </c>
      <c r="AJ74" s="1">
        <v>1</v>
      </c>
      <c r="AK74" s="1" t="s">
        <v>26</v>
      </c>
      <c r="AL74" s="1" t="s">
        <v>26</v>
      </c>
      <c r="AM74" s="2">
        <v>13928419.23</v>
      </c>
      <c r="AN74" s="1">
        <v>1</v>
      </c>
      <c r="AO74" s="1" t="s">
        <v>26</v>
      </c>
      <c r="AP74" s="1" t="s">
        <v>26</v>
      </c>
      <c r="AQ74" s="2">
        <v>112870769.64</v>
      </c>
      <c r="AR74" s="1">
        <v>1</v>
      </c>
      <c r="AS74" s="1" t="s">
        <v>26</v>
      </c>
      <c r="AT74" s="1" t="s">
        <v>26</v>
      </c>
      <c r="AU74" s="2">
        <v>191298657.09</v>
      </c>
      <c r="AV74" s="1">
        <v>1</v>
      </c>
      <c r="AW74" s="1" t="s">
        <v>26</v>
      </c>
      <c r="AX74" s="1" t="s">
        <v>26</v>
      </c>
      <c r="AY74" s="2">
        <v>3935495748.04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69</v>
      </c>
      <c r="B75" s="24" t="s">
        <v>25</v>
      </c>
      <c r="C75" s="10">
        <v>314270865.60000002</v>
      </c>
      <c r="D75" s="11">
        <v>5.6016906666940001E-2</v>
      </c>
      <c r="E75" s="11">
        <v>0.08</v>
      </c>
      <c r="F75" s="11">
        <v>2.4E-2</v>
      </c>
      <c r="G75" s="10">
        <v>409967780</v>
      </c>
      <c r="H75" s="11">
        <v>2.8577243959900002E-3</v>
      </c>
      <c r="I75" s="11">
        <v>0.08</v>
      </c>
      <c r="J75" s="11">
        <v>7.7100000000000002E-2</v>
      </c>
      <c r="K75" s="10">
        <v>166535185</v>
      </c>
      <c r="L75" s="11">
        <v>6.125903681132E-2</v>
      </c>
      <c r="M75" s="11">
        <v>0.08</v>
      </c>
      <c r="N75" s="11">
        <v>1.8700000000000001E-2</v>
      </c>
      <c r="O75" s="10">
        <v>1461041798.6199999</v>
      </c>
      <c r="P75" s="11">
        <v>6.8402793830199997E-3</v>
      </c>
      <c r="Q75" s="11">
        <v>0.08</v>
      </c>
      <c r="R75" s="11">
        <v>7.3200000000000001E-2</v>
      </c>
      <c r="S75" s="10">
        <v>315154761.57999998</v>
      </c>
      <c r="T75" s="11">
        <v>2.94419949344E-3</v>
      </c>
      <c r="U75" s="11">
        <v>0.08</v>
      </c>
      <c r="V75" s="11">
        <v>7.7100000000000002E-2</v>
      </c>
      <c r="W75" s="10" t="s">
        <v>26</v>
      </c>
      <c r="X75" s="11" t="s">
        <v>26</v>
      </c>
      <c r="Y75" s="11" t="s">
        <v>26</v>
      </c>
      <c r="Z75" s="11" t="s">
        <v>26</v>
      </c>
      <c r="AA75" s="10" t="s">
        <v>26</v>
      </c>
      <c r="AB75" s="11" t="s">
        <v>26</v>
      </c>
      <c r="AC75" s="11" t="s">
        <v>26</v>
      </c>
      <c r="AD75" s="11" t="s">
        <v>26</v>
      </c>
      <c r="AE75" s="10">
        <v>2666970390.8000002</v>
      </c>
      <c r="AF75" s="11">
        <v>4.3697923266399997E-3</v>
      </c>
      <c r="AG75" s="11">
        <v>0.08</v>
      </c>
      <c r="AH75" s="11">
        <v>7.5600000000000001E-2</v>
      </c>
      <c r="AI75" s="10" t="s">
        <v>26</v>
      </c>
      <c r="AJ75" s="11" t="s">
        <v>26</v>
      </c>
      <c r="AK75" s="11" t="s">
        <v>26</v>
      </c>
      <c r="AL75" s="11" t="s">
        <v>26</v>
      </c>
      <c r="AM75" s="10" t="s">
        <v>26</v>
      </c>
      <c r="AN75" s="11" t="s">
        <v>26</v>
      </c>
      <c r="AO75" s="11" t="s">
        <v>26</v>
      </c>
      <c r="AP75" s="11" t="s">
        <v>26</v>
      </c>
      <c r="AQ75" s="10" t="s">
        <v>26</v>
      </c>
      <c r="AR75" s="11" t="s">
        <v>26</v>
      </c>
      <c r="AS75" s="11" t="s">
        <v>26</v>
      </c>
      <c r="AT75" s="11" t="s">
        <v>26</v>
      </c>
      <c r="AU75" s="10" t="s">
        <v>26</v>
      </c>
      <c r="AV75" s="11" t="s">
        <v>26</v>
      </c>
      <c r="AW75" s="11" t="s">
        <v>26</v>
      </c>
      <c r="AX75" s="11" t="s">
        <v>26</v>
      </c>
      <c r="AY75" s="10">
        <v>2666970390.8000002</v>
      </c>
      <c r="AZ75" s="11">
        <v>3.8470163925499999E-3</v>
      </c>
      <c r="BA75" s="11">
        <v>0.08</v>
      </c>
      <c r="BB75" s="11">
        <v>7.6200000000000004E-2</v>
      </c>
    </row>
    <row r="76" spans="1:54" s="7" customFormat="1">
      <c r="A76" s="3" t="s">
        <v>67</v>
      </c>
      <c r="B76" s="31" t="s">
        <v>56</v>
      </c>
      <c r="C76" s="2">
        <v>314270865.60000002</v>
      </c>
      <c r="D76" s="1">
        <v>1</v>
      </c>
      <c r="E76" s="1" t="s">
        <v>26</v>
      </c>
      <c r="F76" s="1" t="s">
        <v>26</v>
      </c>
      <c r="G76" s="2">
        <v>409967780</v>
      </c>
      <c r="H76" s="1">
        <v>1</v>
      </c>
      <c r="I76" s="1" t="s">
        <v>26</v>
      </c>
      <c r="J76" s="1" t="s">
        <v>26</v>
      </c>
      <c r="K76" s="2">
        <v>166535185</v>
      </c>
      <c r="L76" s="1">
        <v>1</v>
      </c>
      <c r="M76" s="1" t="s">
        <v>26</v>
      </c>
      <c r="N76" s="1" t="s">
        <v>26</v>
      </c>
      <c r="O76" s="2">
        <v>1461041798.6199999</v>
      </c>
      <c r="P76" s="1">
        <v>1</v>
      </c>
      <c r="Q76" s="1" t="s">
        <v>26</v>
      </c>
      <c r="R76" s="1" t="s">
        <v>26</v>
      </c>
      <c r="S76" s="2">
        <v>315154761.57999998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2666970390.8000002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 t="s">
        <v>26</v>
      </c>
      <c r="AR76" s="1" t="s">
        <v>26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2666970390.8000002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70</v>
      </c>
      <c r="B77" s="24" t="s">
        <v>25</v>
      </c>
      <c r="C77" s="10" t="s">
        <v>26</v>
      </c>
      <c r="D77" s="11" t="s">
        <v>26</v>
      </c>
      <c r="E77" s="11" t="s">
        <v>26</v>
      </c>
      <c r="F77" s="11" t="s">
        <v>26</v>
      </c>
      <c r="G77" s="10">
        <v>2410353278.4200001</v>
      </c>
      <c r="H77" s="11">
        <v>1.6801626134359999E-2</v>
      </c>
      <c r="I77" s="11">
        <v>0.09</v>
      </c>
      <c r="J77" s="11">
        <v>7.3200000000000001E-2</v>
      </c>
      <c r="K77" s="10" t="s">
        <v>26</v>
      </c>
      <c r="L77" s="11" t="s">
        <v>26</v>
      </c>
      <c r="M77" s="11" t="s">
        <v>26</v>
      </c>
      <c r="N77" s="11" t="s">
        <v>26</v>
      </c>
      <c r="O77" s="10">
        <v>2253267328.2199998</v>
      </c>
      <c r="P77" s="11">
        <v>1.0549306709919999E-2</v>
      </c>
      <c r="Q77" s="11">
        <v>0.09</v>
      </c>
      <c r="R77" s="11">
        <v>7.9500000000000001E-2</v>
      </c>
      <c r="S77" s="10">
        <v>1410621432.0999999</v>
      </c>
      <c r="T77" s="11">
        <v>1.3178131547190001E-2</v>
      </c>
      <c r="U77" s="11">
        <v>0.09</v>
      </c>
      <c r="V77" s="11">
        <v>7.6799999999999993E-2</v>
      </c>
      <c r="W77" s="10" t="s">
        <v>26</v>
      </c>
      <c r="X77" s="11" t="s">
        <v>26</v>
      </c>
      <c r="Y77" s="11" t="s">
        <v>26</v>
      </c>
      <c r="Z77" s="11" t="s">
        <v>26</v>
      </c>
      <c r="AA77" s="10">
        <v>1881092004</v>
      </c>
      <c r="AB77" s="11">
        <v>1.426015233622E-2</v>
      </c>
      <c r="AC77" s="11">
        <v>0.09</v>
      </c>
      <c r="AD77" s="11">
        <v>7.5700000000000003E-2</v>
      </c>
      <c r="AE77" s="10">
        <v>7955334042.7399998</v>
      </c>
      <c r="AF77" s="11">
        <v>1.3034699513619999E-2</v>
      </c>
      <c r="AG77" s="11">
        <v>0.09</v>
      </c>
      <c r="AH77" s="11">
        <v>7.6999999999999999E-2</v>
      </c>
      <c r="AI77" s="10">
        <v>16754199.41</v>
      </c>
      <c r="AJ77" s="11">
        <v>1.00891633554E-3</v>
      </c>
      <c r="AK77" s="11">
        <v>0.09</v>
      </c>
      <c r="AL77" s="11">
        <v>8.8999999999999996E-2</v>
      </c>
      <c r="AM77" s="10">
        <v>119965206.26000001</v>
      </c>
      <c r="AN77" s="11">
        <v>5.1253779391799998E-3</v>
      </c>
      <c r="AO77" s="11">
        <v>0.09</v>
      </c>
      <c r="AP77" s="11">
        <v>8.4900000000000003E-2</v>
      </c>
      <c r="AQ77" s="10">
        <v>136719405.66999999</v>
      </c>
      <c r="AR77" s="11">
        <v>3.41693848148E-3</v>
      </c>
      <c r="AS77" s="11">
        <v>0.09</v>
      </c>
      <c r="AT77" s="11">
        <v>8.6599999999999996E-2</v>
      </c>
      <c r="AU77" s="10">
        <v>493547236.02999997</v>
      </c>
      <c r="AV77" s="11">
        <v>1.1497932905309999E-2</v>
      </c>
      <c r="AW77" s="11">
        <v>0.09</v>
      </c>
      <c r="AX77" s="11">
        <v>7.85E-2</v>
      </c>
      <c r="AY77" s="10">
        <v>8585600684.4399996</v>
      </c>
      <c r="AZ77" s="11">
        <v>1.238444441936E-2</v>
      </c>
      <c r="BA77" s="11">
        <v>0.09</v>
      </c>
      <c r="BB77" s="11">
        <v>7.7600000000000002E-2</v>
      </c>
    </row>
    <row r="78" spans="1:54" s="7" customFormat="1">
      <c r="A78" s="3" t="s">
        <v>67</v>
      </c>
      <c r="B78" s="31" t="s">
        <v>37</v>
      </c>
      <c r="C78" s="2" t="s">
        <v>26</v>
      </c>
      <c r="D78" s="1" t="s">
        <v>26</v>
      </c>
      <c r="E78" s="1" t="s">
        <v>26</v>
      </c>
      <c r="F78" s="1" t="s">
        <v>26</v>
      </c>
      <c r="G78" s="2">
        <v>2410353278.4200001</v>
      </c>
      <c r="H78" s="1">
        <v>1</v>
      </c>
      <c r="I78" s="1" t="s">
        <v>26</v>
      </c>
      <c r="J78" s="1" t="s">
        <v>26</v>
      </c>
      <c r="K78" s="2" t="s">
        <v>26</v>
      </c>
      <c r="L78" s="1" t="s">
        <v>26</v>
      </c>
      <c r="M78" s="1" t="s">
        <v>26</v>
      </c>
      <c r="N78" s="1" t="s">
        <v>26</v>
      </c>
      <c r="O78" s="2">
        <v>2253267328.2199998</v>
      </c>
      <c r="P78" s="1">
        <v>1</v>
      </c>
      <c r="Q78" s="1" t="s">
        <v>26</v>
      </c>
      <c r="R78" s="1" t="s">
        <v>26</v>
      </c>
      <c r="S78" s="2">
        <v>1410621432.0999999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>
        <v>1881092004</v>
      </c>
      <c r="AB78" s="1">
        <v>1</v>
      </c>
      <c r="AC78" s="1" t="s">
        <v>26</v>
      </c>
      <c r="AD78" s="1" t="s">
        <v>26</v>
      </c>
      <c r="AE78" s="2">
        <v>7955334042.7399998</v>
      </c>
      <c r="AF78" s="1">
        <v>1</v>
      </c>
      <c r="AG78" s="1" t="s">
        <v>26</v>
      </c>
      <c r="AH78" s="1" t="s">
        <v>26</v>
      </c>
      <c r="AI78" s="2">
        <v>16754199.41</v>
      </c>
      <c r="AJ78" s="1">
        <v>1</v>
      </c>
      <c r="AK78" s="1" t="s">
        <v>26</v>
      </c>
      <c r="AL78" s="1" t="s">
        <v>26</v>
      </c>
      <c r="AM78" s="2">
        <v>119965206.26000001</v>
      </c>
      <c r="AN78" s="1">
        <v>1</v>
      </c>
      <c r="AO78" s="1" t="s">
        <v>26</v>
      </c>
      <c r="AP78" s="1" t="s">
        <v>26</v>
      </c>
      <c r="AQ78" s="2">
        <v>136719405.66999999</v>
      </c>
      <c r="AR78" s="1">
        <v>1</v>
      </c>
      <c r="AS78" s="1" t="s">
        <v>26</v>
      </c>
      <c r="AT78" s="1" t="s">
        <v>26</v>
      </c>
      <c r="AU78" s="2">
        <v>493547236.02999997</v>
      </c>
      <c r="AV78" s="1">
        <v>1</v>
      </c>
      <c r="AW78" s="1" t="s">
        <v>26</v>
      </c>
      <c r="AX78" s="1" t="s">
        <v>26</v>
      </c>
      <c r="AY78" s="2">
        <v>8585600684.4399996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71</v>
      </c>
      <c r="B79" s="24" t="s">
        <v>25</v>
      </c>
      <c r="C79" s="10">
        <v>87784416.489999995</v>
      </c>
      <c r="D79" s="11">
        <v>1.5647048465479999E-2</v>
      </c>
      <c r="E79" s="11">
        <v>0.08</v>
      </c>
      <c r="F79" s="11">
        <v>6.4399999999999999E-2</v>
      </c>
      <c r="G79" s="10">
        <v>223328141.38999999</v>
      </c>
      <c r="H79" s="11">
        <v>1.55673277047E-3</v>
      </c>
      <c r="I79" s="11">
        <v>0.08</v>
      </c>
      <c r="J79" s="11">
        <v>7.8399999999999997E-2</v>
      </c>
      <c r="K79" s="10">
        <v>105668558.28</v>
      </c>
      <c r="L79" s="11">
        <v>3.886958843847E-2</v>
      </c>
      <c r="M79" s="11">
        <v>0.08</v>
      </c>
      <c r="N79" s="11">
        <v>4.1099999999999998E-2</v>
      </c>
      <c r="O79" s="10">
        <v>2754483586.9899998</v>
      </c>
      <c r="P79" s="11">
        <v>1.2895892033179999E-2</v>
      </c>
      <c r="Q79" s="11">
        <v>0.08</v>
      </c>
      <c r="R79" s="11">
        <v>6.7100000000000007E-2</v>
      </c>
      <c r="S79" s="10">
        <v>2905954399.4699998</v>
      </c>
      <c r="T79" s="11">
        <v>2.7147644630170002E-2</v>
      </c>
      <c r="U79" s="11">
        <v>0.08</v>
      </c>
      <c r="V79" s="11">
        <v>5.2900000000000003E-2</v>
      </c>
      <c r="W79" s="10" t="s">
        <v>26</v>
      </c>
      <c r="X79" s="11" t="s">
        <v>26</v>
      </c>
      <c r="Y79" s="11" t="s">
        <v>26</v>
      </c>
      <c r="Z79" s="11" t="s">
        <v>26</v>
      </c>
      <c r="AA79" s="10">
        <v>1893033226.98</v>
      </c>
      <c r="AB79" s="11">
        <v>1.4350676169400001E-2</v>
      </c>
      <c r="AC79" s="11">
        <v>0.08</v>
      </c>
      <c r="AD79" s="11">
        <v>6.5600000000000006E-2</v>
      </c>
      <c r="AE79" s="10">
        <v>7970252329.6000004</v>
      </c>
      <c r="AF79" s="11">
        <v>1.3059142910390001E-2</v>
      </c>
      <c r="AG79" s="11">
        <v>0.08</v>
      </c>
      <c r="AH79" s="11">
        <v>6.6900000000000001E-2</v>
      </c>
      <c r="AI79" s="10">
        <v>619524648.59000003</v>
      </c>
      <c r="AJ79" s="11">
        <v>3.7306977369330002E-2</v>
      </c>
      <c r="AK79" s="11">
        <v>0.08</v>
      </c>
      <c r="AL79" s="11">
        <v>4.2700000000000002E-2</v>
      </c>
      <c r="AM79" s="10">
        <v>1697469536.0799999</v>
      </c>
      <c r="AN79" s="11">
        <v>7.2522468671509993E-2</v>
      </c>
      <c r="AO79" s="11">
        <v>0.08</v>
      </c>
      <c r="AP79" s="11">
        <v>7.4999999999999997E-3</v>
      </c>
      <c r="AQ79" s="10">
        <v>2316994184.6700001</v>
      </c>
      <c r="AR79" s="11">
        <v>5.7907116785329997E-2</v>
      </c>
      <c r="AS79" s="11">
        <v>0.08</v>
      </c>
      <c r="AT79" s="11">
        <v>2.2100000000000002E-2</v>
      </c>
      <c r="AU79" s="10">
        <v>715151223.75</v>
      </c>
      <c r="AV79" s="11">
        <v>1.6660534570050001E-2</v>
      </c>
      <c r="AW79" s="11">
        <v>0.08</v>
      </c>
      <c r="AX79" s="11">
        <v>6.3299999999999995E-2</v>
      </c>
      <c r="AY79" s="10">
        <v>11002397738.02</v>
      </c>
      <c r="AZ79" s="11">
        <v>1.5870594064920002E-2</v>
      </c>
      <c r="BA79" s="11">
        <v>0.08</v>
      </c>
      <c r="BB79" s="11">
        <v>6.4100000000000004E-2</v>
      </c>
    </row>
    <row r="80" spans="1:54" s="7" customFormat="1">
      <c r="A80" s="3" t="s">
        <v>67</v>
      </c>
      <c r="B80" s="31" t="s">
        <v>56</v>
      </c>
      <c r="C80" s="2">
        <v>87784416.489999995</v>
      </c>
      <c r="D80" s="1">
        <v>1</v>
      </c>
      <c r="E80" s="1" t="s">
        <v>26</v>
      </c>
      <c r="F80" s="1" t="s">
        <v>26</v>
      </c>
      <c r="G80" s="2">
        <v>223328141.38999999</v>
      </c>
      <c r="H80" s="1">
        <v>1</v>
      </c>
      <c r="I80" s="1" t="s">
        <v>26</v>
      </c>
      <c r="J80" s="1" t="s">
        <v>26</v>
      </c>
      <c r="K80" s="2">
        <v>105668558.28</v>
      </c>
      <c r="L80" s="1">
        <v>1</v>
      </c>
      <c r="M80" s="1" t="s">
        <v>26</v>
      </c>
      <c r="N80" s="1" t="s">
        <v>26</v>
      </c>
      <c r="O80" s="2">
        <v>2754483586.9899998</v>
      </c>
      <c r="P80" s="1">
        <v>1</v>
      </c>
      <c r="Q80" s="1" t="s">
        <v>26</v>
      </c>
      <c r="R80" s="1" t="s">
        <v>26</v>
      </c>
      <c r="S80" s="2">
        <v>2905954399.4699998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>
        <v>1893033226.98</v>
      </c>
      <c r="AB80" s="1">
        <v>1</v>
      </c>
      <c r="AC80" s="1" t="s">
        <v>26</v>
      </c>
      <c r="AD80" s="1" t="s">
        <v>26</v>
      </c>
      <c r="AE80" s="2">
        <v>7970252329.6000004</v>
      </c>
      <c r="AF80" s="1">
        <v>1</v>
      </c>
      <c r="AG80" s="1" t="s">
        <v>26</v>
      </c>
      <c r="AH80" s="1" t="s">
        <v>26</v>
      </c>
      <c r="AI80" s="2">
        <v>619524648.59000003</v>
      </c>
      <c r="AJ80" s="1">
        <v>1</v>
      </c>
      <c r="AK80" s="1" t="s">
        <v>26</v>
      </c>
      <c r="AL80" s="1" t="s">
        <v>26</v>
      </c>
      <c r="AM80" s="2">
        <v>1697469536.0799999</v>
      </c>
      <c r="AN80" s="1">
        <v>1</v>
      </c>
      <c r="AO80" s="1" t="s">
        <v>26</v>
      </c>
      <c r="AP80" s="1" t="s">
        <v>26</v>
      </c>
      <c r="AQ80" s="2">
        <v>2316994184.6700001</v>
      </c>
      <c r="AR80" s="1">
        <v>1</v>
      </c>
      <c r="AS80" s="1" t="s">
        <v>26</v>
      </c>
      <c r="AT80" s="1" t="s">
        <v>26</v>
      </c>
      <c r="AU80" s="2">
        <v>715151223.75</v>
      </c>
      <c r="AV80" s="1">
        <v>1</v>
      </c>
      <c r="AW80" s="1" t="s">
        <v>26</v>
      </c>
      <c r="AX80" s="1" t="s">
        <v>26</v>
      </c>
      <c r="AY80" s="2">
        <v>11002397738.02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72</v>
      </c>
      <c r="B81" s="24" t="s">
        <v>25</v>
      </c>
      <c r="C81" s="10">
        <v>91321895.099999994</v>
      </c>
      <c r="D81" s="11">
        <v>1.6277582921019999E-2</v>
      </c>
      <c r="E81" s="11">
        <v>0.08</v>
      </c>
      <c r="F81" s="11">
        <v>6.3700000000000007E-2</v>
      </c>
      <c r="G81" s="10">
        <v>643392501.36000001</v>
      </c>
      <c r="H81" s="11">
        <v>4.4848364604000001E-3</v>
      </c>
      <c r="I81" s="11">
        <v>0.08</v>
      </c>
      <c r="J81" s="11">
        <v>7.5499999999999998E-2</v>
      </c>
      <c r="K81" s="10">
        <v>107007425.48</v>
      </c>
      <c r="L81" s="11">
        <v>3.9362083253239998E-2</v>
      </c>
      <c r="M81" s="11">
        <v>0.08</v>
      </c>
      <c r="N81" s="11">
        <v>4.0599999999999997E-2</v>
      </c>
      <c r="O81" s="10">
        <v>1856639365.01</v>
      </c>
      <c r="P81" s="11">
        <v>8.69238099976E-3</v>
      </c>
      <c r="Q81" s="11">
        <v>0.08</v>
      </c>
      <c r="R81" s="11">
        <v>7.1300000000000002E-2</v>
      </c>
      <c r="S81" s="10" t="s">
        <v>26</v>
      </c>
      <c r="T81" s="11" t="s">
        <v>26</v>
      </c>
      <c r="U81" s="11" t="s">
        <v>26</v>
      </c>
      <c r="V81" s="11" t="s">
        <v>26</v>
      </c>
      <c r="W81" s="10" t="s">
        <v>26</v>
      </c>
      <c r="X81" s="11" t="s">
        <v>26</v>
      </c>
      <c r="Y81" s="11" t="s">
        <v>26</v>
      </c>
      <c r="Z81" s="11" t="s">
        <v>26</v>
      </c>
      <c r="AA81" s="10" t="s">
        <v>26</v>
      </c>
      <c r="AB81" s="11" t="s">
        <v>26</v>
      </c>
      <c r="AC81" s="11" t="s">
        <v>26</v>
      </c>
      <c r="AD81" s="11" t="s">
        <v>26</v>
      </c>
      <c r="AE81" s="10">
        <v>2698361186.9499998</v>
      </c>
      <c r="AF81" s="11">
        <v>4.4212256911099999E-3</v>
      </c>
      <c r="AG81" s="11">
        <v>0.08</v>
      </c>
      <c r="AH81" s="11">
        <v>7.5600000000000001E-2</v>
      </c>
      <c r="AI81" s="10" t="s">
        <v>26</v>
      </c>
      <c r="AJ81" s="11" t="s">
        <v>26</v>
      </c>
      <c r="AK81" s="11" t="s">
        <v>26</v>
      </c>
      <c r="AL81" s="11" t="s">
        <v>26</v>
      </c>
      <c r="AM81" s="10">
        <v>372652015.08999997</v>
      </c>
      <c r="AN81" s="11">
        <v>1.5921136441810001E-2</v>
      </c>
      <c r="AO81" s="11">
        <v>0.08</v>
      </c>
      <c r="AP81" s="11">
        <v>6.4100000000000004E-2</v>
      </c>
      <c r="AQ81" s="10">
        <v>372652015.08999997</v>
      </c>
      <c r="AR81" s="11">
        <v>9.3134475264899999E-3</v>
      </c>
      <c r="AS81" s="11">
        <v>0.08</v>
      </c>
      <c r="AT81" s="11">
        <v>7.0699999999999999E-2</v>
      </c>
      <c r="AU81" s="10" t="s">
        <v>26</v>
      </c>
      <c r="AV81" s="11" t="s">
        <v>26</v>
      </c>
      <c r="AW81" s="11" t="s">
        <v>26</v>
      </c>
      <c r="AX81" s="11" t="s">
        <v>26</v>
      </c>
      <c r="AY81" s="10">
        <v>3071013202.04</v>
      </c>
      <c r="AZ81" s="11">
        <v>4.4298347558500003E-3</v>
      </c>
      <c r="BA81" s="11">
        <v>0.08</v>
      </c>
      <c r="BB81" s="11">
        <v>7.5600000000000001E-2</v>
      </c>
    </row>
    <row r="82" spans="1:54" s="7" customFormat="1">
      <c r="A82" s="3" t="s">
        <v>67</v>
      </c>
      <c r="B82" s="31" t="s">
        <v>56</v>
      </c>
      <c r="C82" s="2">
        <v>91321895.099999994</v>
      </c>
      <c r="D82" s="1">
        <v>1</v>
      </c>
      <c r="E82" s="1" t="s">
        <v>26</v>
      </c>
      <c r="F82" s="1" t="s">
        <v>26</v>
      </c>
      <c r="G82" s="2">
        <v>643392501.36000001</v>
      </c>
      <c r="H82" s="1">
        <v>1</v>
      </c>
      <c r="I82" s="1" t="s">
        <v>26</v>
      </c>
      <c r="J82" s="1" t="s">
        <v>26</v>
      </c>
      <c r="K82" s="2">
        <v>107007425.48</v>
      </c>
      <c r="L82" s="1">
        <v>1</v>
      </c>
      <c r="M82" s="1" t="s">
        <v>26</v>
      </c>
      <c r="N82" s="1" t="s">
        <v>26</v>
      </c>
      <c r="O82" s="2">
        <v>1856639365.01</v>
      </c>
      <c r="P82" s="1">
        <v>1</v>
      </c>
      <c r="Q82" s="1" t="s">
        <v>26</v>
      </c>
      <c r="R82" s="1" t="s">
        <v>26</v>
      </c>
      <c r="S82" s="2" t="s">
        <v>26</v>
      </c>
      <c r="T82" s="1" t="s">
        <v>26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2698361186.9499998</v>
      </c>
      <c r="AF82" s="1">
        <v>1</v>
      </c>
      <c r="AG82" s="1" t="s">
        <v>26</v>
      </c>
      <c r="AH82" s="1" t="s">
        <v>26</v>
      </c>
      <c r="AI82" s="2" t="s">
        <v>26</v>
      </c>
      <c r="AJ82" s="1" t="s">
        <v>26</v>
      </c>
      <c r="AK82" s="1" t="s">
        <v>26</v>
      </c>
      <c r="AL82" s="1" t="s">
        <v>26</v>
      </c>
      <c r="AM82" s="2">
        <v>372652015.08999997</v>
      </c>
      <c r="AN82" s="1">
        <v>1</v>
      </c>
      <c r="AO82" s="1" t="s">
        <v>26</v>
      </c>
      <c r="AP82" s="1" t="s">
        <v>26</v>
      </c>
      <c r="AQ82" s="2">
        <v>372652015.08999997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3071013202.04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73</v>
      </c>
      <c r="B83" s="24" t="s">
        <v>25</v>
      </c>
      <c r="C83" s="10">
        <v>89777530.760000005</v>
      </c>
      <c r="D83" s="11">
        <v>1.6002309192010001E-2</v>
      </c>
      <c r="E83" s="11">
        <v>0.06</v>
      </c>
      <c r="F83" s="11">
        <v>4.3999999999999997E-2</v>
      </c>
      <c r="G83" s="10">
        <v>416068728.31</v>
      </c>
      <c r="H83" s="11">
        <v>2.9002517107599999E-3</v>
      </c>
      <c r="I83" s="11">
        <v>0.06</v>
      </c>
      <c r="J83" s="11">
        <v>5.7099999999999998E-2</v>
      </c>
      <c r="K83" s="10">
        <v>33719435.890000001</v>
      </c>
      <c r="L83" s="11">
        <v>1.240350598849E-2</v>
      </c>
      <c r="M83" s="11">
        <v>0.06</v>
      </c>
      <c r="N83" s="11">
        <v>4.7600000000000003E-2</v>
      </c>
      <c r="O83" s="10">
        <v>405211465.10000002</v>
      </c>
      <c r="P83" s="11">
        <v>1.89711179592E-3</v>
      </c>
      <c r="Q83" s="11">
        <v>0.06</v>
      </c>
      <c r="R83" s="11">
        <v>5.8099999999999999E-2</v>
      </c>
      <c r="S83" s="10">
        <v>129702982.5</v>
      </c>
      <c r="T83" s="11">
        <v>1.2116950207600001E-3</v>
      </c>
      <c r="U83" s="11">
        <v>0.06</v>
      </c>
      <c r="V83" s="11">
        <v>5.8799999999999998E-2</v>
      </c>
      <c r="W83" s="10" t="s">
        <v>26</v>
      </c>
      <c r="X83" s="11" t="s">
        <v>26</v>
      </c>
      <c r="Y83" s="11" t="s">
        <v>26</v>
      </c>
      <c r="Z83" s="11" t="s">
        <v>26</v>
      </c>
      <c r="AA83" s="10">
        <v>102957843.8</v>
      </c>
      <c r="AB83" s="11">
        <v>7.8050118424999998E-4</v>
      </c>
      <c r="AC83" s="11">
        <v>0.06</v>
      </c>
      <c r="AD83" s="11">
        <v>5.9200000000000003E-2</v>
      </c>
      <c r="AE83" s="10">
        <v>1177437986.3599999</v>
      </c>
      <c r="AF83" s="11">
        <v>1.9292150732700001E-3</v>
      </c>
      <c r="AG83" s="11">
        <v>0.06</v>
      </c>
      <c r="AH83" s="11">
        <v>5.8099999999999999E-2</v>
      </c>
      <c r="AI83" s="10">
        <v>269105336.56999999</v>
      </c>
      <c r="AJ83" s="11">
        <v>1.6205177185819999E-2</v>
      </c>
      <c r="AK83" s="11">
        <v>0.06</v>
      </c>
      <c r="AL83" s="11">
        <v>4.3799999999999999E-2</v>
      </c>
      <c r="AM83" s="10" t="s">
        <v>26</v>
      </c>
      <c r="AN83" s="11" t="s">
        <v>26</v>
      </c>
      <c r="AO83" s="11" t="s">
        <v>26</v>
      </c>
      <c r="AP83" s="11" t="s">
        <v>26</v>
      </c>
      <c r="AQ83" s="10">
        <v>269105336.56999999</v>
      </c>
      <c r="AR83" s="11">
        <v>6.7255732687699996E-3</v>
      </c>
      <c r="AS83" s="11">
        <v>0.06</v>
      </c>
      <c r="AT83" s="11">
        <v>5.33E-2</v>
      </c>
      <c r="AU83" s="10" t="s">
        <v>26</v>
      </c>
      <c r="AV83" s="11" t="s">
        <v>26</v>
      </c>
      <c r="AW83" s="11" t="s">
        <v>26</v>
      </c>
      <c r="AX83" s="11" t="s">
        <v>26</v>
      </c>
      <c r="AY83" s="10">
        <v>1446543322.9300001</v>
      </c>
      <c r="AZ83" s="11">
        <v>2.0865907979500001E-3</v>
      </c>
      <c r="BA83" s="11">
        <v>0.06</v>
      </c>
      <c r="BB83" s="11">
        <v>5.79E-2</v>
      </c>
    </row>
    <row r="84" spans="1:54" s="7" customFormat="1">
      <c r="A84" s="3" t="s">
        <v>67</v>
      </c>
      <c r="B84" s="31" t="s">
        <v>46</v>
      </c>
      <c r="C84" s="2">
        <v>89777530.760000005</v>
      </c>
      <c r="D84" s="1">
        <v>1</v>
      </c>
      <c r="E84" s="1" t="s">
        <v>26</v>
      </c>
      <c r="F84" s="1" t="s">
        <v>26</v>
      </c>
      <c r="G84" s="2">
        <v>416068728.31</v>
      </c>
      <c r="H84" s="1">
        <v>1</v>
      </c>
      <c r="I84" s="1" t="s">
        <v>26</v>
      </c>
      <c r="J84" s="1" t="s">
        <v>26</v>
      </c>
      <c r="K84" s="2">
        <v>33719435.890000001</v>
      </c>
      <c r="L84" s="1">
        <v>1</v>
      </c>
      <c r="M84" s="1" t="s">
        <v>26</v>
      </c>
      <c r="N84" s="1" t="s">
        <v>26</v>
      </c>
      <c r="O84" s="2">
        <v>405211465.10000002</v>
      </c>
      <c r="P84" s="1">
        <v>1</v>
      </c>
      <c r="Q84" s="1" t="s">
        <v>26</v>
      </c>
      <c r="R84" s="1" t="s">
        <v>26</v>
      </c>
      <c r="S84" s="2">
        <v>129702982.5</v>
      </c>
      <c r="T84" s="1">
        <v>1</v>
      </c>
      <c r="U84" s="1" t="s">
        <v>26</v>
      </c>
      <c r="V84" s="1" t="s">
        <v>26</v>
      </c>
      <c r="W84" s="2" t="s">
        <v>26</v>
      </c>
      <c r="X84" s="1" t="s">
        <v>26</v>
      </c>
      <c r="Y84" s="1" t="s">
        <v>26</v>
      </c>
      <c r="Z84" s="1" t="s">
        <v>26</v>
      </c>
      <c r="AA84" s="2">
        <v>102957843.8</v>
      </c>
      <c r="AB84" s="1">
        <v>1</v>
      </c>
      <c r="AC84" s="1" t="s">
        <v>26</v>
      </c>
      <c r="AD84" s="1" t="s">
        <v>26</v>
      </c>
      <c r="AE84" s="2">
        <v>1177437986.3599999</v>
      </c>
      <c r="AF84" s="1">
        <v>1</v>
      </c>
      <c r="AG84" s="1" t="s">
        <v>26</v>
      </c>
      <c r="AH84" s="1" t="s">
        <v>26</v>
      </c>
      <c r="AI84" s="2">
        <v>269105336.56999999</v>
      </c>
      <c r="AJ84" s="1">
        <v>1</v>
      </c>
      <c r="AK84" s="1" t="s">
        <v>26</v>
      </c>
      <c r="AL84" s="1" t="s">
        <v>26</v>
      </c>
      <c r="AM84" s="2" t="s">
        <v>26</v>
      </c>
      <c r="AN84" s="1" t="s">
        <v>26</v>
      </c>
      <c r="AO84" s="1" t="s">
        <v>26</v>
      </c>
      <c r="AP84" s="1" t="s">
        <v>26</v>
      </c>
      <c r="AQ84" s="2">
        <v>269105336.56999999</v>
      </c>
      <c r="AR84" s="1">
        <v>1</v>
      </c>
      <c r="AS84" s="1" t="s">
        <v>26</v>
      </c>
      <c r="AT84" s="1" t="s">
        <v>26</v>
      </c>
      <c r="AU84" s="2" t="s">
        <v>26</v>
      </c>
      <c r="AV84" s="1" t="s">
        <v>26</v>
      </c>
      <c r="AW84" s="1" t="s">
        <v>26</v>
      </c>
      <c r="AX84" s="1" t="s">
        <v>26</v>
      </c>
      <c r="AY84" s="2">
        <v>1446543322.9300001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74</v>
      </c>
      <c r="B85" s="24" t="s">
        <v>25</v>
      </c>
      <c r="C85" s="10">
        <v>12740628.5</v>
      </c>
      <c r="D85" s="11">
        <v>2.2709410119800002E-3</v>
      </c>
      <c r="E85" s="11">
        <v>0.06</v>
      </c>
      <c r="F85" s="11">
        <v>5.7700000000000001E-2</v>
      </c>
      <c r="G85" s="10">
        <v>602906834</v>
      </c>
      <c r="H85" s="11">
        <v>4.20262677235E-3</v>
      </c>
      <c r="I85" s="11">
        <v>0.06</v>
      </c>
      <c r="J85" s="11">
        <v>5.5800000000000002E-2</v>
      </c>
      <c r="K85" s="10" t="s">
        <v>26</v>
      </c>
      <c r="L85" s="11" t="s">
        <v>26</v>
      </c>
      <c r="M85" s="11" t="s">
        <v>26</v>
      </c>
      <c r="N85" s="11" t="s">
        <v>26</v>
      </c>
      <c r="O85" s="10">
        <v>384765109.24000001</v>
      </c>
      <c r="P85" s="11">
        <v>1.80138641244E-3</v>
      </c>
      <c r="Q85" s="11">
        <v>0.06</v>
      </c>
      <c r="R85" s="11">
        <v>5.8200000000000002E-2</v>
      </c>
      <c r="S85" s="10">
        <v>106166390.3</v>
      </c>
      <c r="T85" s="11">
        <v>9.9181440564000004E-4</v>
      </c>
      <c r="U85" s="11">
        <v>0.06</v>
      </c>
      <c r="V85" s="11">
        <v>5.8999999999999997E-2</v>
      </c>
      <c r="W85" s="10" t="s">
        <v>26</v>
      </c>
      <c r="X85" s="11" t="s">
        <v>26</v>
      </c>
      <c r="Y85" s="11" t="s">
        <v>26</v>
      </c>
      <c r="Z85" s="11" t="s">
        <v>26</v>
      </c>
      <c r="AA85" s="10">
        <v>151476718.5</v>
      </c>
      <c r="AB85" s="11">
        <v>1.14831229765E-3</v>
      </c>
      <c r="AC85" s="11">
        <v>0.06</v>
      </c>
      <c r="AD85" s="11">
        <v>5.8900000000000001E-2</v>
      </c>
      <c r="AE85" s="10">
        <v>1258055680.54</v>
      </c>
      <c r="AF85" s="11">
        <v>2.0613059965999998E-3</v>
      </c>
      <c r="AG85" s="11">
        <v>0.06</v>
      </c>
      <c r="AH85" s="11">
        <v>5.79E-2</v>
      </c>
      <c r="AI85" s="10">
        <v>116906799</v>
      </c>
      <c r="AJ85" s="11">
        <v>7.03997704456E-3</v>
      </c>
      <c r="AK85" s="11">
        <v>0.06</v>
      </c>
      <c r="AL85" s="11">
        <v>5.2999999999999999E-2</v>
      </c>
      <c r="AM85" s="10" t="s">
        <v>26</v>
      </c>
      <c r="AN85" s="11" t="s">
        <v>26</v>
      </c>
      <c r="AO85" s="11" t="s">
        <v>26</v>
      </c>
      <c r="AP85" s="11" t="s">
        <v>26</v>
      </c>
      <c r="AQ85" s="10">
        <v>116906799</v>
      </c>
      <c r="AR85" s="11">
        <v>2.9217749908400001E-3</v>
      </c>
      <c r="AS85" s="11">
        <v>0.06</v>
      </c>
      <c r="AT85" s="11">
        <v>5.7099999999999998E-2</v>
      </c>
      <c r="AU85" s="10" t="s">
        <v>26</v>
      </c>
      <c r="AV85" s="11" t="s">
        <v>26</v>
      </c>
      <c r="AW85" s="11" t="s">
        <v>26</v>
      </c>
      <c r="AX85" s="11" t="s">
        <v>26</v>
      </c>
      <c r="AY85" s="10">
        <v>1374962479.54</v>
      </c>
      <c r="AZ85" s="11">
        <v>1.9833378038900001E-3</v>
      </c>
      <c r="BA85" s="11">
        <v>0.06</v>
      </c>
      <c r="BB85" s="11">
        <v>5.8000000000000003E-2</v>
      </c>
    </row>
    <row r="86" spans="1:54" s="7" customFormat="1">
      <c r="A86" s="3" t="s">
        <v>67</v>
      </c>
      <c r="B86" s="31" t="s">
        <v>46</v>
      </c>
      <c r="C86" s="2">
        <v>12740628.5</v>
      </c>
      <c r="D86" s="1">
        <v>1</v>
      </c>
      <c r="E86" s="1" t="s">
        <v>26</v>
      </c>
      <c r="F86" s="1" t="s">
        <v>26</v>
      </c>
      <c r="G86" s="2">
        <v>602906834</v>
      </c>
      <c r="H86" s="1">
        <v>1</v>
      </c>
      <c r="I86" s="1" t="s">
        <v>26</v>
      </c>
      <c r="J86" s="1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2">
        <v>384765109.24000001</v>
      </c>
      <c r="P86" s="1">
        <v>1</v>
      </c>
      <c r="Q86" s="1" t="s">
        <v>26</v>
      </c>
      <c r="R86" s="1" t="s">
        <v>26</v>
      </c>
      <c r="S86" s="2">
        <v>106166390.3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>
        <v>151476718.5</v>
      </c>
      <c r="AB86" s="1">
        <v>1</v>
      </c>
      <c r="AC86" s="1" t="s">
        <v>26</v>
      </c>
      <c r="AD86" s="1" t="s">
        <v>26</v>
      </c>
      <c r="AE86" s="2">
        <v>1258055680.54</v>
      </c>
      <c r="AF86" s="1">
        <v>1</v>
      </c>
      <c r="AG86" s="1" t="s">
        <v>26</v>
      </c>
      <c r="AH86" s="1" t="s">
        <v>26</v>
      </c>
      <c r="AI86" s="2">
        <v>116906799</v>
      </c>
      <c r="AJ86" s="1">
        <v>1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>
        <v>116906799</v>
      </c>
      <c r="AR86" s="1">
        <v>1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2">
        <v>1374962479.54</v>
      </c>
      <c r="AZ86" s="1">
        <v>1</v>
      </c>
      <c r="BA86" s="1" t="s">
        <v>26</v>
      </c>
      <c r="BB86" s="1" t="s">
        <v>26</v>
      </c>
    </row>
    <row r="87" spans="1:54">
      <c r="A87" s="13" t="s">
        <v>75</v>
      </c>
      <c r="B87" s="25" t="s">
        <v>25</v>
      </c>
      <c r="C87" s="55" t="s">
        <v>26</v>
      </c>
      <c r="D87" s="56" t="s">
        <v>26</v>
      </c>
      <c r="E87" s="56" t="s">
        <v>26</v>
      </c>
      <c r="F87" s="56" t="s">
        <v>26</v>
      </c>
      <c r="G87" s="55" t="s">
        <v>26</v>
      </c>
      <c r="H87" s="56" t="s">
        <v>26</v>
      </c>
      <c r="I87" s="56" t="s">
        <v>26</v>
      </c>
      <c r="J87" s="56" t="s">
        <v>26</v>
      </c>
      <c r="K87" s="55" t="s">
        <v>26</v>
      </c>
      <c r="L87" s="56" t="s">
        <v>26</v>
      </c>
      <c r="M87" s="56" t="s">
        <v>26</v>
      </c>
      <c r="N87" s="56" t="s">
        <v>26</v>
      </c>
      <c r="O87" s="55">
        <v>128674778.75</v>
      </c>
      <c r="P87" s="56">
        <v>6.0242727964999999E-4</v>
      </c>
      <c r="Q87" s="56" t="s">
        <v>26</v>
      </c>
      <c r="R87" s="56" t="s">
        <v>26</v>
      </c>
      <c r="S87" s="55">
        <v>240327929.19</v>
      </c>
      <c r="T87" s="56">
        <v>2.24516159563E-3</v>
      </c>
      <c r="U87" s="56" t="s">
        <v>26</v>
      </c>
      <c r="V87" s="56" t="s">
        <v>26</v>
      </c>
      <c r="W87" s="55" t="s">
        <v>26</v>
      </c>
      <c r="X87" s="56" t="s">
        <v>26</v>
      </c>
      <c r="Y87" s="56" t="s">
        <v>26</v>
      </c>
      <c r="Z87" s="56" t="s">
        <v>26</v>
      </c>
      <c r="AA87" s="55">
        <v>143086353.97</v>
      </c>
      <c r="AB87" s="56">
        <v>1.08470675571E-3</v>
      </c>
      <c r="AC87" s="56" t="s">
        <v>26</v>
      </c>
      <c r="AD87" s="56" t="s">
        <v>26</v>
      </c>
      <c r="AE87" s="55">
        <v>512089061.91000003</v>
      </c>
      <c r="AF87" s="56">
        <v>8.3905050502999996E-4</v>
      </c>
      <c r="AG87" s="56" t="s">
        <v>26</v>
      </c>
      <c r="AH87" s="56" t="s">
        <v>26</v>
      </c>
      <c r="AI87" s="55">
        <v>10739774.34</v>
      </c>
      <c r="AJ87" s="56">
        <v>6.4673539490000002E-4</v>
      </c>
      <c r="AK87" s="56" t="s">
        <v>26</v>
      </c>
      <c r="AL87" s="56" t="s">
        <v>26</v>
      </c>
      <c r="AM87" s="55" t="s">
        <v>26</v>
      </c>
      <c r="AN87" s="56" t="s">
        <v>26</v>
      </c>
      <c r="AO87" s="56" t="s">
        <v>26</v>
      </c>
      <c r="AP87" s="56" t="s">
        <v>26</v>
      </c>
      <c r="AQ87" s="55">
        <v>10739774.34</v>
      </c>
      <c r="AR87" s="56">
        <v>2.6841213978000001E-4</v>
      </c>
      <c r="AS87" s="56" t="s">
        <v>26</v>
      </c>
      <c r="AT87" s="56" t="s">
        <v>26</v>
      </c>
      <c r="AU87" s="55">
        <v>32219323.010000002</v>
      </c>
      <c r="AV87" s="56">
        <v>7.5059809310999996E-4</v>
      </c>
      <c r="AW87" s="56" t="s">
        <v>26</v>
      </c>
      <c r="AX87" s="56" t="s">
        <v>26</v>
      </c>
      <c r="AY87" s="55">
        <v>555048159.25999999</v>
      </c>
      <c r="AZ87" s="56">
        <v>8.0063857277999997E-4</v>
      </c>
      <c r="BA87" s="56" t="s">
        <v>26</v>
      </c>
      <c r="BB87" s="56" t="s">
        <v>26</v>
      </c>
    </row>
    <row r="88" spans="1:54" s="7" customFormat="1">
      <c r="A88" s="5" t="s">
        <v>76</v>
      </c>
      <c r="B88" s="24" t="s">
        <v>25</v>
      </c>
      <c r="C88" s="10" t="s">
        <v>26</v>
      </c>
      <c r="D88" s="11" t="s">
        <v>26</v>
      </c>
      <c r="E88" s="11" t="s">
        <v>26</v>
      </c>
      <c r="F88" s="11" t="s">
        <v>26</v>
      </c>
      <c r="G88" s="10" t="s">
        <v>26</v>
      </c>
      <c r="H88" s="11" t="s">
        <v>26</v>
      </c>
      <c r="I88" s="11" t="s">
        <v>26</v>
      </c>
      <c r="J88" s="11" t="s">
        <v>26</v>
      </c>
      <c r="K88" s="10" t="s">
        <v>26</v>
      </c>
      <c r="L88" s="11" t="s">
        <v>26</v>
      </c>
      <c r="M88" s="11" t="s">
        <v>26</v>
      </c>
      <c r="N88" s="11" t="s">
        <v>26</v>
      </c>
      <c r="O88" s="10" t="s">
        <v>26</v>
      </c>
      <c r="P88" s="11" t="s">
        <v>26</v>
      </c>
      <c r="Q88" s="11" t="s">
        <v>26</v>
      </c>
      <c r="R88" s="11" t="s">
        <v>26</v>
      </c>
      <c r="S88" s="10">
        <v>85918194.689999998</v>
      </c>
      <c r="T88" s="11">
        <v>8.0265423887000004E-4</v>
      </c>
      <c r="U88" s="11">
        <v>0.1</v>
      </c>
      <c r="V88" s="11">
        <v>9.9199999999999997E-2</v>
      </c>
      <c r="W88" s="10" t="s">
        <v>26</v>
      </c>
      <c r="X88" s="11" t="s">
        <v>26</v>
      </c>
      <c r="Y88" s="11" t="s">
        <v>26</v>
      </c>
      <c r="Z88" s="11" t="s">
        <v>26</v>
      </c>
      <c r="AA88" s="10" t="s">
        <v>26</v>
      </c>
      <c r="AB88" s="11" t="s">
        <v>26</v>
      </c>
      <c r="AC88" s="11" t="s">
        <v>26</v>
      </c>
      <c r="AD88" s="11" t="s">
        <v>26</v>
      </c>
      <c r="AE88" s="10">
        <v>85918194.689999998</v>
      </c>
      <c r="AF88" s="11">
        <v>1.4077571658E-4</v>
      </c>
      <c r="AG88" s="11">
        <v>0.1</v>
      </c>
      <c r="AH88" s="11">
        <v>9.9900000000000003E-2</v>
      </c>
      <c r="AI88" s="10">
        <v>10739774.34</v>
      </c>
      <c r="AJ88" s="11">
        <v>6.4673539490000002E-4</v>
      </c>
      <c r="AK88" s="11">
        <v>0.1</v>
      </c>
      <c r="AL88" s="11">
        <v>9.9400000000000002E-2</v>
      </c>
      <c r="AM88" s="10" t="s">
        <v>26</v>
      </c>
      <c r="AN88" s="11" t="s">
        <v>26</v>
      </c>
      <c r="AO88" s="11" t="s">
        <v>26</v>
      </c>
      <c r="AP88" s="11" t="s">
        <v>26</v>
      </c>
      <c r="AQ88" s="10">
        <v>10739774.34</v>
      </c>
      <c r="AR88" s="11">
        <v>2.6841213978000001E-4</v>
      </c>
      <c r="AS88" s="11">
        <v>0.1</v>
      </c>
      <c r="AT88" s="11">
        <v>9.9699999999999997E-2</v>
      </c>
      <c r="AU88" s="10">
        <v>32219323.010000002</v>
      </c>
      <c r="AV88" s="11">
        <v>7.5059809310999996E-4</v>
      </c>
      <c r="AW88" s="11">
        <v>0.1</v>
      </c>
      <c r="AX88" s="11">
        <v>9.9199999999999997E-2</v>
      </c>
      <c r="AY88" s="10">
        <v>128877292.04000001</v>
      </c>
      <c r="AZ88" s="11">
        <v>1.8590122216000001E-4</v>
      </c>
      <c r="BA88" s="11">
        <v>0.1</v>
      </c>
      <c r="BB88" s="11">
        <v>9.98E-2</v>
      </c>
    </row>
    <row r="89" spans="1:54" s="7" customFormat="1">
      <c r="A89" s="3" t="s">
        <v>77</v>
      </c>
      <c r="B89" s="31" t="s">
        <v>29</v>
      </c>
      <c r="C89" s="2" t="s">
        <v>26</v>
      </c>
      <c r="D89" s="1" t="s">
        <v>26</v>
      </c>
      <c r="E89" s="1" t="s">
        <v>26</v>
      </c>
      <c r="F89" s="1" t="s">
        <v>26</v>
      </c>
      <c r="G89" s="2" t="s">
        <v>26</v>
      </c>
      <c r="H89" s="1" t="s">
        <v>26</v>
      </c>
      <c r="I89" s="1" t="s">
        <v>26</v>
      </c>
      <c r="J89" s="1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2">
        <v>85918194.689999998</v>
      </c>
      <c r="T89" s="1">
        <v>1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2">
        <v>85918194.689999998</v>
      </c>
      <c r="AF89" s="1">
        <v>1</v>
      </c>
      <c r="AG89" s="1" t="s">
        <v>26</v>
      </c>
      <c r="AH89" s="1" t="s">
        <v>26</v>
      </c>
      <c r="AI89" s="2">
        <v>10739774.34</v>
      </c>
      <c r="AJ89" s="1">
        <v>1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>
        <v>10739774.34</v>
      </c>
      <c r="AR89" s="1">
        <v>1</v>
      </c>
      <c r="AS89" s="1" t="s">
        <v>26</v>
      </c>
      <c r="AT89" s="1" t="s">
        <v>26</v>
      </c>
      <c r="AU89" s="2">
        <v>32219323.010000002</v>
      </c>
      <c r="AV89" s="1">
        <v>1</v>
      </c>
      <c r="AW89" s="1" t="s">
        <v>26</v>
      </c>
      <c r="AX89" s="1" t="s">
        <v>26</v>
      </c>
      <c r="AY89" s="2">
        <v>128877292.04000001</v>
      </c>
      <c r="AZ89" s="1">
        <v>1</v>
      </c>
      <c r="BA89" s="1" t="s">
        <v>26</v>
      </c>
      <c r="BB89" s="1" t="s">
        <v>26</v>
      </c>
    </row>
    <row r="90" spans="1:54" s="7" customFormat="1">
      <c r="A90" s="5" t="s">
        <v>78</v>
      </c>
      <c r="B90" s="24" t="s">
        <v>25</v>
      </c>
      <c r="C90" s="10" t="s">
        <v>26</v>
      </c>
      <c r="D90" s="11" t="s">
        <v>26</v>
      </c>
      <c r="E90" s="11" t="s">
        <v>26</v>
      </c>
      <c r="F90" s="11" t="s">
        <v>26</v>
      </c>
      <c r="G90" s="10" t="s">
        <v>26</v>
      </c>
      <c r="H90" s="11" t="s">
        <v>26</v>
      </c>
      <c r="I90" s="11" t="s">
        <v>26</v>
      </c>
      <c r="J90" s="11" t="s">
        <v>26</v>
      </c>
      <c r="K90" s="10" t="s">
        <v>26</v>
      </c>
      <c r="L90" s="11" t="s">
        <v>26</v>
      </c>
      <c r="M90" s="11" t="s">
        <v>26</v>
      </c>
      <c r="N90" s="11" t="s">
        <v>26</v>
      </c>
      <c r="O90" s="10">
        <v>128674778.75</v>
      </c>
      <c r="P90" s="11">
        <v>6.0242727964999999E-4</v>
      </c>
      <c r="Q90" s="11">
        <v>0.09</v>
      </c>
      <c r="R90" s="11">
        <v>8.9399999999999993E-2</v>
      </c>
      <c r="S90" s="10">
        <v>154409734.5</v>
      </c>
      <c r="T90" s="11">
        <v>1.44250735676E-3</v>
      </c>
      <c r="U90" s="11">
        <v>0.09</v>
      </c>
      <c r="V90" s="11">
        <v>8.8599999999999998E-2</v>
      </c>
      <c r="W90" s="10" t="s">
        <v>26</v>
      </c>
      <c r="X90" s="11" t="s">
        <v>26</v>
      </c>
      <c r="Y90" s="11" t="s">
        <v>26</v>
      </c>
      <c r="Z90" s="11" t="s">
        <v>26</v>
      </c>
      <c r="AA90" s="10">
        <v>143086353.97</v>
      </c>
      <c r="AB90" s="11">
        <v>1.08470675571E-3</v>
      </c>
      <c r="AC90" s="11">
        <v>0.09</v>
      </c>
      <c r="AD90" s="11">
        <v>8.8900000000000007E-2</v>
      </c>
      <c r="AE90" s="10">
        <v>426170867.22000003</v>
      </c>
      <c r="AF90" s="11">
        <v>6.9827478843999995E-4</v>
      </c>
      <c r="AG90" s="11">
        <v>0.09</v>
      </c>
      <c r="AH90" s="11">
        <v>8.9300000000000004E-2</v>
      </c>
      <c r="AI90" s="10" t="s">
        <v>26</v>
      </c>
      <c r="AJ90" s="11" t="s">
        <v>26</v>
      </c>
      <c r="AK90" s="11" t="s">
        <v>26</v>
      </c>
      <c r="AL90" s="11" t="s">
        <v>26</v>
      </c>
      <c r="AM90" s="10" t="s">
        <v>26</v>
      </c>
      <c r="AN90" s="11" t="s">
        <v>26</v>
      </c>
      <c r="AO90" s="11" t="s">
        <v>26</v>
      </c>
      <c r="AP90" s="11" t="s">
        <v>26</v>
      </c>
      <c r="AQ90" s="10" t="s">
        <v>26</v>
      </c>
      <c r="AR90" s="11" t="s">
        <v>26</v>
      </c>
      <c r="AS90" s="11" t="s">
        <v>26</v>
      </c>
      <c r="AT90" s="11" t="s">
        <v>26</v>
      </c>
      <c r="AU90" s="10" t="s">
        <v>26</v>
      </c>
      <c r="AV90" s="11" t="s">
        <v>26</v>
      </c>
      <c r="AW90" s="11" t="s">
        <v>26</v>
      </c>
      <c r="AX90" s="11" t="s">
        <v>26</v>
      </c>
      <c r="AY90" s="10">
        <v>426170867.22000003</v>
      </c>
      <c r="AZ90" s="11">
        <v>6.1473735062000001E-4</v>
      </c>
      <c r="BA90" s="11">
        <v>0.09</v>
      </c>
      <c r="BB90" s="11">
        <v>8.9399999999999993E-2</v>
      </c>
    </row>
    <row r="91" spans="1:54" s="7" customFormat="1">
      <c r="A91" s="3" t="s">
        <v>77</v>
      </c>
      <c r="B91" s="31" t="s">
        <v>37</v>
      </c>
      <c r="C91" s="2" t="s">
        <v>26</v>
      </c>
      <c r="D91" s="1" t="s">
        <v>26</v>
      </c>
      <c r="E91" s="1" t="s">
        <v>26</v>
      </c>
      <c r="F91" s="1" t="s">
        <v>26</v>
      </c>
      <c r="G91" s="2" t="s">
        <v>26</v>
      </c>
      <c r="H91" s="1" t="s">
        <v>26</v>
      </c>
      <c r="I91" s="1" t="s">
        <v>26</v>
      </c>
      <c r="J91" s="1" t="s">
        <v>26</v>
      </c>
      <c r="K91" s="2" t="s">
        <v>26</v>
      </c>
      <c r="L91" s="1" t="s">
        <v>26</v>
      </c>
      <c r="M91" s="1" t="s">
        <v>26</v>
      </c>
      <c r="N91" s="1" t="s">
        <v>26</v>
      </c>
      <c r="O91" s="2">
        <v>128674778.75</v>
      </c>
      <c r="P91" s="1">
        <v>1</v>
      </c>
      <c r="Q91" s="1" t="s">
        <v>26</v>
      </c>
      <c r="R91" s="1" t="s">
        <v>26</v>
      </c>
      <c r="S91" s="2">
        <v>154409734.5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>
        <v>143086353.97</v>
      </c>
      <c r="AB91" s="1">
        <v>1</v>
      </c>
      <c r="AC91" s="1" t="s">
        <v>26</v>
      </c>
      <c r="AD91" s="1" t="s">
        <v>26</v>
      </c>
      <c r="AE91" s="2">
        <v>426170867.22000003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2">
        <v>426170867.22000003</v>
      </c>
      <c r="AZ91" s="1">
        <v>1</v>
      </c>
      <c r="BA91" s="1" t="s">
        <v>26</v>
      </c>
      <c r="BB91" s="1" t="s">
        <v>26</v>
      </c>
    </row>
    <row r="92" spans="1:54">
      <c r="A92" s="13" t="s">
        <v>79</v>
      </c>
      <c r="B92" s="25" t="s">
        <v>25</v>
      </c>
      <c r="C92" s="55" t="s">
        <v>26</v>
      </c>
      <c r="D92" s="56" t="s">
        <v>26</v>
      </c>
      <c r="E92" s="56" t="s">
        <v>26</v>
      </c>
      <c r="F92" s="56" t="s">
        <v>26</v>
      </c>
      <c r="G92" s="55">
        <v>684948494.05999994</v>
      </c>
      <c r="H92" s="56">
        <v>4.7745069660599998E-3</v>
      </c>
      <c r="I92" s="56">
        <v>0.05</v>
      </c>
      <c r="J92" s="56">
        <f>+I92-H92</f>
        <v>4.5225493033940002E-2</v>
      </c>
      <c r="K92" s="55">
        <v>23031483.68</v>
      </c>
      <c r="L92" s="56">
        <v>8.4720025175000005E-3</v>
      </c>
      <c r="M92" s="56">
        <v>0.05</v>
      </c>
      <c r="N92" s="56">
        <f>+M92-L92</f>
        <v>4.1527997482500002E-2</v>
      </c>
      <c r="O92" s="55">
        <v>1612203857.8800001</v>
      </c>
      <c r="P92" s="56">
        <v>7.5479872106999999E-3</v>
      </c>
      <c r="Q92" s="56">
        <v>0.05</v>
      </c>
      <c r="R92" s="56">
        <f>+Q92-P92</f>
        <v>4.2452012789300005E-2</v>
      </c>
      <c r="S92" s="55">
        <v>1269547456.1700001</v>
      </c>
      <c r="T92" s="56">
        <v>1.1860207850310001E-2</v>
      </c>
      <c r="U92" s="56">
        <v>0.05</v>
      </c>
      <c r="V92" s="56">
        <f>+U92-T92</f>
        <v>3.8139792149690002E-2</v>
      </c>
      <c r="W92" s="55" t="s">
        <v>26</v>
      </c>
      <c r="X92" s="56" t="s">
        <v>26</v>
      </c>
      <c r="Y92" s="56" t="s">
        <v>26</v>
      </c>
      <c r="Z92" s="56" t="s">
        <v>26</v>
      </c>
      <c r="AA92" s="55">
        <v>362754850.30000001</v>
      </c>
      <c r="AB92" s="56">
        <v>2.7499661978100001E-3</v>
      </c>
      <c r="AC92" s="56">
        <v>0.05</v>
      </c>
      <c r="AD92" s="56">
        <f>+AC92-AB92</f>
        <v>4.7250033802190006E-2</v>
      </c>
      <c r="AE92" s="55">
        <v>3952486142.0900002</v>
      </c>
      <c r="AF92" s="56">
        <v>6.4760912511099998E-3</v>
      </c>
      <c r="AG92" s="56">
        <v>0.05</v>
      </c>
      <c r="AH92" s="56">
        <f>+AG92-AF92</f>
        <v>4.3523908748890006E-2</v>
      </c>
      <c r="AI92" s="55" t="s">
        <v>26</v>
      </c>
      <c r="AJ92" s="56" t="s">
        <v>26</v>
      </c>
      <c r="AK92" s="56" t="s">
        <v>26</v>
      </c>
      <c r="AL92" s="56" t="s">
        <v>26</v>
      </c>
      <c r="AM92" s="55" t="s">
        <v>26</v>
      </c>
      <c r="AN92" s="56" t="s">
        <v>26</v>
      </c>
      <c r="AO92" s="56" t="s">
        <v>26</v>
      </c>
      <c r="AP92" s="56" t="s">
        <v>26</v>
      </c>
      <c r="AQ92" s="55" t="s">
        <v>26</v>
      </c>
      <c r="AR92" s="56" t="s">
        <v>26</v>
      </c>
      <c r="AS92" s="56" t="s">
        <v>26</v>
      </c>
      <c r="AT92" s="56" t="s">
        <v>26</v>
      </c>
      <c r="AU92" s="55">
        <v>614445606</v>
      </c>
      <c r="AV92" s="56">
        <v>1.431444416259E-2</v>
      </c>
      <c r="AW92" s="56">
        <v>0.05</v>
      </c>
      <c r="AX92" s="56">
        <f>+AW92-AV92</f>
        <v>3.5685555837410003E-2</v>
      </c>
      <c r="AY92" s="55">
        <v>4566931748.0900002</v>
      </c>
      <c r="AZ92" s="56">
        <v>6.5876476766199999E-3</v>
      </c>
      <c r="BA92" s="56">
        <v>0.05</v>
      </c>
      <c r="BB92" s="56">
        <f>+BA92-AZ92</f>
        <v>4.3412352323380005E-2</v>
      </c>
    </row>
    <row r="93" spans="1:54" s="7" customFormat="1">
      <c r="A93" s="5" t="s">
        <v>80</v>
      </c>
      <c r="B93" s="24" t="s">
        <v>25</v>
      </c>
      <c r="C93" s="10" t="s">
        <v>26</v>
      </c>
      <c r="D93" s="11" t="s">
        <v>26</v>
      </c>
      <c r="E93" s="11" t="s">
        <v>26</v>
      </c>
      <c r="F93" s="11" t="s">
        <v>26</v>
      </c>
      <c r="G93" s="10" t="s">
        <v>26</v>
      </c>
      <c r="H93" s="11" t="s">
        <v>26</v>
      </c>
      <c r="I93" s="11" t="s">
        <v>26</v>
      </c>
      <c r="J93" s="11" t="s">
        <v>26</v>
      </c>
      <c r="K93" s="10" t="s">
        <v>26</v>
      </c>
      <c r="L93" s="11" t="s">
        <v>26</v>
      </c>
      <c r="M93" s="11" t="s">
        <v>26</v>
      </c>
      <c r="N93" s="11" t="s">
        <v>26</v>
      </c>
      <c r="O93" s="10" t="s">
        <v>26</v>
      </c>
      <c r="P93" s="11" t="s">
        <v>26</v>
      </c>
      <c r="Q93" s="11" t="s">
        <v>26</v>
      </c>
      <c r="R93" s="11" t="s">
        <v>26</v>
      </c>
      <c r="S93" s="10">
        <v>578602945.64999998</v>
      </c>
      <c r="T93" s="11">
        <v>5.4053522496199996E-3</v>
      </c>
      <c r="U93" s="1" t="s">
        <v>26</v>
      </c>
      <c r="V93" s="1" t="s">
        <v>26</v>
      </c>
      <c r="W93" s="10" t="s">
        <v>26</v>
      </c>
      <c r="X93" s="11" t="s">
        <v>26</v>
      </c>
      <c r="Y93" s="11" t="s">
        <v>26</v>
      </c>
      <c r="Z93" s="11" t="s">
        <v>26</v>
      </c>
      <c r="AA93" s="10" t="s">
        <v>26</v>
      </c>
      <c r="AB93" s="11" t="s">
        <v>26</v>
      </c>
      <c r="AC93" s="11" t="s">
        <v>26</v>
      </c>
      <c r="AD93" s="11" t="s">
        <v>26</v>
      </c>
      <c r="AE93" s="10">
        <v>578602945.64999998</v>
      </c>
      <c r="AF93" s="11">
        <v>9.4803253939000002E-4</v>
      </c>
      <c r="AG93" s="1" t="s">
        <v>26</v>
      </c>
      <c r="AH93" s="1" t="s">
        <v>26</v>
      </c>
      <c r="AI93" s="10" t="s">
        <v>26</v>
      </c>
      <c r="AJ93" s="11" t="s">
        <v>26</v>
      </c>
      <c r="AK93" s="11" t="s">
        <v>26</v>
      </c>
      <c r="AL93" s="11" t="s">
        <v>26</v>
      </c>
      <c r="AM93" s="10" t="s">
        <v>26</v>
      </c>
      <c r="AN93" s="11" t="s">
        <v>26</v>
      </c>
      <c r="AO93" s="11" t="s">
        <v>26</v>
      </c>
      <c r="AP93" s="11" t="s">
        <v>26</v>
      </c>
      <c r="AQ93" s="10" t="s">
        <v>26</v>
      </c>
      <c r="AR93" s="11" t="s">
        <v>26</v>
      </c>
      <c r="AS93" s="11" t="s">
        <v>26</v>
      </c>
      <c r="AT93" s="11" t="s">
        <v>26</v>
      </c>
      <c r="AU93" s="10">
        <v>614445606</v>
      </c>
      <c r="AV93" s="11">
        <v>1.431444416259E-2</v>
      </c>
      <c r="AW93" s="1" t="s">
        <v>26</v>
      </c>
      <c r="AX93" s="1" t="s">
        <v>26</v>
      </c>
      <c r="AY93" s="10">
        <v>1193048551.6500001</v>
      </c>
      <c r="AZ93" s="11">
        <v>1.72093299241E-3</v>
      </c>
      <c r="BA93" s="1" t="s">
        <v>26</v>
      </c>
      <c r="BB93" s="1" t="s">
        <v>26</v>
      </c>
    </row>
    <row r="94" spans="1:54" s="7" customFormat="1">
      <c r="A94" s="3" t="s">
        <v>81</v>
      </c>
      <c r="B94" s="31" t="s">
        <v>37</v>
      </c>
      <c r="C94" s="2" t="s">
        <v>26</v>
      </c>
      <c r="D94" s="1" t="s">
        <v>26</v>
      </c>
      <c r="E94" s="1" t="s">
        <v>26</v>
      </c>
      <c r="F94" s="1" t="s">
        <v>26</v>
      </c>
      <c r="G94" s="2" t="s">
        <v>26</v>
      </c>
      <c r="H94" s="1" t="s">
        <v>26</v>
      </c>
      <c r="I94" s="1" t="s">
        <v>26</v>
      </c>
      <c r="J94" s="1" t="s">
        <v>26</v>
      </c>
      <c r="K94" s="2" t="s">
        <v>26</v>
      </c>
      <c r="L94" s="1" t="s">
        <v>26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2">
        <v>578602945.64999998</v>
      </c>
      <c r="T94" s="1">
        <v>1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2" t="s">
        <v>26</v>
      </c>
      <c r="AB94" s="1" t="s">
        <v>26</v>
      </c>
      <c r="AC94" s="1" t="s">
        <v>26</v>
      </c>
      <c r="AD94" s="1" t="s">
        <v>26</v>
      </c>
      <c r="AE94" s="2">
        <v>578602945.64999998</v>
      </c>
      <c r="AF94" s="1">
        <v>1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>
        <v>614445606</v>
      </c>
      <c r="AV94" s="1">
        <v>1</v>
      </c>
      <c r="AW94" s="1" t="s">
        <v>26</v>
      </c>
      <c r="AX94" s="1" t="s">
        <v>26</v>
      </c>
      <c r="AY94" s="2">
        <v>1193048551.6500001</v>
      </c>
      <c r="AZ94" s="1">
        <v>1</v>
      </c>
      <c r="BA94" s="1" t="s">
        <v>26</v>
      </c>
      <c r="BB94" s="1" t="s">
        <v>26</v>
      </c>
    </row>
    <row r="95" spans="1:54" s="7" customFormat="1">
      <c r="A95" s="5" t="s">
        <v>82</v>
      </c>
      <c r="B95" s="24" t="s">
        <v>25</v>
      </c>
      <c r="C95" s="10" t="s">
        <v>26</v>
      </c>
      <c r="D95" s="11" t="s">
        <v>26</v>
      </c>
      <c r="E95" s="11" t="s">
        <v>26</v>
      </c>
      <c r="F95" s="11" t="s">
        <v>26</v>
      </c>
      <c r="G95" s="10">
        <v>684948494.05999994</v>
      </c>
      <c r="H95" s="11">
        <v>4.7745069660599998E-3</v>
      </c>
      <c r="I95" s="1" t="s">
        <v>26</v>
      </c>
      <c r="J95" s="1" t="s">
        <v>26</v>
      </c>
      <c r="K95" s="10">
        <v>23031483.68</v>
      </c>
      <c r="L95" s="11">
        <v>8.4720025175000005E-3</v>
      </c>
      <c r="M95" s="1" t="s">
        <v>26</v>
      </c>
      <c r="N95" s="1" t="s">
        <v>26</v>
      </c>
      <c r="O95" s="10">
        <v>1612203857.8800001</v>
      </c>
      <c r="P95" s="11">
        <v>7.5479872106999999E-3</v>
      </c>
      <c r="Q95" s="1" t="s">
        <v>26</v>
      </c>
      <c r="R95" s="1" t="s">
        <v>26</v>
      </c>
      <c r="S95" s="10">
        <v>690944510.51999998</v>
      </c>
      <c r="T95" s="11">
        <v>6.4548556006900001E-3</v>
      </c>
      <c r="U95" s="1" t="s">
        <v>26</v>
      </c>
      <c r="V95" s="1" t="s">
        <v>26</v>
      </c>
      <c r="W95" s="10" t="s">
        <v>26</v>
      </c>
      <c r="X95" s="11" t="s">
        <v>26</v>
      </c>
      <c r="Y95" s="11" t="s">
        <v>26</v>
      </c>
      <c r="Z95" s="11" t="s">
        <v>26</v>
      </c>
      <c r="AA95" s="10">
        <v>362754850.30000001</v>
      </c>
      <c r="AB95" s="11">
        <v>2.7499661978100001E-3</v>
      </c>
      <c r="AC95" s="1" t="s">
        <v>26</v>
      </c>
      <c r="AD95" s="1" t="s">
        <v>26</v>
      </c>
      <c r="AE95" s="10">
        <v>3373883196.4400001</v>
      </c>
      <c r="AF95" s="11">
        <v>5.5280587117200004E-3</v>
      </c>
      <c r="AG95" s="1" t="s">
        <v>26</v>
      </c>
      <c r="AH95" s="1" t="s">
        <v>26</v>
      </c>
      <c r="AI95" s="10" t="s">
        <v>26</v>
      </c>
      <c r="AJ95" s="11" t="s">
        <v>26</v>
      </c>
      <c r="AK95" s="11" t="s">
        <v>26</v>
      </c>
      <c r="AL95" s="11" t="s">
        <v>26</v>
      </c>
      <c r="AM95" s="10" t="s">
        <v>26</v>
      </c>
      <c r="AN95" s="11" t="s">
        <v>26</v>
      </c>
      <c r="AO95" s="11" t="s">
        <v>26</v>
      </c>
      <c r="AP95" s="11" t="s">
        <v>26</v>
      </c>
      <c r="AQ95" s="10" t="s">
        <v>26</v>
      </c>
      <c r="AR95" s="11" t="s">
        <v>26</v>
      </c>
      <c r="AS95" s="11" t="s">
        <v>26</v>
      </c>
      <c r="AT95" s="11" t="s">
        <v>26</v>
      </c>
      <c r="AU95" s="10" t="s">
        <v>26</v>
      </c>
      <c r="AV95" s="11" t="s">
        <v>26</v>
      </c>
      <c r="AW95" s="11" t="s">
        <v>26</v>
      </c>
      <c r="AX95" s="11" t="s">
        <v>26</v>
      </c>
      <c r="AY95" s="10">
        <v>3373883196.4400001</v>
      </c>
      <c r="AZ95" s="11">
        <v>4.8667146842099997E-3</v>
      </c>
      <c r="BA95" s="1" t="s">
        <v>26</v>
      </c>
      <c r="BB95" s="1" t="s">
        <v>26</v>
      </c>
    </row>
    <row r="96" spans="1:54" s="7" customFormat="1">
      <c r="A96" s="3" t="s">
        <v>83</v>
      </c>
      <c r="B96" s="31" t="s">
        <v>37</v>
      </c>
      <c r="C96" s="2" t="s">
        <v>26</v>
      </c>
      <c r="D96" s="1" t="s">
        <v>26</v>
      </c>
      <c r="E96" s="1" t="s">
        <v>26</v>
      </c>
      <c r="F96" s="1" t="s">
        <v>26</v>
      </c>
      <c r="G96" s="2">
        <v>684948494.05999994</v>
      </c>
      <c r="H96" s="1">
        <v>1</v>
      </c>
      <c r="I96" s="1" t="s">
        <v>26</v>
      </c>
      <c r="J96" s="1" t="s">
        <v>26</v>
      </c>
      <c r="K96" s="2">
        <v>23031483.68</v>
      </c>
      <c r="L96" s="1">
        <v>1</v>
      </c>
      <c r="M96" s="1" t="s">
        <v>26</v>
      </c>
      <c r="N96" s="1" t="s">
        <v>26</v>
      </c>
      <c r="O96" s="2">
        <v>1612203857.8800001</v>
      </c>
      <c r="P96" s="1">
        <v>1</v>
      </c>
      <c r="Q96" s="1" t="s">
        <v>26</v>
      </c>
      <c r="R96" s="1" t="s">
        <v>26</v>
      </c>
      <c r="S96" s="2">
        <v>690944510.51999998</v>
      </c>
      <c r="T96" s="1">
        <v>1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>
        <v>362754850.30000001</v>
      </c>
      <c r="AB96" s="1">
        <v>1</v>
      </c>
      <c r="AC96" s="1" t="s">
        <v>26</v>
      </c>
      <c r="AD96" s="1" t="s">
        <v>26</v>
      </c>
      <c r="AE96" s="2">
        <v>3373883196.4400001</v>
      </c>
      <c r="AF96" s="1">
        <v>1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2">
        <v>3373883196.4400001</v>
      </c>
      <c r="AZ96" s="1">
        <v>1</v>
      </c>
      <c r="BA96" s="1" t="s">
        <v>26</v>
      </c>
      <c r="BB96" s="1" t="s">
        <v>26</v>
      </c>
    </row>
    <row r="97" spans="1:54">
      <c r="A97" s="13" t="s">
        <v>84</v>
      </c>
      <c r="B97" s="25" t="s">
        <v>25</v>
      </c>
      <c r="C97" s="55" t="s">
        <v>26</v>
      </c>
      <c r="D97" s="56" t="s">
        <v>26</v>
      </c>
      <c r="E97" s="56" t="s">
        <v>26</v>
      </c>
      <c r="F97" s="56" t="s">
        <v>26</v>
      </c>
      <c r="G97" s="55">
        <v>6233609417.04</v>
      </c>
      <c r="H97" s="56">
        <v>4.3452043246289998E-2</v>
      </c>
      <c r="I97" s="56">
        <v>0.15</v>
      </c>
      <c r="J97" s="56">
        <f>+I97-H97</f>
        <v>0.10654795675371</v>
      </c>
      <c r="K97" s="55">
        <v>32153062.530000001</v>
      </c>
      <c r="L97" s="56">
        <v>1.18273243046E-2</v>
      </c>
      <c r="M97" s="56">
        <v>0.15</v>
      </c>
      <c r="N97" s="56">
        <f>+M97-L97</f>
        <v>0.13817267569539998</v>
      </c>
      <c r="O97" s="55">
        <v>23055678185.720001</v>
      </c>
      <c r="P97" s="56">
        <v>0.10794166211010001</v>
      </c>
      <c r="Q97" s="56">
        <v>0.15</v>
      </c>
      <c r="R97" s="56">
        <f>+Q97-P97</f>
        <v>4.2058337889899988E-2</v>
      </c>
      <c r="S97" s="55">
        <v>4948863559.9499998</v>
      </c>
      <c r="T97" s="56">
        <v>4.6232655706240001E-2</v>
      </c>
      <c r="U97" s="56">
        <v>0.15</v>
      </c>
      <c r="V97" s="56">
        <f>+U97-T97</f>
        <v>0.10376734429376</v>
      </c>
      <c r="W97" s="55" t="s">
        <v>26</v>
      </c>
      <c r="X97" s="56" t="s">
        <v>26</v>
      </c>
      <c r="Y97" s="56" t="s">
        <v>26</v>
      </c>
      <c r="Z97" s="56" t="s">
        <v>26</v>
      </c>
      <c r="AA97" s="55">
        <v>5785100789.0699997</v>
      </c>
      <c r="AB97" s="56">
        <v>4.3855600022260001E-2</v>
      </c>
      <c r="AC97" s="56">
        <v>0.15</v>
      </c>
      <c r="AD97" s="56">
        <f>+AC97-AB97</f>
        <v>0.10614439997774</v>
      </c>
      <c r="AE97" s="55">
        <v>40055405014.309998</v>
      </c>
      <c r="AF97" s="56">
        <v>6.5630200498520003E-2</v>
      </c>
      <c r="AG97" s="56">
        <v>0.15</v>
      </c>
      <c r="AH97" s="56">
        <f>+AG97-AF97</f>
        <v>8.4369799501479992E-2</v>
      </c>
      <c r="AI97" s="55" t="s">
        <v>26</v>
      </c>
      <c r="AJ97" s="56" t="s">
        <v>26</v>
      </c>
      <c r="AK97" s="56" t="s">
        <v>26</v>
      </c>
      <c r="AL97" s="56" t="s">
        <v>26</v>
      </c>
      <c r="AM97" s="55" t="s">
        <v>26</v>
      </c>
      <c r="AN97" s="56" t="s">
        <v>26</v>
      </c>
      <c r="AO97" s="56" t="s">
        <v>26</v>
      </c>
      <c r="AP97" s="56" t="s">
        <v>26</v>
      </c>
      <c r="AQ97" s="55" t="s">
        <v>26</v>
      </c>
      <c r="AR97" s="56" t="s">
        <v>26</v>
      </c>
      <c r="AS97" s="56" t="s">
        <v>26</v>
      </c>
      <c r="AT97" s="56" t="s">
        <v>26</v>
      </c>
      <c r="AU97" s="55">
        <v>1838494901.1700001</v>
      </c>
      <c r="AV97" s="56">
        <v>4.2830532676969998E-2</v>
      </c>
      <c r="AW97" s="56">
        <v>0.15</v>
      </c>
      <c r="AX97" s="56">
        <f>+AW97-AV97</f>
        <v>0.10716946732303</v>
      </c>
      <c r="AY97" s="55">
        <v>41893899915.480003</v>
      </c>
      <c r="AZ97" s="56">
        <v>6.0430562063520002E-2</v>
      </c>
      <c r="BA97" s="56">
        <v>0.15</v>
      </c>
      <c r="BB97" s="56">
        <f>+BA97-AZ97</f>
        <v>8.9569437936479993E-2</v>
      </c>
    </row>
    <row r="98" spans="1:54" s="7" customFormat="1">
      <c r="A98" s="5" t="s">
        <v>85</v>
      </c>
      <c r="B98" s="24" t="s">
        <v>25</v>
      </c>
      <c r="C98" s="10" t="s">
        <v>26</v>
      </c>
      <c r="D98" s="11" t="s">
        <v>26</v>
      </c>
      <c r="E98" s="11" t="s">
        <v>26</v>
      </c>
      <c r="F98" s="11" t="s">
        <v>26</v>
      </c>
      <c r="G98" s="10">
        <v>125816331.65000001</v>
      </c>
      <c r="H98" s="11">
        <v>8.7701623861999995E-4</v>
      </c>
      <c r="I98" s="1" t="s">
        <v>26</v>
      </c>
      <c r="J98" s="1" t="s">
        <v>26</v>
      </c>
      <c r="K98" s="10">
        <v>32153062.530000001</v>
      </c>
      <c r="L98" s="11">
        <v>1.18273243046E-2</v>
      </c>
      <c r="M98" s="1" t="s">
        <v>26</v>
      </c>
      <c r="N98" s="1" t="s">
        <v>26</v>
      </c>
      <c r="O98" s="10" t="s">
        <v>26</v>
      </c>
      <c r="P98" s="11" t="s">
        <v>26</v>
      </c>
      <c r="Q98" s="11" t="s">
        <v>26</v>
      </c>
      <c r="R98" s="11" t="s">
        <v>26</v>
      </c>
      <c r="S98" s="10">
        <v>272602051.89999998</v>
      </c>
      <c r="T98" s="11">
        <v>2.5466688781400001E-3</v>
      </c>
      <c r="U98" s="1" t="s">
        <v>26</v>
      </c>
      <c r="V98" s="1" t="s">
        <v>26</v>
      </c>
      <c r="W98" s="10" t="s">
        <v>26</v>
      </c>
      <c r="X98" s="11" t="s">
        <v>26</v>
      </c>
      <c r="Y98" s="11" t="s">
        <v>26</v>
      </c>
      <c r="Z98" s="11" t="s">
        <v>26</v>
      </c>
      <c r="AA98" s="10">
        <v>141193883.28999999</v>
      </c>
      <c r="AB98" s="11">
        <v>1.07036034409E-3</v>
      </c>
      <c r="AC98" s="1" t="s">
        <v>26</v>
      </c>
      <c r="AD98" s="1" t="s">
        <v>26</v>
      </c>
      <c r="AE98" s="10">
        <v>571765329.37</v>
      </c>
      <c r="AF98" s="11">
        <v>9.3682920423000002E-4</v>
      </c>
      <c r="AG98" s="1" t="s">
        <v>26</v>
      </c>
      <c r="AH98" s="1" t="s">
        <v>26</v>
      </c>
      <c r="AI98" s="10" t="s">
        <v>26</v>
      </c>
      <c r="AJ98" s="11" t="s">
        <v>26</v>
      </c>
      <c r="AK98" s="11" t="s">
        <v>26</v>
      </c>
      <c r="AL98" s="11" t="s">
        <v>26</v>
      </c>
      <c r="AM98" s="10" t="s">
        <v>26</v>
      </c>
      <c r="AN98" s="11" t="s">
        <v>26</v>
      </c>
      <c r="AO98" s="11" t="s">
        <v>26</v>
      </c>
      <c r="AP98" s="11" t="s">
        <v>26</v>
      </c>
      <c r="AQ98" s="10" t="s">
        <v>26</v>
      </c>
      <c r="AR98" s="11" t="s">
        <v>26</v>
      </c>
      <c r="AS98" s="11" t="s">
        <v>26</v>
      </c>
      <c r="AT98" s="11" t="s">
        <v>26</v>
      </c>
      <c r="AU98" s="10" t="s">
        <v>26</v>
      </c>
      <c r="AV98" s="11" t="s">
        <v>26</v>
      </c>
      <c r="AW98" s="11" t="s">
        <v>26</v>
      </c>
      <c r="AX98" s="11" t="s">
        <v>26</v>
      </c>
      <c r="AY98" s="10">
        <v>571765329.37</v>
      </c>
      <c r="AZ98" s="11">
        <v>8.2475253657000001E-4</v>
      </c>
      <c r="BA98" s="1" t="s">
        <v>26</v>
      </c>
      <c r="BB98" s="1" t="s">
        <v>26</v>
      </c>
    </row>
    <row r="99" spans="1:54" s="8" customFormat="1">
      <c r="A99" s="3" t="s">
        <v>86</v>
      </c>
      <c r="B99" s="31" t="s">
        <v>46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125816331.65000001</v>
      </c>
      <c r="H99" s="1">
        <v>1</v>
      </c>
      <c r="I99" s="1" t="s">
        <v>26</v>
      </c>
      <c r="J99" s="1" t="s">
        <v>26</v>
      </c>
      <c r="K99" s="2">
        <v>32153062.530000001</v>
      </c>
      <c r="L99" s="1">
        <v>1</v>
      </c>
      <c r="M99" s="1" t="s">
        <v>26</v>
      </c>
      <c r="N99" s="1" t="s">
        <v>26</v>
      </c>
      <c r="O99" s="2" t="s">
        <v>26</v>
      </c>
      <c r="P99" s="1" t="s">
        <v>26</v>
      </c>
      <c r="Q99" s="1" t="s">
        <v>26</v>
      </c>
      <c r="R99" s="1" t="s">
        <v>26</v>
      </c>
      <c r="S99" s="2">
        <v>272602051.89999998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141193883.28999999</v>
      </c>
      <c r="AB99" s="1">
        <v>1</v>
      </c>
      <c r="AC99" s="1" t="s">
        <v>26</v>
      </c>
      <c r="AD99" s="1" t="s">
        <v>26</v>
      </c>
      <c r="AE99" s="2">
        <v>571765329.37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 t="s">
        <v>26</v>
      </c>
      <c r="AV99" s="1" t="s">
        <v>26</v>
      </c>
      <c r="AW99" s="1" t="s">
        <v>26</v>
      </c>
      <c r="AX99" s="1" t="s">
        <v>26</v>
      </c>
      <c r="AY99" s="2">
        <v>571765329.37</v>
      </c>
      <c r="AZ99" s="1">
        <v>1</v>
      </c>
      <c r="BA99" s="1" t="s">
        <v>26</v>
      </c>
      <c r="BB99" s="1" t="s">
        <v>26</v>
      </c>
    </row>
    <row r="100" spans="1:54" s="7" customFormat="1">
      <c r="A100" s="5" t="s">
        <v>87</v>
      </c>
      <c r="B100" s="24" t="s">
        <v>25</v>
      </c>
      <c r="C100" s="10" t="s">
        <v>26</v>
      </c>
      <c r="D100" s="11" t="s">
        <v>26</v>
      </c>
      <c r="E100" s="11" t="s">
        <v>26</v>
      </c>
      <c r="F100" s="11" t="s">
        <v>26</v>
      </c>
      <c r="G100" s="10">
        <v>1889555254.23</v>
      </c>
      <c r="H100" s="11">
        <v>1.317134763025E-2</v>
      </c>
      <c r="I100" s="1" t="s">
        <v>26</v>
      </c>
      <c r="J100" s="1" t="s">
        <v>26</v>
      </c>
      <c r="K100" s="10" t="s">
        <v>26</v>
      </c>
      <c r="L100" s="11" t="s">
        <v>26</v>
      </c>
      <c r="M100" s="11" t="s">
        <v>26</v>
      </c>
      <c r="N100" s="11" t="s">
        <v>26</v>
      </c>
      <c r="O100" s="10">
        <v>3388458852.3299999</v>
      </c>
      <c r="P100" s="11">
        <v>1.58640261009E-2</v>
      </c>
      <c r="Q100" s="1" t="s">
        <v>26</v>
      </c>
      <c r="R100" s="1" t="s">
        <v>26</v>
      </c>
      <c r="S100" s="10">
        <v>1234905003.96</v>
      </c>
      <c r="T100" s="11">
        <v>1.153657545543E-2</v>
      </c>
      <c r="U100" s="1" t="s">
        <v>26</v>
      </c>
      <c r="V100" s="1" t="s">
        <v>26</v>
      </c>
      <c r="W100" s="10" t="s">
        <v>26</v>
      </c>
      <c r="X100" s="11" t="s">
        <v>26</v>
      </c>
      <c r="Y100" s="11" t="s">
        <v>26</v>
      </c>
      <c r="Z100" s="11" t="s">
        <v>26</v>
      </c>
      <c r="AA100" s="10">
        <v>1888350468.8599999</v>
      </c>
      <c r="AB100" s="11">
        <v>1.431517719115E-2</v>
      </c>
      <c r="AC100" s="1" t="s">
        <v>26</v>
      </c>
      <c r="AD100" s="1" t="s">
        <v>26</v>
      </c>
      <c r="AE100" s="10">
        <v>8401269579.3800001</v>
      </c>
      <c r="AF100" s="11">
        <v>1.3765358426409999E-2</v>
      </c>
      <c r="AG100" s="1" t="s">
        <v>26</v>
      </c>
      <c r="AH100" s="1" t="s">
        <v>26</v>
      </c>
      <c r="AI100" s="10" t="s">
        <v>26</v>
      </c>
      <c r="AJ100" s="11" t="s">
        <v>26</v>
      </c>
      <c r="AK100" s="11" t="s">
        <v>26</v>
      </c>
      <c r="AL100" s="11" t="s">
        <v>26</v>
      </c>
      <c r="AM100" s="10" t="s">
        <v>26</v>
      </c>
      <c r="AN100" s="11" t="s">
        <v>26</v>
      </c>
      <c r="AO100" s="11" t="s">
        <v>26</v>
      </c>
      <c r="AP100" s="11" t="s">
        <v>26</v>
      </c>
      <c r="AQ100" s="10" t="s">
        <v>26</v>
      </c>
      <c r="AR100" s="11" t="s">
        <v>26</v>
      </c>
      <c r="AS100" s="11" t="s">
        <v>26</v>
      </c>
      <c r="AT100" s="11" t="s">
        <v>26</v>
      </c>
      <c r="AU100" s="10">
        <v>309780438.19</v>
      </c>
      <c r="AV100" s="11">
        <v>7.2168060798699996E-3</v>
      </c>
      <c r="AW100" s="1" t="s">
        <v>26</v>
      </c>
      <c r="AX100" s="1" t="s">
        <v>26</v>
      </c>
      <c r="AY100" s="10">
        <v>8711050017.5699997</v>
      </c>
      <c r="AZ100" s="11">
        <v>1.2565400924410001E-2</v>
      </c>
      <c r="BA100" s="1" t="s">
        <v>26</v>
      </c>
      <c r="BB100" s="1" t="s">
        <v>26</v>
      </c>
    </row>
    <row r="101" spans="1:54" s="7" customFormat="1">
      <c r="A101" s="3" t="s">
        <v>86</v>
      </c>
      <c r="B101" s="31" t="s">
        <v>46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1889555254.23</v>
      </c>
      <c r="H101" s="1">
        <v>1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3388458852.3299999</v>
      </c>
      <c r="P101" s="1">
        <v>1</v>
      </c>
      <c r="Q101" s="1" t="s">
        <v>26</v>
      </c>
      <c r="R101" s="1" t="s">
        <v>26</v>
      </c>
      <c r="S101" s="2">
        <v>1234905003.96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1888350468.8599999</v>
      </c>
      <c r="AB101" s="1">
        <v>1</v>
      </c>
      <c r="AC101" s="1" t="s">
        <v>26</v>
      </c>
      <c r="AD101" s="1" t="s">
        <v>26</v>
      </c>
      <c r="AE101" s="2">
        <v>8401269579.3800001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309780438.19</v>
      </c>
      <c r="AV101" s="1">
        <v>1</v>
      </c>
      <c r="AW101" s="1" t="s">
        <v>26</v>
      </c>
      <c r="AX101" s="1" t="s">
        <v>26</v>
      </c>
      <c r="AY101" s="2">
        <v>8711050017.5699997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88</v>
      </c>
      <c r="B102" s="24" t="s">
        <v>25</v>
      </c>
      <c r="C102" s="10" t="s">
        <v>26</v>
      </c>
      <c r="D102" s="11" t="s">
        <v>26</v>
      </c>
      <c r="E102" s="11" t="s">
        <v>26</v>
      </c>
      <c r="F102" s="11" t="s">
        <v>26</v>
      </c>
      <c r="G102" s="10">
        <v>1480355845.4400001</v>
      </c>
      <c r="H102" s="11">
        <v>1.0318979248220001E-2</v>
      </c>
      <c r="I102" s="1" t="s">
        <v>26</v>
      </c>
      <c r="J102" s="1" t="s">
        <v>26</v>
      </c>
      <c r="K102" s="10" t="s">
        <v>26</v>
      </c>
      <c r="L102" s="11" t="s">
        <v>26</v>
      </c>
      <c r="M102" s="11" t="s">
        <v>26</v>
      </c>
      <c r="N102" s="11" t="s">
        <v>26</v>
      </c>
      <c r="O102" s="10">
        <v>1423419082.1600001</v>
      </c>
      <c r="P102" s="11">
        <v>6.66413802144E-3</v>
      </c>
      <c r="Q102" s="1" t="s">
        <v>26</v>
      </c>
      <c r="R102" s="1" t="s">
        <v>26</v>
      </c>
      <c r="S102" s="10">
        <v>1423419082.1500001</v>
      </c>
      <c r="T102" s="11">
        <v>1.329768815679E-2</v>
      </c>
      <c r="U102" s="1" t="s">
        <v>26</v>
      </c>
      <c r="V102" s="1" t="s">
        <v>26</v>
      </c>
      <c r="W102" s="10" t="s">
        <v>26</v>
      </c>
      <c r="X102" s="11" t="s">
        <v>26</v>
      </c>
      <c r="Y102" s="11" t="s">
        <v>26</v>
      </c>
      <c r="Z102" s="11" t="s">
        <v>26</v>
      </c>
      <c r="AA102" s="10">
        <v>1365628267.4200001</v>
      </c>
      <c r="AB102" s="11">
        <v>1.035253304285E-2</v>
      </c>
      <c r="AC102" s="1" t="s">
        <v>26</v>
      </c>
      <c r="AD102" s="1" t="s">
        <v>26</v>
      </c>
      <c r="AE102" s="10">
        <v>5692822277.1700001</v>
      </c>
      <c r="AF102" s="11">
        <v>9.3276067816500004E-3</v>
      </c>
      <c r="AG102" s="1" t="s">
        <v>26</v>
      </c>
      <c r="AH102" s="1" t="s">
        <v>26</v>
      </c>
      <c r="AI102" s="10" t="s">
        <v>26</v>
      </c>
      <c r="AJ102" s="11" t="s">
        <v>26</v>
      </c>
      <c r="AK102" s="11" t="s">
        <v>26</v>
      </c>
      <c r="AL102" s="11" t="s">
        <v>26</v>
      </c>
      <c r="AM102" s="10" t="s">
        <v>26</v>
      </c>
      <c r="AN102" s="11" t="s">
        <v>26</v>
      </c>
      <c r="AO102" s="11" t="s">
        <v>26</v>
      </c>
      <c r="AP102" s="11" t="s">
        <v>26</v>
      </c>
      <c r="AQ102" s="10" t="s">
        <v>26</v>
      </c>
      <c r="AR102" s="11" t="s">
        <v>26</v>
      </c>
      <c r="AS102" s="11" t="s">
        <v>26</v>
      </c>
      <c r="AT102" s="11" t="s">
        <v>26</v>
      </c>
      <c r="AU102" s="10" t="s">
        <v>26</v>
      </c>
      <c r="AV102" s="11" t="s">
        <v>26</v>
      </c>
      <c r="AW102" s="1" t="s">
        <v>26</v>
      </c>
      <c r="AX102" s="1" t="s">
        <v>26</v>
      </c>
      <c r="AY102" s="10">
        <v>5692822277.1700001</v>
      </c>
      <c r="AZ102" s="11">
        <v>8.2117074474100001E-3</v>
      </c>
      <c r="BA102" s="1" t="s">
        <v>26</v>
      </c>
      <c r="BB102" s="1" t="s">
        <v>26</v>
      </c>
    </row>
    <row r="103" spans="1:54" s="8" customFormat="1">
      <c r="A103" s="30" t="s">
        <v>86</v>
      </c>
      <c r="B103" s="43" t="s">
        <v>46</v>
      </c>
      <c r="C103" s="22" t="s">
        <v>26</v>
      </c>
      <c r="D103" s="23" t="s">
        <v>26</v>
      </c>
      <c r="E103" s="23" t="s">
        <v>26</v>
      </c>
      <c r="F103" s="23" t="s">
        <v>26</v>
      </c>
      <c r="G103" s="22">
        <v>1480355845.4400001</v>
      </c>
      <c r="H103" s="23">
        <v>1</v>
      </c>
      <c r="I103" s="23" t="s">
        <v>26</v>
      </c>
      <c r="J103" s="23" t="s">
        <v>26</v>
      </c>
      <c r="K103" s="22" t="s">
        <v>26</v>
      </c>
      <c r="L103" s="23" t="s">
        <v>26</v>
      </c>
      <c r="M103" s="23" t="s">
        <v>26</v>
      </c>
      <c r="N103" s="23" t="s">
        <v>26</v>
      </c>
      <c r="O103" s="22">
        <v>1423419082.1600001</v>
      </c>
      <c r="P103" s="23">
        <v>1</v>
      </c>
      <c r="Q103" s="23" t="s">
        <v>26</v>
      </c>
      <c r="R103" s="23" t="s">
        <v>26</v>
      </c>
      <c r="S103" s="22">
        <v>1423419082.1500001</v>
      </c>
      <c r="T103" s="23">
        <v>1</v>
      </c>
      <c r="U103" s="23" t="s">
        <v>26</v>
      </c>
      <c r="V103" s="23" t="s">
        <v>26</v>
      </c>
      <c r="W103" s="22" t="s">
        <v>26</v>
      </c>
      <c r="X103" s="23" t="s">
        <v>26</v>
      </c>
      <c r="Y103" s="23" t="s">
        <v>26</v>
      </c>
      <c r="Z103" s="23" t="s">
        <v>26</v>
      </c>
      <c r="AA103" s="22">
        <v>1365628267.4200001</v>
      </c>
      <c r="AB103" s="23">
        <v>1</v>
      </c>
      <c r="AC103" s="23" t="s">
        <v>26</v>
      </c>
      <c r="AD103" s="23" t="s">
        <v>26</v>
      </c>
      <c r="AE103" s="22">
        <v>5692822277.1700001</v>
      </c>
      <c r="AF103" s="23">
        <v>1</v>
      </c>
      <c r="AG103" s="23" t="s">
        <v>26</v>
      </c>
      <c r="AH103" s="23" t="s">
        <v>26</v>
      </c>
      <c r="AI103" s="22" t="s">
        <v>26</v>
      </c>
      <c r="AJ103" s="23" t="s">
        <v>26</v>
      </c>
      <c r="AK103" s="23" t="s">
        <v>26</v>
      </c>
      <c r="AL103" s="23" t="s">
        <v>26</v>
      </c>
      <c r="AM103" s="22" t="s">
        <v>26</v>
      </c>
      <c r="AN103" s="23" t="s">
        <v>26</v>
      </c>
      <c r="AO103" s="23" t="s">
        <v>26</v>
      </c>
      <c r="AP103" s="23" t="s">
        <v>26</v>
      </c>
      <c r="AQ103" s="22" t="s">
        <v>26</v>
      </c>
      <c r="AR103" s="23" t="s">
        <v>26</v>
      </c>
      <c r="AS103" s="23" t="s">
        <v>26</v>
      </c>
      <c r="AT103" s="23" t="s">
        <v>26</v>
      </c>
      <c r="AU103" s="22" t="s">
        <v>26</v>
      </c>
      <c r="AV103" s="23" t="s">
        <v>26</v>
      </c>
      <c r="AW103" s="23" t="s">
        <v>26</v>
      </c>
      <c r="AX103" s="23" t="s">
        <v>26</v>
      </c>
      <c r="AY103" s="22">
        <v>5692822277.1700001</v>
      </c>
      <c r="AZ103" s="23">
        <v>1</v>
      </c>
      <c r="BA103" s="23" t="s">
        <v>26</v>
      </c>
      <c r="BB103" s="23" t="s">
        <v>26</v>
      </c>
    </row>
    <row r="104" spans="1:54" s="7" customFormat="1">
      <c r="A104" s="5" t="s">
        <v>89</v>
      </c>
      <c r="B104" s="24" t="s">
        <v>25</v>
      </c>
      <c r="C104" s="10" t="s">
        <v>26</v>
      </c>
      <c r="D104" s="11" t="s">
        <v>26</v>
      </c>
      <c r="E104" s="11" t="s">
        <v>26</v>
      </c>
      <c r="F104" s="11" t="s">
        <v>26</v>
      </c>
      <c r="G104" s="10" t="s">
        <v>26</v>
      </c>
      <c r="H104" s="11" t="s">
        <v>26</v>
      </c>
      <c r="I104" s="1" t="s">
        <v>26</v>
      </c>
      <c r="J104" s="1" t="s">
        <v>26</v>
      </c>
      <c r="K104" s="10" t="s">
        <v>26</v>
      </c>
      <c r="L104" s="11" t="s">
        <v>26</v>
      </c>
      <c r="M104" s="11" t="s">
        <v>26</v>
      </c>
      <c r="N104" s="11" t="s">
        <v>26</v>
      </c>
      <c r="O104" s="10">
        <v>3412011623.4400001</v>
      </c>
      <c r="P104" s="11">
        <v>1.597429504378E-2</v>
      </c>
      <c r="Q104" s="1" t="s">
        <v>26</v>
      </c>
      <c r="R104" s="1" t="s">
        <v>26</v>
      </c>
      <c r="S104" s="10">
        <v>612483886.37</v>
      </c>
      <c r="T104" s="11">
        <v>5.7218705468700002E-3</v>
      </c>
      <c r="U104" s="1" t="s">
        <v>26</v>
      </c>
      <c r="V104" s="1" t="s">
        <v>26</v>
      </c>
      <c r="W104" s="10" t="s">
        <v>26</v>
      </c>
      <c r="X104" s="11" t="s">
        <v>26</v>
      </c>
      <c r="Y104" s="11" t="s">
        <v>26</v>
      </c>
      <c r="Z104" s="11" t="s">
        <v>26</v>
      </c>
      <c r="AA104" s="10">
        <v>1224650188.49</v>
      </c>
      <c r="AB104" s="11">
        <v>9.2838086650200002E-3</v>
      </c>
      <c r="AC104" s="1" t="s">
        <v>26</v>
      </c>
      <c r="AD104" s="1" t="s">
        <v>26</v>
      </c>
      <c r="AE104" s="10">
        <v>5249145698.3000002</v>
      </c>
      <c r="AF104" s="11">
        <v>8.6006491384199996E-3</v>
      </c>
      <c r="AG104" s="1" t="s">
        <v>26</v>
      </c>
      <c r="AH104" s="1" t="s">
        <v>26</v>
      </c>
      <c r="AI104" s="10" t="s">
        <v>26</v>
      </c>
      <c r="AJ104" s="11" t="s">
        <v>26</v>
      </c>
      <c r="AK104" s="11" t="s">
        <v>26</v>
      </c>
      <c r="AL104" s="11" t="s">
        <v>26</v>
      </c>
      <c r="AM104" s="10" t="s">
        <v>26</v>
      </c>
      <c r="AN104" s="11" t="s">
        <v>26</v>
      </c>
      <c r="AO104" s="11" t="s">
        <v>26</v>
      </c>
      <c r="AP104" s="11" t="s">
        <v>26</v>
      </c>
      <c r="AQ104" s="10" t="s">
        <v>26</v>
      </c>
      <c r="AR104" s="11" t="s">
        <v>26</v>
      </c>
      <c r="AS104" s="11" t="s">
        <v>26</v>
      </c>
      <c r="AT104" s="11" t="s">
        <v>26</v>
      </c>
      <c r="AU104" s="10">
        <v>340268825.75999999</v>
      </c>
      <c r="AV104" s="11">
        <v>7.9270794014100008E-3</v>
      </c>
      <c r="AW104" s="1" t="s">
        <v>26</v>
      </c>
      <c r="AX104" s="1" t="s">
        <v>26</v>
      </c>
      <c r="AY104" s="10">
        <v>5589414524.0600004</v>
      </c>
      <c r="AZ104" s="11">
        <v>8.06254519098E-3</v>
      </c>
      <c r="BA104" s="1" t="s">
        <v>26</v>
      </c>
      <c r="BB104" s="1" t="s">
        <v>26</v>
      </c>
    </row>
    <row r="105" spans="1:54" s="7" customFormat="1">
      <c r="A105" s="3" t="s">
        <v>86</v>
      </c>
      <c r="B105" s="31" t="s">
        <v>46</v>
      </c>
      <c r="C105" s="2" t="s">
        <v>26</v>
      </c>
      <c r="D105" s="1" t="s">
        <v>26</v>
      </c>
      <c r="E105" s="1" t="s">
        <v>26</v>
      </c>
      <c r="F105" s="1" t="s">
        <v>26</v>
      </c>
      <c r="G105" s="2" t="s">
        <v>26</v>
      </c>
      <c r="H105" s="1" t="s">
        <v>26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3412011623.4400001</v>
      </c>
      <c r="P105" s="1">
        <v>1</v>
      </c>
      <c r="Q105" s="1" t="s">
        <v>26</v>
      </c>
      <c r="R105" s="1" t="s">
        <v>26</v>
      </c>
      <c r="S105" s="2">
        <v>612483886.37</v>
      </c>
      <c r="T105" s="1">
        <v>1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1224650188.49</v>
      </c>
      <c r="AB105" s="1">
        <v>1</v>
      </c>
      <c r="AC105" s="1" t="s">
        <v>26</v>
      </c>
      <c r="AD105" s="1" t="s">
        <v>26</v>
      </c>
      <c r="AE105" s="2">
        <v>5249145698.3000002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>
        <v>340268825.75999999</v>
      </c>
      <c r="AV105" s="1">
        <v>1</v>
      </c>
      <c r="AW105" s="1" t="s">
        <v>26</v>
      </c>
      <c r="AX105" s="1" t="s">
        <v>26</v>
      </c>
      <c r="AY105" s="2">
        <v>5589414524.0600004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106</v>
      </c>
      <c r="B106" s="24" t="s">
        <v>25</v>
      </c>
      <c r="C106" s="10" t="s">
        <v>26</v>
      </c>
      <c r="D106" s="11" t="s">
        <v>26</v>
      </c>
      <c r="E106" s="11" t="s">
        <v>26</v>
      </c>
      <c r="F106" s="11" t="s">
        <v>26</v>
      </c>
      <c r="G106" s="10" t="s">
        <v>26</v>
      </c>
      <c r="H106" s="11" t="s">
        <v>26</v>
      </c>
      <c r="I106" s="1" t="s">
        <v>26</v>
      </c>
      <c r="J106" s="1" t="s">
        <v>26</v>
      </c>
      <c r="K106" s="10" t="s">
        <v>26</v>
      </c>
      <c r="L106" s="11" t="s">
        <v>26</v>
      </c>
      <c r="M106" s="11" t="s">
        <v>26</v>
      </c>
      <c r="N106" s="11" t="s">
        <v>26</v>
      </c>
      <c r="O106" s="10">
        <v>647721684</v>
      </c>
      <c r="P106" s="11">
        <v>3.0324918049499999E-3</v>
      </c>
      <c r="Q106" s="1" t="s">
        <v>26</v>
      </c>
      <c r="R106" s="1" t="s">
        <v>26</v>
      </c>
      <c r="S106" s="10" t="s">
        <v>26</v>
      </c>
      <c r="T106" s="11" t="s">
        <v>26</v>
      </c>
      <c r="U106" s="11" t="s">
        <v>26</v>
      </c>
      <c r="V106" s="11" t="s">
        <v>26</v>
      </c>
      <c r="W106" s="10" t="s">
        <v>26</v>
      </c>
      <c r="X106" s="11" t="s">
        <v>26</v>
      </c>
      <c r="Y106" s="11" t="s">
        <v>26</v>
      </c>
      <c r="Z106" s="11" t="s">
        <v>26</v>
      </c>
      <c r="AA106" s="10" t="s">
        <v>26</v>
      </c>
      <c r="AB106" s="11" t="s">
        <v>26</v>
      </c>
      <c r="AC106" s="1" t="s">
        <v>26</v>
      </c>
      <c r="AD106" s="1" t="s">
        <v>26</v>
      </c>
      <c r="AE106" s="10">
        <v>647721684</v>
      </c>
      <c r="AF106" s="11">
        <v>1.06128259028E-3</v>
      </c>
      <c r="AG106" s="1" t="s">
        <v>26</v>
      </c>
      <c r="AH106" s="1" t="s">
        <v>26</v>
      </c>
      <c r="AI106" s="10" t="s">
        <v>26</v>
      </c>
      <c r="AJ106" s="11" t="s">
        <v>26</v>
      </c>
      <c r="AK106" s="11" t="s">
        <v>26</v>
      </c>
      <c r="AL106" s="11" t="s">
        <v>26</v>
      </c>
      <c r="AM106" s="10" t="s">
        <v>26</v>
      </c>
      <c r="AN106" s="11" t="s">
        <v>26</v>
      </c>
      <c r="AO106" s="11" t="s">
        <v>26</v>
      </c>
      <c r="AP106" s="11" t="s">
        <v>26</v>
      </c>
      <c r="AQ106" s="10" t="s">
        <v>26</v>
      </c>
      <c r="AR106" s="11" t="s">
        <v>26</v>
      </c>
      <c r="AS106" s="11" t="s">
        <v>26</v>
      </c>
      <c r="AT106" s="11" t="s">
        <v>26</v>
      </c>
      <c r="AU106" s="10" t="s">
        <v>26</v>
      </c>
      <c r="AV106" s="11" t="s">
        <v>26</v>
      </c>
      <c r="AW106" s="1" t="s">
        <v>26</v>
      </c>
      <c r="AX106" s="1" t="s">
        <v>26</v>
      </c>
      <c r="AY106" s="10">
        <v>647721684</v>
      </c>
      <c r="AZ106" s="11">
        <v>9.3431706057000002E-4</v>
      </c>
      <c r="BA106" s="1" t="s">
        <v>26</v>
      </c>
      <c r="BB106" s="1" t="s">
        <v>26</v>
      </c>
    </row>
    <row r="107" spans="1:54" s="7" customFormat="1">
      <c r="A107" s="3" t="s">
        <v>86</v>
      </c>
      <c r="B107" s="31" t="s">
        <v>46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647721684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647721684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647721684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90</v>
      </c>
      <c r="B108" s="24" t="s">
        <v>25</v>
      </c>
      <c r="C108" s="10" t="s">
        <v>26</v>
      </c>
      <c r="D108" s="11" t="s">
        <v>26</v>
      </c>
      <c r="E108" s="11" t="s">
        <v>26</v>
      </c>
      <c r="F108" s="11" t="s">
        <v>26</v>
      </c>
      <c r="G108" s="10" t="s">
        <v>26</v>
      </c>
      <c r="H108" s="11" t="s">
        <v>26</v>
      </c>
      <c r="I108" s="1" t="s">
        <v>26</v>
      </c>
      <c r="J108" s="1" t="s">
        <v>26</v>
      </c>
      <c r="K108" s="10" t="s">
        <v>26</v>
      </c>
      <c r="L108" s="11" t="s">
        <v>26</v>
      </c>
      <c r="M108" s="11" t="s">
        <v>26</v>
      </c>
      <c r="N108" s="11" t="s">
        <v>26</v>
      </c>
      <c r="O108" s="10">
        <v>334344588.50999999</v>
      </c>
      <c r="P108" s="11">
        <v>1.5653285195299999E-3</v>
      </c>
      <c r="Q108" s="1" t="s">
        <v>26</v>
      </c>
      <c r="R108" s="1" t="s">
        <v>26</v>
      </c>
      <c r="S108" s="10" t="s">
        <v>26</v>
      </c>
      <c r="T108" s="11" t="s">
        <v>26</v>
      </c>
      <c r="U108" s="11" t="s">
        <v>26</v>
      </c>
      <c r="V108" s="11" t="s">
        <v>26</v>
      </c>
      <c r="W108" s="10" t="s">
        <v>26</v>
      </c>
      <c r="X108" s="11" t="s">
        <v>26</v>
      </c>
      <c r="Y108" s="11" t="s">
        <v>26</v>
      </c>
      <c r="Z108" s="11" t="s">
        <v>26</v>
      </c>
      <c r="AA108" s="10">
        <v>334344588.50999999</v>
      </c>
      <c r="AB108" s="11">
        <v>2.53459413724E-3</v>
      </c>
      <c r="AC108" s="1" t="s">
        <v>26</v>
      </c>
      <c r="AD108" s="1" t="s">
        <v>26</v>
      </c>
      <c r="AE108" s="10">
        <v>668689177.01999998</v>
      </c>
      <c r="AF108" s="11">
        <v>1.0956375236599999E-3</v>
      </c>
      <c r="AG108" s="1" t="s">
        <v>26</v>
      </c>
      <c r="AH108" s="1" t="s">
        <v>26</v>
      </c>
      <c r="AI108" s="10" t="s">
        <v>26</v>
      </c>
      <c r="AJ108" s="11" t="s">
        <v>26</v>
      </c>
      <c r="AK108" s="11" t="s">
        <v>26</v>
      </c>
      <c r="AL108" s="11" t="s">
        <v>26</v>
      </c>
      <c r="AM108" s="10" t="s">
        <v>26</v>
      </c>
      <c r="AN108" s="11" t="s">
        <v>26</v>
      </c>
      <c r="AO108" s="11" t="s">
        <v>26</v>
      </c>
      <c r="AP108" s="11" t="s">
        <v>26</v>
      </c>
      <c r="AQ108" s="10" t="s">
        <v>26</v>
      </c>
      <c r="AR108" s="11" t="s">
        <v>26</v>
      </c>
      <c r="AS108" s="11" t="s">
        <v>26</v>
      </c>
      <c r="AT108" s="11" t="s">
        <v>26</v>
      </c>
      <c r="AU108" s="10" t="s">
        <v>26</v>
      </c>
      <c r="AV108" s="11" t="s">
        <v>26</v>
      </c>
      <c r="AW108" s="1" t="s">
        <v>26</v>
      </c>
      <c r="AX108" s="1" t="s">
        <v>26</v>
      </c>
      <c r="AY108" s="10">
        <v>668689177.01999998</v>
      </c>
      <c r="AZ108" s="11">
        <v>9.6456197428999998E-4</v>
      </c>
      <c r="BA108" s="1" t="s">
        <v>26</v>
      </c>
      <c r="BB108" s="1" t="s">
        <v>26</v>
      </c>
    </row>
    <row r="109" spans="1:54" s="8" customFormat="1">
      <c r="A109" s="3" t="s">
        <v>86</v>
      </c>
      <c r="B109" s="31" t="s">
        <v>46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334344588.50999999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>
        <v>334344588.50999999</v>
      </c>
      <c r="AB109" s="1">
        <v>1</v>
      </c>
      <c r="AC109" s="1" t="s">
        <v>26</v>
      </c>
      <c r="AD109" s="1" t="s">
        <v>26</v>
      </c>
      <c r="AE109" s="2">
        <v>668689177.01999998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668689177.01999998</v>
      </c>
      <c r="AZ109" s="1">
        <v>1</v>
      </c>
      <c r="BA109" s="1" t="s">
        <v>26</v>
      </c>
      <c r="BB109" s="1" t="s">
        <v>26</v>
      </c>
    </row>
    <row r="110" spans="1:54" s="8" customFormat="1">
      <c r="A110" s="5" t="s">
        <v>118</v>
      </c>
      <c r="B110" s="24" t="s">
        <v>25</v>
      </c>
      <c r="C110" s="10" t="s">
        <v>26</v>
      </c>
      <c r="D110" s="11" t="s">
        <v>26</v>
      </c>
      <c r="E110" s="11" t="s">
        <v>26</v>
      </c>
      <c r="F110" s="11" t="s">
        <v>26</v>
      </c>
      <c r="G110" s="10" t="s">
        <v>26</v>
      </c>
      <c r="H110" s="11" t="s">
        <v>26</v>
      </c>
      <c r="I110" s="1" t="s">
        <v>26</v>
      </c>
      <c r="J110" s="1" t="s">
        <v>26</v>
      </c>
      <c r="K110" s="10" t="s">
        <v>26</v>
      </c>
      <c r="L110" s="11" t="s">
        <v>26</v>
      </c>
      <c r="M110" s="11" t="s">
        <v>26</v>
      </c>
      <c r="N110" s="11" t="s">
        <v>26</v>
      </c>
      <c r="O110" s="10">
        <v>4547918657.21</v>
      </c>
      <c r="P110" s="11">
        <v>2.1292364295089999E-2</v>
      </c>
      <c r="Q110" s="1" t="s">
        <v>26</v>
      </c>
      <c r="R110" s="1" t="s">
        <v>26</v>
      </c>
      <c r="S110" s="10" t="s">
        <v>26</v>
      </c>
      <c r="T110" s="11" t="s">
        <v>26</v>
      </c>
      <c r="U110" s="11" t="s">
        <v>26</v>
      </c>
      <c r="V110" s="11" t="s">
        <v>26</v>
      </c>
      <c r="W110" s="10" t="s">
        <v>26</v>
      </c>
      <c r="X110" s="11" t="s">
        <v>26</v>
      </c>
      <c r="Y110" s="11" t="s">
        <v>26</v>
      </c>
      <c r="Z110" s="11" t="s">
        <v>26</v>
      </c>
      <c r="AA110" s="10" t="s">
        <v>26</v>
      </c>
      <c r="AB110" s="11" t="s">
        <v>26</v>
      </c>
      <c r="AC110" s="1" t="s">
        <v>26</v>
      </c>
      <c r="AD110" s="1" t="s">
        <v>26</v>
      </c>
      <c r="AE110" s="10">
        <v>4547918657.21</v>
      </c>
      <c r="AF110" s="11">
        <v>7.4516987961300001E-3</v>
      </c>
      <c r="AG110" s="1" t="s">
        <v>26</v>
      </c>
      <c r="AH110" s="1" t="s">
        <v>26</v>
      </c>
      <c r="AI110" s="10" t="s">
        <v>26</v>
      </c>
      <c r="AJ110" s="11" t="s">
        <v>26</v>
      </c>
      <c r="AK110" s="11" t="s">
        <v>26</v>
      </c>
      <c r="AL110" s="11" t="s">
        <v>26</v>
      </c>
      <c r="AM110" s="10" t="s">
        <v>26</v>
      </c>
      <c r="AN110" s="11" t="s">
        <v>26</v>
      </c>
      <c r="AO110" s="11" t="s">
        <v>26</v>
      </c>
      <c r="AP110" s="11" t="s">
        <v>26</v>
      </c>
      <c r="AQ110" s="10" t="s">
        <v>26</v>
      </c>
      <c r="AR110" s="11" t="s">
        <v>26</v>
      </c>
      <c r="AS110" s="11" t="s">
        <v>26</v>
      </c>
      <c r="AT110" s="11" t="s">
        <v>26</v>
      </c>
      <c r="AU110" s="10" t="s">
        <v>26</v>
      </c>
      <c r="AV110" s="11" t="s">
        <v>26</v>
      </c>
      <c r="AW110" s="1" t="s">
        <v>26</v>
      </c>
      <c r="AX110" s="1" t="s">
        <v>26</v>
      </c>
      <c r="AY110" s="10">
        <v>4547918657.21</v>
      </c>
      <c r="AZ110" s="11">
        <v>6.5602219232100004E-3</v>
      </c>
      <c r="BA110" s="1" t="s">
        <v>26</v>
      </c>
      <c r="BB110" s="1" t="s">
        <v>26</v>
      </c>
    </row>
    <row r="111" spans="1:54" s="7" customFormat="1" ht="14.25" customHeight="1">
      <c r="A111" s="3" t="s">
        <v>86</v>
      </c>
      <c r="B111" s="31" t="s">
        <v>46</v>
      </c>
      <c r="C111" s="2" t="s">
        <v>26</v>
      </c>
      <c r="D111" s="1" t="s">
        <v>26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>
        <v>4547918657.21</v>
      </c>
      <c r="P111" s="1">
        <v>1</v>
      </c>
      <c r="Q111" s="1" t="s">
        <v>26</v>
      </c>
      <c r="R111" s="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4547918657.21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4547918657.21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91</v>
      </c>
      <c r="B112" s="24" t="s">
        <v>25</v>
      </c>
      <c r="C112" s="10" t="s">
        <v>26</v>
      </c>
      <c r="D112" s="11" t="s">
        <v>26</v>
      </c>
      <c r="E112" s="11" t="s">
        <v>26</v>
      </c>
      <c r="F112" s="11" t="s">
        <v>26</v>
      </c>
      <c r="G112" s="10" t="s">
        <v>26</v>
      </c>
      <c r="H112" s="11" t="s">
        <v>26</v>
      </c>
      <c r="I112" s="1" t="s">
        <v>26</v>
      </c>
      <c r="J112" s="1" t="s">
        <v>26</v>
      </c>
      <c r="K112" s="10" t="s">
        <v>26</v>
      </c>
      <c r="L112" s="11" t="s">
        <v>26</v>
      </c>
      <c r="M112" s="11" t="s">
        <v>26</v>
      </c>
      <c r="N112" s="11" t="s">
        <v>26</v>
      </c>
      <c r="O112" s="10" t="s">
        <v>26</v>
      </c>
      <c r="P112" s="11" t="s">
        <v>26</v>
      </c>
      <c r="Q112" s="1" t="s">
        <v>26</v>
      </c>
      <c r="R112" s="1" t="s">
        <v>26</v>
      </c>
      <c r="S112" s="10">
        <v>139281561.63999999</v>
      </c>
      <c r="T112" s="11">
        <v>1.30117882773E-3</v>
      </c>
      <c r="U112" s="11">
        <v>0.15</v>
      </c>
      <c r="V112" s="11">
        <v>0.14869882117227001</v>
      </c>
      <c r="W112" s="10" t="s">
        <v>26</v>
      </c>
      <c r="X112" s="11" t="s">
        <v>26</v>
      </c>
      <c r="Y112" s="11" t="s">
        <v>26</v>
      </c>
      <c r="Z112" s="11" t="s">
        <v>26</v>
      </c>
      <c r="AA112" s="10" t="s">
        <v>26</v>
      </c>
      <c r="AB112" s="11" t="s">
        <v>26</v>
      </c>
      <c r="AC112" s="1" t="s">
        <v>26</v>
      </c>
      <c r="AD112" s="1" t="s">
        <v>26</v>
      </c>
      <c r="AE112" s="10">
        <v>139281561.63999999</v>
      </c>
      <c r="AF112" s="11">
        <v>2.2821081981000001E-4</v>
      </c>
      <c r="AG112" s="1" t="s">
        <v>26</v>
      </c>
      <c r="AH112" s="1" t="s">
        <v>26</v>
      </c>
      <c r="AI112" s="10" t="s">
        <v>26</v>
      </c>
      <c r="AJ112" s="11" t="s">
        <v>26</v>
      </c>
      <c r="AK112" s="11" t="s">
        <v>26</v>
      </c>
      <c r="AL112" s="11" t="s">
        <v>26</v>
      </c>
      <c r="AM112" s="10" t="s">
        <v>26</v>
      </c>
      <c r="AN112" s="11" t="s">
        <v>26</v>
      </c>
      <c r="AO112" s="11" t="s">
        <v>26</v>
      </c>
      <c r="AP112" s="11" t="s">
        <v>26</v>
      </c>
      <c r="AQ112" s="10" t="s">
        <v>26</v>
      </c>
      <c r="AR112" s="11" t="s">
        <v>26</v>
      </c>
      <c r="AS112" s="11" t="s">
        <v>26</v>
      </c>
      <c r="AT112" s="11" t="s">
        <v>26</v>
      </c>
      <c r="AU112" s="10">
        <v>178422730.41999999</v>
      </c>
      <c r="AV112" s="11">
        <v>4.15662865353E-3</v>
      </c>
      <c r="AW112" s="1" t="s">
        <v>26</v>
      </c>
      <c r="AX112" s="1" t="s">
        <v>26</v>
      </c>
      <c r="AY112" s="10">
        <v>317704292.06</v>
      </c>
      <c r="AZ112" s="11">
        <v>4.5827791105000002E-4</v>
      </c>
      <c r="BA112" s="1" t="s">
        <v>26</v>
      </c>
      <c r="BB112" s="1" t="s">
        <v>26</v>
      </c>
    </row>
    <row r="113" spans="1:54" s="7" customFormat="1">
      <c r="A113" s="3" t="s">
        <v>86</v>
      </c>
      <c r="B113" s="31" t="s">
        <v>46</v>
      </c>
      <c r="C113" s="2" t="s">
        <v>26</v>
      </c>
      <c r="D113" s="1" t="s">
        <v>26</v>
      </c>
      <c r="E113" s="1" t="s">
        <v>26</v>
      </c>
      <c r="F113" s="1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139281561.63999999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139281561.63999999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>
        <v>178422730.41999999</v>
      </c>
      <c r="AV113" s="1">
        <v>1</v>
      </c>
      <c r="AW113" s="1" t="s">
        <v>26</v>
      </c>
      <c r="AX113" s="1" t="s">
        <v>26</v>
      </c>
      <c r="AY113" s="2">
        <v>317704292.06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92</v>
      </c>
      <c r="B114" s="24" t="s">
        <v>25</v>
      </c>
      <c r="C114" s="10" t="s">
        <v>26</v>
      </c>
      <c r="D114" s="11" t="s">
        <v>26</v>
      </c>
      <c r="E114" s="11" t="s">
        <v>26</v>
      </c>
      <c r="F114" s="11" t="s">
        <v>26</v>
      </c>
      <c r="G114" s="10">
        <v>669922666.13999999</v>
      </c>
      <c r="H114" s="11">
        <v>4.6697678204200002E-3</v>
      </c>
      <c r="I114" s="1" t="s">
        <v>26</v>
      </c>
      <c r="J114" s="1" t="s">
        <v>26</v>
      </c>
      <c r="K114" s="10" t="s">
        <v>26</v>
      </c>
      <c r="L114" s="11" t="s">
        <v>26</v>
      </c>
      <c r="M114" s="11" t="s">
        <v>26</v>
      </c>
      <c r="N114" s="11" t="s">
        <v>26</v>
      </c>
      <c r="O114" s="10">
        <v>2104182593.23</v>
      </c>
      <c r="P114" s="11">
        <v>9.8513244618900001E-3</v>
      </c>
      <c r="Q114" s="1" t="s">
        <v>26</v>
      </c>
      <c r="R114" s="1" t="s">
        <v>26</v>
      </c>
      <c r="S114" s="10" t="s">
        <v>26</v>
      </c>
      <c r="T114" s="11" t="s">
        <v>26</v>
      </c>
      <c r="U114" s="11" t="s">
        <v>26</v>
      </c>
      <c r="V114" s="11" t="s">
        <v>26</v>
      </c>
      <c r="W114" s="10" t="s">
        <v>26</v>
      </c>
      <c r="X114" s="11" t="s">
        <v>26</v>
      </c>
      <c r="Y114" s="11" t="s">
        <v>26</v>
      </c>
      <c r="Z114" s="11" t="s">
        <v>26</v>
      </c>
      <c r="AA114" s="10" t="s">
        <v>26</v>
      </c>
      <c r="AB114" s="11" t="s">
        <v>26</v>
      </c>
      <c r="AC114" s="1" t="s">
        <v>26</v>
      </c>
      <c r="AD114" s="1" t="s">
        <v>26</v>
      </c>
      <c r="AE114" s="10">
        <v>2774105259.3699999</v>
      </c>
      <c r="AF114" s="11">
        <v>4.5453312558300001E-3</v>
      </c>
      <c r="AG114" s="1" t="s">
        <v>26</v>
      </c>
      <c r="AH114" s="1" t="s">
        <v>26</v>
      </c>
      <c r="AI114" s="10" t="s">
        <v>26</v>
      </c>
      <c r="AJ114" s="11" t="s">
        <v>26</v>
      </c>
      <c r="AK114" s="11" t="s">
        <v>26</v>
      </c>
      <c r="AL114" s="11" t="s">
        <v>26</v>
      </c>
      <c r="AM114" s="10" t="s">
        <v>26</v>
      </c>
      <c r="AN114" s="11" t="s">
        <v>26</v>
      </c>
      <c r="AO114" s="11" t="s">
        <v>26</v>
      </c>
      <c r="AP114" s="11" t="s">
        <v>26</v>
      </c>
      <c r="AQ114" s="10" t="s">
        <v>26</v>
      </c>
      <c r="AR114" s="11" t="s">
        <v>26</v>
      </c>
      <c r="AS114" s="11" t="s">
        <v>26</v>
      </c>
      <c r="AT114" s="11" t="s">
        <v>26</v>
      </c>
      <c r="AU114" s="10" t="s">
        <v>26</v>
      </c>
      <c r="AV114" s="11" t="s">
        <v>26</v>
      </c>
      <c r="AW114" s="1" t="s">
        <v>26</v>
      </c>
      <c r="AX114" s="1" t="s">
        <v>26</v>
      </c>
      <c r="AY114" s="10">
        <v>2774105259.3699999</v>
      </c>
      <c r="AZ114" s="11">
        <v>4.0015548894999997E-3</v>
      </c>
      <c r="BA114" s="1" t="s">
        <v>26</v>
      </c>
      <c r="BB114" s="1" t="s">
        <v>26</v>
      </c>
    </row>
    <row r="115" spans="1:54" s="7" customFormat="1">
      <c r="A115" s="3" t="s">
        <v>86</v>
      </c>
      <c r="B115" s="31" t="s">
        <v>46</v>
      </c>
      <c r="C115" s="2" t="s">
        <v>26</v>
      </c>
      <c r="D115" s="1" t="s">
        <v>26</v>
      </c>
      <c r="E115" s="1" t="s">
        <v>26</v>
      </c>
      <c r="F115" s="1" t="s">
        <v>26</v>
      </c>
      <c r="G115" s="2">
        <v>669922666.13999999</v>
      </c>
      <c r="H115" s="1">
        <v>1</v>
      </c>
      <c r="I115" s="1" t="s">
        <v>26</v>
      </c>
      <c r="J115" s="1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>
        <v>2104182593.23</v>
      </c>
      <c r="P115" s="1">
        <v>1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2774105259.3699999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2774105259.3699999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93</v>
      </c>
      <c r="B116" s="24" t="s">
        <v>25</v>
      </c>
      <c r="C116" s="10" t="s">
        <v>26</v>
      </c>
      <c r="D116" s="11" t="s">
        <v>26</v>
      </c>
      <c r="E116" s="11" t="s">
        <v>26</v>
      </c>
      <c r="F116" s="11" t="s">
        <v>26</v>
      </c>
      <c r="G116" s="10">
        <v>1514003724.5799999</v>
      </c>
      <c r="H116" s="11">
        <v>1.055352539985E-2</v>
      </c>
      <c r="I116" s="1" t="s">
        <v>26</v>
      </c>
      <c r="J116" s="1" t="s">
        <v>26</v>
      </c>
      <c r="K116" s="10" t="s">
        <v>26</v>
      </c>
      <c r="L116" s="11" t="s">
        <v>26</v>
      </c>
      <c r="M116" s="11" t="s">
        <v>26</v>
      </c>
      <c r="N116" s="11" t="s">
        <v>26</v>
      </c>
      <c r="O116" s="10">
        <v>3607224667.1399999</v>
      </c>
      <c r="P116" s="11">
        <v>1.6888239983190001E-2</v>
      </c>
      <c r="Q116" s="1" t="s">
        <v>26</v>
      </c>
      <c r="R116" s="1" t="s">
        <v>26</v>
      </c>
      <c r="S116" s="10">
        <v>1010022906.8</v>
      </c>
      <c r="T116" s="11">
        <v>9.4357099846900001E-3</v>
      </c>
      <c r="U116" s="11">
        <v>0.15</v>
      </c>
      <c r="V116" s="11">
        <v>0.14056429001531001</v>
      </c>
      <c r="W116" s="10" t="s">
        <v>26</v>
      </c>
      <c r="X116" s="11" t="s">
        <v>26</v>
      </c>
      <c r="Y116" s="11" t="s">
        <v>26</v>
      </c>
      <c r="Z116" s="11" t="s">
        <v>26</v>
      </c>
      <c r="AA116" s="10" t="s">
        <v>26</v>
      </c>
      <c r="AB116" s="11" t="s">
        <v>26</v>
      </c>
      <c r="AC116" s="1" t="s">
        <v>26</v>
      </c>
      <c r="AD116" s="1" t="s">
        <v>26</v>
      </c>
      <c r="AE116" s="10">
        <v>6131251298.5200005</v>
      </c>
      <c r="AF116" s="11">
        <v>1.004596637794E-2</v>
      </c>
      <c r="AG116" s="1" t="s">
        <v>26</v>
      </c>
      <c r="AH116" s="1" t="s">
        <v>26</v>
      </c>
      <c r="AI116" s="10" t="s">
        <v>26</v>
      </c>
      <c r="AJ116" s="11" t="s">
        <v>26</v>
      </c>
      <c r="AK116" s="11" t="s">
        <v>26</v>
      </c>
      <c r="AL116" s="11" t="s">
        <v>26</v>
      </c>
      <c r="AM116" s="10" t="s">
        <v>26</v>
      </c>
      <c r="AN116" s="11" t="s">
        <v>26</v>
      </c>
      <c r="AO116" s="11" t="s">
        <v>26</v>
      </c>
      <c r="AP116" s="11" t="s">
        <v>26</v>
      </c>
      <c r="AQ116" s="10" t="s">
        <v>26</v>
      </c>
      <c r="AR116" s="11" t="s">
        <v>26</v>
      </c>
      <c r="AS116" s="11" t="s">
        <v>26</v>
      </c>
      <c r="AT116" s="11" t="s">
        <v>26</v>
      </c>
      <c r="AU116" s="10">
        <v>1010022906.8</v>
      </c>
      <c r="AV116" s="11">
        <v>2.3530018542149998E-2</v>
      </c>
      <c r="AW116" s="1" t="s">
        <v>26</v>
      </c>
      <c r="AX116" s="1" t="s">
        <v>26</v>
      </c>
      <c r="AY116" s="10">
        <v>7141274205.3199997</v>
      </c>
      <c r="AZ116" s="11">
        <v>1.030105134513E-2</v>
      </c>
      <c r="BA116" s="1" t="s">
        <v>26</v>
      </c>
      <c r="BB116" s="1" t="s">
        <v>26</v>
      </c>
    </row>
    <row r="117" spans="1:54" s="7" customFormat="1">
      <c r="A117" s="3" t="s">
        <v>86</v>
      </c>
      <c r="B117" s="31" t="s">
        <v>37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1514003724.5799999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3607224667.1399999</v>
      </c>
      <c r="P117" s="1">
        <v>1</v>
      </c>
      <c r="Q117" s="1" t="s">
        <v>26</v>
      </c>
      <c r="R117" s="1" t="s">
        <v>26</v>
      </c>
      <c r="S117" s="2">
        <v>1010022906.8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6131251298.5200005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>
        <v>1010022906.8</v>
      </c>
      <c r="AV117" s="1">
        <v>1</v>
      </c>
      <c r="AW117" s="1" t="s">
        <v>26</v>
      </c>
      <c r="AX117" s="1" t="s">
        <v>26</v>
      </c>
      <c r="AY117" s="2">
        <v>7141274205.3199997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94</v>
      </c>
      <c r="B118" s="24" t="s">
        <v>25</v>
      </c>
      <c r="C118" s="10" t="s">
        <v>26</v>
      </c>
      <c r="D118" s="11" t="s">
        <v>26</v>
      </c>
      <c r="E118" s="11" t="s">
        <v>26</v>
      </c>
      <c r="F118" s="11" t="s">
        <v>26</v>
      </c>
      <c r="G118" s="10">
        <v>553955595</v>
      </c>
      <c r="H118" s="11">
        <v>3.86140690892E-3</v>
      </c>
      <c r="I118" s="1" t="s">
        <v>26</v>
      </c>
      <c r="J118" s="1" t="s">
        <v>26</v>
      </c>
      <c r="K118" s="10" t="s">
        <v>26</v>
      </c>
      <c r="L118" s="11" t="s">
        <v>26</v>
      </c>
      <c r="M118" s="11" t="s">
        <v>26</v>
      </c>
      <c r="N118" s="11" t="s">
        <v>26</v>
      </c>
      <c r="O118" s="10">
        <v>768103748.91999996</v>
      </c>
      <c r="P118" s="11">
        <v>3.5960944051899998E-3</v>
      </c>
      <c r="Q118" s="1" t="s">
        <v>26</v>
      </c>
      <c r="R118" s="1" t="s">
        <v>26</v>
      </c>
      <c r="S118" s="10">
        <v>256149067.13</v>
      </c>
      <c r="T118" s="11">
        <v>2.3929638565800002E-3</v>
      </c>
      <c r="U118" s="11">
        <v>0.15</v>
      </c>
      <c r="V118" s="11">
        <v>0.14760703614342</v>
      </c>
      <c r="W118" s="10" t="s">
        <v>26</v>
      </c>
      <c r="X118" s="11" t="s">
        <v>26</v>
      </c>
      <c r="Y118" s="11" t="s">
        <v>26</v>
      </c>
      <c r="Z118" s="11" t="s">
        <v>26</v>
      </c>
      <c r="AA118" s="10">
        <v>830933392.5</v>
      </c>
      <c r="AB118" s="11">
        <v>6.2991266419200002E-3</v>
      </c>
      <c r="AC118" s="1" t="s">
        <v>26</v>
      </c>
      <c r="AD118" s="1" t="s">
        <v>26</v>
      </c>
      <c r="AE118" s="10">
        <v>2409141803.5500002</v>
      </c>
      <c r="AF118" s="11">
        <v>3.9473439237400001E-3</v>
      </c>
      <c r="AG118" s="1" t="s">
        <v>26</v>
      </c>
      <c r="AH118" s="1" t="s">
        <v>26</v>
      </c>
      <c r="AI118" s="10" t="s">
        <v>26</v>
      </c>
      <c r="AJ118" s="11" t="s">
        <v>26</v>
      </c>
      <c r="AK118" s="11" t="s">
        <v>26</v>
      </c>
      <c r="AL118" s="11" t="s">
        <v>26</v>
      </c>
      <c r="AM118" s="10" t="s">
        <v>26</v>
      </c>
      <c r="AN118" s="11" t="s">
        <v>26</v>
      </c>
      <c r="AO118" s="11" t="s">
        <v>26</v>
      </c>
      <c r="AP118" s="11" t="s">
        <v>26</v>
      </c>
      <c r="AQ118" s="10" t="s">
        <v>26</v>
      </c>
      <c r="AR118" s="11" t="s">
        <v>26</v>
      </c>
      <c r="AS118" s="11" t="s">
        <v>26</v>
      </c>
      <c r="AT118" s="11" t="s">
        <v>26</v>
      </c>
      <c r="AU118" s="10" t="s">
        <v>26</v>
      </c>
      <c r="AV118" s="11" t="s">
        <v>26</v>
      </c>
      <c r="AW118" s="1" t="s">
        <v>26</v>
      </c>
      <c r="AX118" s="1" t="s">
        <v>26</v>
      </c>
      <c r="AY118" s="10">
        <v>2409141803.5500002</v>
      </c>
      <c r="AZ118" s="11">
        <v>3.4751072011199998E-3</v>
      </c>
      <c r="BA118" s="1" t="s">
        <v>26</v>
      </c>
      <c r="BB118" s="1" t="s">
        <v>26</v>
      </c>
    </row>
    <row r="119" spans="1:54" s="49" customFormat="1">
      <c r="A119" s="30" t="s">
        <v>86</v>
      </c>
      <c r="B119" s="43" t="s">
        <v>46</v>
      </c>
      <c r="C119" s="22" t="s">
        <v>26</v>
      </c>
      <c r="D119" s="23" t="s">
        <v>26</v>
      </c>
      <c r="E119" s="23" t="s">
        <v>26</v>
      </c>
      <c r="F119" s="23" t="s">
        <v>26</v>
      </c>
      <c r="G119" s="22">
        <v>553955595</v>
      </c>
      <c r="H119" s="23">
        <v>1</v>
      </c>
      <c r="I119" s="23" t="s">
        <v>26</v>
      </c>
      <c r="J119" s="23" t="s">
        <v>26</v>
      </c>
      <c r="K119" s="22" t="s">
        <v>26</v>
      </c>
      <c r="L119" s="23" t="s">
        <v>26</v>
      </c>
      <c r="M119" s="23" t="s">
        <v>26</v>
      </c>
      <c r="N119" s="23" t="s">
        <v>26</v>
      </c>
      <c r="O119" s="22">
        <v>768103748.91999996</v>
      </c>
      <c r="P119" s="23">
        <v>1</v>
      </c>
      <c r="Q119" s="23" t="s">
        <v>26</v>
      </c>
      <c r="R119" s="23" t="s">
        <v>26</v>
      </c>
      <c r="S119" s="22">
        <v>256149067.13</v>
      </c>
      <c r="T119" s="23">
        <v>1</v>
      </c>
      <c r="U119" s="23" t="s">
        <v>26</v>
      </c>
      <c r="V119" s="23" t="s">
        <v>26</v>
      </c>
      <c r="W119" s="22" t="s">
        <v>26</v>
      </c>
      <c r="X119" s="23" t="s">
        <v>26</v>
      </c>
      <c r="Y119" s="23" t="s">
        <v>26</v>
      </c>
      <c r="Z119" s="23" t="s">
        <v>26</v>
      </c>
      <c r="AA119" s="22">
        <v>830933392.5</v>
      </c>
      <c r="AB119" s="23">
        <v>1</v>
      </c>
      <c r="AC119" s="23" t="s">
        <v>26</v>
      </c>
      <c r="AD119" s="23" t="s">
        <v>26</v>
      </c>
      <c r="AE119" s="22">
        <v>2409141803.5500002</v>
      </c>
      <c r="AF119" s="23">
        <v>1</v>
      </c>
      <c r="AG119" s="23" t="s">
        <v>26</v>
      </c>
      <c r="AH119" s="23" t="s">
        <v>26</v>
      </c>
      <c r="AI119" s="22" t="s">
        <v>26</v>
      </c>
      <c r="AJ119" s="23" t="s">
        <v>26</v>
      </c>
      <c r="AK119" s="23" t="s">
        <v>26</v>
      </c>
      <c r="AL119" s="23" t="s">
        <v>26</v>
      </c>
      <c r="AM119" s="22" t="s">
        <v>26</v>
      </c>
      <c r="AN119" s="23" t="s">
        <v>26</v>
      </c>
      <c r="AO119" s="23" t="s">
        <v>26</v>
      </c>
      <c r="AP119" s="23" t="s">
        <v>26</v>
      </c>
      <c r="AQ119" s="22" t="s">
        <v>26</v>
      </c>
      <c r="AR119" s="23" t="s">
        <v>26</v>
      </c>
      <c r="AS119" s="23" t="s">
        <v>26</v>
      </c>
      <c r="AT119" s="23" t="s">
        <v>26</v>
      </c>
      <c r="AU119" s="22" t="s">
        <v>26</v>
      </c>
      <c r="AV119" s="23" t="s">
        <v>26</v>
      </c>
      <c r="AW119" s="23" t="s">
        <v>26</v>
      </c>
      <c r="AX119" s="23" t="s">
        <v>26</v>
      </c>
      <c r="AY119" s="22">
        <v>2409141803.5500002</v>
      </c>
      <c r="AZ119" s="23">
        <v>1</v>
      </c>
      <c r="BA119" s="23" t="s">
        <v>26</v>
      </c>
      <c r="BB119" s="23" t="s">
        <v>26</v>
      </c>
    </row>
    <row r="120" spans="1:54" s="7" customFormat="1">
      <c r="A120" s="5" t="s">
        <v>95</v>
      </c>
      <c r="B120" s="24" t="s">
        <v>25</v>
      </c>
      <c r="C120" s="10" t="s">
        <v>26</v>
      </c>
      <c r="D120" s="11" t="s">
        <v>26</v>
      </c>
      <c r="E120" s="11" t="s">
        <v>26</v>
      </c>
      <c r="F120" s="11" t="s">
        <v>26</v>
      </c>
      <c r="G120" s="10" t="s">
        <v>26</v>
      </c>
      <c r="H120" s="11" t="s">
        <v>26</v>
      </c>
      <c r="I120" s="11" t="s">
        <v>26</v>
      </c>
      <c r="J120" s="11" t="s">
        <v>26</v>
      </c>
      <c r="K120" s="10" t="s">
        <v>26</v>
      </c>
      <c r="L120" s="11" t="s">
        <v>26</v>
      </c>
      <c r="M120" s="11" t="s">
        <v>26</v>
      </c>
      <c r="N120" s="11" t="s">
        <v>26</v>
      </c>
      <c r="O120" s="10">
        <v>343690999.13999999</v>
      </c>
      <c r="P120" s="11">
        <v>1.60908637779E-3</v>
      </c>
      <c r="Q120" s="1" t="s">
        <v>26</v>
      </c>
      <c r="R120" s="1" t="s">
        <v>26</v>
      </c>
      <c r="S120" s="10" t="s">
        <v>26</v>
      </c>
      <c r="T120" s="11" t="s">
        <v>26</v>
      </c>
      <c r="U120" s="11" t="s">
        <v>26</v>
      </c>
      <c r="V120" s="11" t="s">
        <v>26</v>
      </c>
      <c r="W120" s="10" t="s">
        <v>26</v>
      </c>
      <c r="X120" s="11" t="s">
        <v>26</v>
      </c>
      <c r="Y120" s="11" t="s">
        <v>26</v>
      </c>
      <c r="Z120" s="11" t="s">
        <v>26</v>
      </c>
      <c r="AA120" s="10" t="s">
        <v>26</v>
      </c>
      <c r="AB120" s="11" t="s">
        <v>26</v>
      </c>
      <c r="AC120" s="11" t="s">
        <v>26</v>
      </c>
      <c r="AD120" s="11" t="s">
        <v>26</v>
      </c>
      <c r="AE120" s="10">
        <v>343690999.13999999</v>
      </c>
      <c r="AF120" s="11">
        <v>5.6313272016999996E-4</v>
      </c>
      <c r="AG120" s="1" t="s">
        <v>26</v>
      </c>
      <c r="AH120" s="1" t="s">
        <v>26</v>
      </c>
      <c r="AI120" s="10" t="s">
        <v>26</v>
      </c>
      <c r="AJ120" s="11" t="s">
        <v>26</v>
      </c>
      <c r="AK120" s="11" t="s">
        <v>26</v>
      </c>
      <c r="AL120" s="11" t="s">
        <v>26</v>
      </c>
      <c r="AM120" s="10" t="s">
        <v>26</v>
      </c>
      <c r="AN120" s="11" t="s">
        <v>26</v>
      </c>
      <c r="AO120" s="11" t="s">
        <v>26</v>
      </c>
      <c r="AP120" s="11" t="s">
        <v>26</v>
      </c>
      <c r="AQ120" s="10" t="s">
        <v>26</v>
      </c>
      <c r="AR120" s="11" t="s">
        <v>26</v>
      </c>
      <c r="AS120" s="11" t="s">
        <v>26</v>
      </c>
      <c r="AT120" s="11" t="s">
        <v>26</v>
      </c>
      <c r="AU120" s="10" t="s">
        <v>26</v>
      </c>
      <c r="AV120" s="11" t="s">
        <v>26</v>
      </c>
      <c r="AW120" s="1" t="s">
        <v>26</v>
      </c>
      <c r="AX120" s="1" t="s">
        <v>26</v>
      </c>
      <c r="AY120" s="10">
        <v>343690999.13999999</v>
      </c>
      <c r="AZ120" s="11">
        <v>4.9576287468999997E-4</v>
      </c>
      <c r="BA120" s="1" t="s">
        <v>26</v>
      </c>
      <c r="BB120" s="1" t="s">
        <v>26</v>
      </c>
    </row>
    <row r="121" spans="1:54" s="7" customFormat="1">
      <c r="A121" s="3" t="s">
        <v>86</v>
      </c>
      <c r="B121" s="31" t="s">
        <v>56</v>
      </c>
      <c r="C121" s="2" t="s">
        <v>26</v>
      </c>
      <c r="D121" s="1" t="s">
        <v>26</v>
      </c>
      <c r="E121" s="1" t="s">
        <v>26</v>
      </c>
      <c r="F121" s="1" t="s">
        <v>26</v>
      </c>
      <c r="G121" s="2" t="s">
        <v>26</v>
      </c>
      <c r="H121" s="1" t="s">
        <v>26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343690999.13999999</v>
      </c>
      <c r="P121" s="1">
        <v>1</v>
      </c>
      <c r="Q121" s="1" t="s">
        <v>26</v>
      </c>
      <c r="R121" s="1" t="s">
        <v>26</v>
      </c>
      <c r="S121" s="2" t="s">
        <v>26</v>
      </c>
      <c r="T121" s="1" t="s">
        <v>26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343690999.13999999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343690999.13999999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96</v>
      </c>
      <c r="B122" s="24" t="s">
        <v>25</v>
      </c>
      <c r="C122" s="10" t="s">
        <v>26</v>
      </c>
      <c r="D122" s="11" t="s">
        <v>26</v>
      </c>
      <c r="E122" s="11" t="s">
        <v>26</v>
      </c>
      <c r="F122" s="11" t="s">
        <v>26</v>
      </c>
      <c r="G122" s="10" t="s">
        <v>26</v>
      </c>
      <c r="H122" s="11" t="s">
        <v>26</v>
      </c>
      <c r="I122" s="11" t="s">
        <v>26</v>
      </c>
      <c r="J122" s="11" t="s">
        <v>26</v>
      </c>
      <c r="K122" s="10" t="s">
        <v>26</v>
      </c>
      <c r="L122" s="11" t="s">
        <v>26</v>
      </c>
      <c r="M122" s="11" t="s">
        <v>26</v>
      </c>
      <c r="N122" s="11" t="s">
        <v>26</v>
      </c>
      <c r="O122" s="10">
        <v>31444952.300000001</v>
      </c>
      <c r="P122" s="11">
        <v>1.4721841574E-4</v>
      </c>
      <c r="Q122" s="1" t="s">
        <v>26</v>
      </c>
      <c r="R122" s="1" t="s">
        <v>26</v>
      </c>
      <c r="S122" s="10" t="s">
        <v>26</v>
      </c>
      <c r="T122" s="11" t="s">
        <v>26</v>
      </c>
      <c r="U122" s="11" t="s">
        <v>26</v>
      </c>
      <c r="V122" s="11" t="s">
        <v>26</v>
      </c>
      <c r="W122" s="10" t="s">
        <v>26</v>
      </c>
      <c r="X122" s="11" t="s">
        <v>26</v>
      </c>
      <c r="Y122" s="11" t="s">
        <v>26</v>
      </c>
      <c r="Z122" s="11" t="s">
        <v>26</v>
      </c>
      <c r="AA122" s="10" t="s">
        <v>26</v>
      </c>
      <c r="AB122" s="11" t="s">
        <v>26</v>
      </c>
      <c r="AC122" s="11" t="s">
        <v>26</v>
      </c>
      <c r="AD122" s="11" t="s">
        <v>26</v>
      </c>
      <c r="AE122" s="10">
        <v>31444952.300000001</v>
      </c>
      <c r="AF122" s="11">
        <v>5.1522098539999998E-5</v>
      </c>
      <c r="AG122" s="1" t="s">
        <v>26</v>
      </c>
      <c r="AH122" s="1" t="s">
        <v>26</v>
      </c>
      <c r="AI122" s="10" t="s">
        <v>26</v>
      </c>
      <c r="AJ122" s="11" t="s">
        <v>26</v>
      </c>
      <c r="AK122" s="11" t="s">
        <v>26</v>
      </c>
      <c r="AL122" s="11" t="s">
        <v>26</v>
      </c>
      <c r="AM122" s="10" t="s">
        <v>26</v>
      </c>
      <c r="AN122" s="11" t="s">
        <v>26</v>
      </c>
      <c r="AO122" s="11" t="s">
        <v>26</v>
      </c>
      <c r="AP122" s="11" t="s">
        <v>26</v>
      </c>
      <c r="AQ122" s="10" t="s">
        <v>26</v>
      </c>
      <c r="AR122" s="11" t="s">
        <v>26</v>
      </c>
      <c r="AS122" s="11" t="s">
        <v>26</v>
      </c>
      <c r="AT122" s="11" t="s">
        <v>26</v>
      </c>
      <c r="AU122" s="10" t="s">
        <v>26</v>
      </c>
      <c r="AV122" s="11" t="s">
        <v>26</v>
      </c>
      <c r="AW122" s="1" t="s">
        <v>26</v>
      </c>
      <c r="AX122" s="1" t="s">
        <v>26</v>
      </c>
      <c r="AY122" s="10">
        <v>31444952.300000001</v>
      </c>
      <c r="AZ122" s="11">
        <v>4.5358301459999997E-5</v>
      </c>
      <c r="BA122" s="1" t="s">
        <v>26</v>
      </c>
      <c r="BB122" s="1" t="s">
        <v>26</v>
      </c>
    </row>
    <row r="123" spans="1:54">
      <c r="A123" s="3" t="s">
        <v>86</v>
      </c>
      <c r="B123" s="31" t="s">
        <v>56</v>
      </c>
      <c r="C123" s="2" t="s">
        <v>26</v>
      </c>
      <c r="D123" s="1" t="s">
        <v>26</v>
      </c>
      <c r="E123" s="1" t="s">
        <v>26</v>
      </c>
      <c r="F123" s="1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31444952.300000001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31444952.300000001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31444952.300000001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97</v>
      </c>
      <c r="B124" s="24" t="s">
        <v>25</v>
      </c>
      <c r="C124" s="10" t="s">
        <v>26</v>
      </c>
      <c r="D124" s="11" t="s">
        <v>26</v>
      </c>
      <c r="E124" s="11" t="s">
        <v>26</v>
      </c>
      <c r="F124" s="11" t="s">
        <v>26</v>
      </c>
      <c r="G124" s="10" t="s">
        <v>26</v>
      </c>
      <c r="H124" s="11" t="s">
        <v>26</v>
      </c>
      <c r="I124" s="11" t="s">
        <v>26</v>
      </c>
      <c r="J124" s="11" t="s">
        <v>26</v>
      </c>
      <c r="K124" s="10" t="s">
        <v>26</v>
      </c>
      <c r="L124" s="11" t="s">
        <v>26</v>
      </c>
      <c r="M124" s="11" t="s">
        <v>26</v>
      </c>
      <c r="N124" s="11" t="s">
        <v>26</v>
      </c>
      <c r="O124" s="10">
        <v>1873157960.8399999</v>
      </c>
      <c r="P124" s="11">
        <v>8.7697174665199995E-3</v>
      </c>
      <c r="Q124" s="1" t="s">
        <v>26</v>
      </c>
      <c r="R124" s="1" t="s">
        <v>26</v>
      </c>
      <c r="S124" s="10" t="s">
        <v>26</v>
      </c>
      <c r="T124" s="11" t="s">
        <v>26</v>
      </c>
      <c r="U124" s="11" t="s">
        <v>26</v>
      </c>
      <c r="V124" s="11" t="s">
        <v>26</v>
      </c>
      <c r="W124" s="10" t="s">
        <v>26</v>
      </c>
      <c r="X124" s="11" t="s">
        <v>26</v>
      </c>
      <c r="Y124" s="11" t="s">
        <v>26</v>
      </c>
      <c r="Z124" s="11" t="s">
        <v>26</v>
      </c>
      <c r="AA124" s="10" t="s">
        <v>26</v>
      </c>
      <c r="AB124" s="11" t="s">
        <v>26</v>
      </c>
      <c r="AC124" s="11" t="s">
        <v>26</v>
      </c>
      <c r="AD124" s="11" t="s">
        <v>26</v>
      </c>
      <c r="AE124" s="10">
        <v>1873157960.8399999</v>
      </c>
      <c r="AF124" s="11">
        <v>3.0691421667399998E-3</v>
      </c>
      <c r="AG124" s="1" t="s">
        <v>26</v>
      </c>
      <c r="AH124" s="1" t="s">
        <v>26</v>
      </c>
      <c r="AI124" s="10" t="s">
        <v>26</v>
      </c>
      <c r="AJ124" s="11" t="s">
        <v>26</v>
      </c>
      <c r="AK124" s="11" t="s">
        <v>26</v>
      </c>
      <c r="AL124" s="11" t="s">
        <v>26</v>
      </c>
      <c r="AM124" s="10" t="s">
        <v>26</v>
      </c>
      <c r="AN124" s="11" t="s">
        <v>26</v>
      </c>
      <c r="AO124" s="11" t="s">
        <v>26</v>
      </c>
      <c r="AP124" s="11" t="s">
        <v>26</v>
      </c>
      <c r="AQ124" s="10" t="s">
        <v>26</v>
      </c>
      <c r="AR124" s="11" t="s">
        <v>26</v>
      </c>
      <c r="AS124" s="11" t="s">
        <v>26</v>
      </c>
      <c r="AT124" s="11" t="s">
        <v>26</v>
      </c>
      <c r="AU124" s="10" t="s">
        <v>26</v>
      </c>
      <c r="AV124" s="11" t="s">
        <v>26</v>
      </c>
      <c r="AW124" s="11" t="s">
        <v>26</v>
      </c>
      <c r="AX124" s="11" t="s">
        <v>26</v>
      </c>
      <c r="AY124" s="10">
        <v>1873157960.8399999</v>
      </c>
      <c r="AZ124" s="11">
        <v>2.7019682730799999E-3</v>
      </c>
      <c r="BA124" s="1" t="s">
        <v>26</v>
      </c>
      <c r="BB124" s="1" t="s">
        <v>26</v>
      </c>
    </row>
    <row r="125" spans="1:54" s="7" customFormat="1">
      <c r="A125" s="3" t="s">
        <v>86</v>
      </c>
      <c r="B125" s="31" t="s">
        <v>46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1873157960.8399999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1873157960.8399999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1873157960.8399999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98</v>
      </c>
      <c r="B126" s="24" t="s">
        <v>25</v>
      </c>
      <c r="C126" s="10" t="s">
        <v>26</v>
      </c>
      <c r="D126" s="11" t="s">
        <v>26</v>
      </c>
      <c r="E126" s="11" t="s">
        <v>26</v>
      </c>
      <c r="F126" s="11" t="s">
        <v>26</v>
      </c>
      <c r="G126" s="10" t="s">
        <v>26</v>
      </c>
      <c r="H126" s="11" t="s">
        <v>26</v>
      </c>
      <c r="I126" s="11" t="s">
        <v>26</v>
      </c>
      <c r="J126" s="11" t="s">
        <v>26</v>
      </c>
      <c r="K126" s="10" t="s">
        <v>26</v>
      </c>
      <c r="L126" s="11" t="s">
        <v>26</v>
      </c>
      <c r="M126" s="11" t="s">
        <v>26</v>
      </c>
      <c r="N126" s="11" t="s">
        <v>26</v>
      </c>
      <c r="O126" s="10">
        <v>573998776.5</v>
      </c>
      <c r="P126" s="11">
        <v>2.6873372140900002E-3</v>
      </c>
      <c r="Q126" s="1" t="s">
        <v>26</v>
      </c>
      <c r="R126" s="1" t="s">
        <v>26</v>
      </c>
      <c r="S126" s="10" t="s">
        <v>26</v>
      </c>
      <c r="T126" s="11" t="s">
        <v>26</v>
      </c>
      <c r="U126" s="11" t="s">
        <v>26</v>
      </c>
      <c r="V126" s="11" t="s">
        <v>26</v>
      </c>
      <c r="W126" s="10" t="s">
        <v>26</v>
      </c>
      <c r="X126" s="11" t="s">
        <v>26</v>
      </c>
      <c r="Y126" s="11" t="s">
        <v>26</v>
      </c>
      <c r="Z126" s="11" t="s">
        <v>26</v>
      </c>
      <c r="AA126" s="10" t="s">
        <v>26</v>
      </c>
      <c r="AB126" s="11" t="s">
        <v>26</v>
      </c>
      <c r="AC126" s="11" t="s">
        <v>26</v>
      </c>
      <c r="AD126" s="11" t="s">
        <v>26</v>
      </c>
      <c r="AE126" s="10">
        <v>573998776.5</v>
      </c>
      <c r="AF126" s="11">
        <v>9.4048867498000002E-4</v>
      </c>
      <c r="AG126" s="1" t="s">
        <v>26</v>
      </c>
      <c r="AH126" s="1" t="s">
        <v>26</v>
      </c>
      <c r="AI126" s="10" t="s">
        <v>26</v>
      </c>
      <c r="AJ126" s="11" t="s">
        <v>26</v>
      </c>
      <c r="AK126" s="11" t="s">
        <v>26</v>
      </c>
      <c r="AL126" s="11" t="s">
        <v>26</v>
      </c>
      <c r="AM126" s="10" t="s">
        <v>26</v>
      </c>
      <c r="AN126" s="11" t="s">
        <v>26</v>
      </c>
      <c r="AO126" s="11" t="s">
        <v>26</v>
      </c>
      <c r="AP126" s="11" t="s">
        <v>26</v>
      </c>
      <c r="AQ126" s="10" t="s">
        <v>26</v>
      </c>
      <c r="AR126" s="11" t="s">
        <v>26</v>
      </c>
      <c r="AS126" s="11" t="s">
        <v>26</v>
      </c>
      <c r="AT126" s="11" t="s">
        <v>26</v>
      </c>
      <c r="AU126" s="10" t="s">
        <v>26</v>
      </c>
      <c r="AV126" s="11" t="s">
        <v>26</v>
      </c>
      <c r="AW126" s="11" t="s">
        <v>26</v>
      </c>
      <c r="AX126" s="11" t="s">
        <v>26</v>
      </c>
      <c r="AY126" s="10">
        <v>573998776.5</v>
      </c>
      <c r="AZ126" s="11">
        <v>8.2797421003E-4</v>
      </c>
      <c r="BA126" s="1" t="s">
        <v>26</v>
      </c>
      <c r="BB126" s="1" t="s">
        <v>26</v>
      </c>
    </row>
    <row r="127" spans="1:54">
      <c r="A127" s="3" t="s">
        <v>86</v>
      </c>
      <c r="B127" s="31" t="s">
        <v>114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573998776.5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573998776.5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573998776.5</v>
      </c>
      <c r="AZ127" s="1">
        <v>1</v>
      </c>
      <c r="BA127" s="1" t="s">
        <v>26</v>
      </c>
      <c r="BB127" s="1" t="s">
        <v>26</v>
      </c>
    </row>
    <row r="128" spans="1:54">
      <c r="A128" s="13" t="s">
        <v>100</v>
      </c>
      <c r="B128" s="25" t="s">
        <v>25</v>
      </c>
      <c r="C128" s="55">
        <v>5608024379.8800001</v>
      </c>
      <c r="D128" s="56">
        <v>0.99960000000000004</v>
      </c>
      <c r="E128" s="56" t="s">
        <v>26</v>
      </c>
      <c r="F128" s="56" t="s">
        <v>26</v>
      </c>
      <c r="G128" s="55">
        <v>143458543095.25</v>
      </c>
      <c r="H128" s="62">
        <f>+H8+H13+H17+H47+H68+H92+H97</f>
        <v>0.99999316633194346</v>
      </c>
      <c r="I128" s="56" t="s">
        <v>26</v>
      </c>
      <c r="J128" s="56" t="s">
        <v>26</v>
      </c>
      <c r="K128" s="55">
        <v>2715748580.1199999</v>
      </c>
      <c r="L128" s="56">
        <v>0.999</v>
      </c>
      <c r="M128" s="56" t="s">
        <v>26</v>
      </c>
      <c r="N128" s="56" t="s">
        <v>26</v>
      </c>
      <c r="O128" s="55">
        <v>213593690273.44</v>
      </c>
      <c r="P128" s="56">
        <v>1</v>
      </c>
      <c r="Q128" s="56" t="s">
        <v>26</v>
      </c>
      <c r="R128" s="56" t="s">
        <v>26</v>
      </c>
      <c r="S128" s="55">
        <v>107018005798.53</v>
      </c>
      <c r="T128" s="56">
        <f>+T8+T13+T17+T47+T57+T68+T87+T92+T97</f>
        <v>0.99977026169992134</v>
      </c>
      <c r="U128" s="56" t="s">
        <v>26</v>
      </c>
      <c r="V128" s="56" t="s">
        <v>26</v>
      </c>
      <c r="W128" s="55">
        <v>5975941283.29</v>
      </c>
      <c r="X128" s="56">
        <v>0.99890000000000001</v>
      </c>
      <c r="Y128" s="56" t="s">
        <v>26</v>
      </c>
      <c r="Z128" s="56" t="s">
        <v>26</v>
      </c>
      <c r="AA128" s="55">
        <v>131892277401.03</v>
      </c>
      <c r="AB128" s="56">
        <v>0.99980000000000002</v>
      </c>
      <c r="AC128" s="56" t="s">
        <v>26</v>
      </c>
      <c r="AD128" s="56" t="s">
        <v>26</v>
      </c>
      <c r="AE128" s="55">
        <v>610262230811.54004</v>
      </c>
      <c r="AF128" s="56">
        <f>+AF8+AF13+AF17+AF47+AF57+AF68+AF87+AF92+AF97</f>
        <v>0.99990581921520172</v>
      </c>
      <c r="AG128" s="56" t="s">
        <v>26</v>
      </c>
      <c r="AH128" s="56" t="s">
        <v>26</v>
      </c>
      <c r="AI128" s="55">
        <v>16604719372.82</v>
      </c>
      <c r="AJ128" s="56">
        <v>0.99990000000000001</v>
      </c>
      <c r="AK128" s="56" t="s">
        <v>26</v>
      </c>
      <c r="AL128" s="56" t="s">
        <v>26</v>
      </c>
      <c r="AM128" s="55">
        <v>23405196742.970001</v>
      </c>
      <c r="AN128" s="56">
        <v>1</v>
      </c>
      <c r="AO128" s="56" t="s">
        <v>26</v>
      </c>
      <c r="AP128" s="56" t="s">
        <v>26</v>
      </c>
      <c r="AQ128" s="55">
        <v>40009916115.790001</v>
      </c>
      <c r="AR128" s="56">
        <v>0.99990000000000001</v>
      </c>
      <c r="AS128" s="56" t="s">
        <v>26</v>
      </c>
      <c r="AT128" s="56" t="s">
        <v>26</v>
      </c>
      <c r="AU128" s="55">
        <v>42917681939.959999</v>
      </c>
      <c r="AV128" s="56">
        <v>0.99980000000000002</v>
      </c>
      <c r="AW128" s="56" t="s">
        <v>26</v>
      </c>
      <c r="AX128" s="56" t="s">
        <v>26</v>
      </c>
      <c r="AY128" s="55">
        <v>693189828867.29004</v>
      </c>
      <c r="AZ128" s="56">
        <f>+AZ8+AZ13+AZ17+AZ47+AZ57+AZ68+AZ87+AZ92+AZ97</f>
        <v>0.99990335250892659</v>
      </c>
      <c r="BA128" s="56" t="s">
        <v>26</v>
      </c>
      <c r="BB128" s="56" t="s">
        <v>26</v>
      </c>
    </row>
    <row r="129" spans="1:54" s="7" customFormat="1">
      <c r="A129" s="5" t="s">
        <v>101</v>
      </c>
      <c r="B129" s="24" t="s">
        <v>25</v>
      </c>
      <c r="C129" s="10">
        <v>2261590.9</v>
      </c>
      <c r="D129" s="11">
        <v>4.0000000000000002E-4</v>
      </c>
      <c r="E129" s="11" t="s">
        <v>26</v>
      </c>
      <c r="F129" s="11" t="s">
        <v>26</v>
      </c>
      <c r="G129" s="10">
        <v>980354.73</v>
      </c>
      <c r="H129" s="11">
        <v>0</v>
      </c>
      <c r="I129" s="11" t="s">
        <v>26</v>
      </c>
      <c r="J129" s="11" t="s">
        <v>26</v>
      </c>
      <c r="K129" s="10">
        <v>2792122.91</v>
      </c>
      <c r="L129" s="11">
        <v>1E-3</v>
      </c>
      <c r="M129" s="11" t="s">
        <v>26</v>
      </c>
      <c r="N129" s="11" t="s">
        <v>26</v>
      </c>
      <c r="O129" s="10">
        <v>187521.44</v>
      </c>
      <c r="P129" s="11">
        <v>0</v>
      </c>
      <c r="Q129" s="11" t="s">
        <v>26</v>
      </c>
      <c r="R129" s="11" t="s">
        <v>26</v>
      </c>
      <c r="S129" s="10">
        <v>24591784.329999998</v>
      </c>
      <c r="T129" s="11">
        <v>2.0000000000000001E-4</v>
      </c>
      <c r="U129" s="11" t="s">
        <v>26</v>
      </c>
      <c r="V129" s="11" t="s">
        <v>26</v>
      </c>
      <c r="W129" s="10">
        <v>6468332.3600000003</v>
      </c>
      <c r="X129" s="11">
        <v>1.1000000000000001E-3</v>
      </c>
      <c r="Y129" s="11" t="s">
        <v>26</v>
      </c>
      <c r="Z129" s="11" t="s">
        <v>26</v>
      </c>
      <c r="AA129" s="10">
        <v>20198682.600000001</v>
      </c>
      <c r="AB129" s="11">
        <v>2.0000000000000001E-4</v>
      </c>
      <c r="AC129" s="11" t="s">
        <v>26</v>
      </c>
      <c r="AD129" s="11" t="s">
        <v>26</v>
      </c>
      <c r="AE129" s="10">
        <v>57480389.270000003</v>
      </c>
      <c r="AF129" s="11">
        <v>1E-4</v>
      </c>
      <c r="AG129" s="11" t="s">
        <v>26</v>
      </c>
      <c r="AH129" s="11" t="s">
        <v>26</v>
      </c>
      <c r="AI129" s="10">
        <v>1414178.47</v>
      </c>
      <c r="AJ129" s="11">
        <v>1E-4</v>
      </c>
      <c r="AK129" s="11" t="s">
        <v>26</v>
      </c>
      <c r="AL129" s="11" t="s">
        <v>26</v>
      </c>
      <c r="AM129" s="10">
        <v>922314.68</v>
      </c>
      <c r="AN129" s="11">
        <v>0</v>
      </c>
      <c r="AO129" s="11" t="s">
        <v>26</v>
      </c>
      <c r="AP129" s="11" t="s">
        <v>26</v>
      </c>
      <c r="AQ129" s="10">
        <v>2336493.15</v>
      </c>
      <c r="AR129" s="11">
        <v>1E-4</v>
      </c>
      <c r="AS129" s="11" t="s">
        <v>26</v>
      </c>
      <c r="AT129" s="11" t="s">
        <v>26</v>
      </c>
      <c r="AU129" s="10">
        <v>7184650.7999999998</v>
      </c>
      <c r="AV129" s="11">
        <v>2.0000000000000001E-4</v>
      </c>
      <c r="AW129" s="11" t="s">
        <v>26</v>
      </c>
      <c r="AX129" s="11" t="s">
        <v>26</v>
      </c>
      <c r="AY129" s="10">
        <v>67001533.219999999</v>
      </c>
      <c r="AZ129" s="11">
        <v>1E-4</v>
      </c>
      <c r="BA129" s="11" t="s">
        <v>26</v>
      </c>
      <c r="BB129" s="11" t="s">
        <v>26</v>
      </c>
    </row>
    <row r="130" spans="1:54">
      <c r="A130" s="13" t="s">
        <v>102</v>
      </c>
      <c r="B130" s="25" t="s">
        <v>25</v>
      </c>
      <c r="C130" s="55">
        <v>5610285970.7799997</v>
      </c>
      <c r="D130" s="56">
        <v>1</v>
      </c>
      <c r="E130" s="56" t="s">
        <v>26</v>
      </c>
      <c r="F130" s="56" t="s">
        <v>26</v>
      </c>
      <c r="G130" s="55">
        <v>143459523449.98001</v>
      </c>
      <c r="H130" s="56">
        <f>+H128+H129</f>
        <v>0.99999316633194346</v>
      </c>
      <c r="I130" s="56" t="s">
        <v>26</v>
      </c>
      <c r="J130" s="56" t="s">
        <v>26</v>
      </c>
      <c r="K130" s="55">
        <v>2718540703.0300002</v>
      </c>
      <c r="L130" s="56">
        <v>1</v>
      </c>
      <c r="M130" s="56" t="s">
        <v>26</v>
      </c>
      <c r="N130" s="56" t="s">
        <v>26</v>
      </c>
      <c r="O130" s="55">
        <v>213593877794.88</v>
      </c>
      <c r="P130" s="56">
        <v>1</v>
      </c>
      <c r="Q130" s="56" t="s">
        <v>26</v>
      </c>
      <c r="R130" s="56" t="s">
        <v>26</v>
      </c>
      <c r="S130" s="55">
        <v>107042597582.86</v>
      </c>
      <c r="T130" s="56">
        <f>+T128+T129</f>
        <v>0.99997026169992131</v>
      </c>
      <c r="U130" s="56" t="s">
        <v>26</v>
      </c>
      <c r="V130" s="56" t="s">
        <v>26</v>
      </c>
      <c r="W130" s="55">
        <v>5982409615.6499996</v>
      </c>
      <c r="X130" s="56">
        <v>1</v>
      </c>
      <c r="Y130" s="56" t="s">
        <v>26</v>
      </c>
      <c r="Z130" s="56" t="s">
        <v>26</v>
      </c>
      <c r="AA130" s="55">
        <v>131912476083.63</v>
      </c>
      <c r="AB130" s="56">
        <v>1</v>
      </c>
      <c r="AC130" s="56" t="s">
        <v>26</v>
      </c>
      <c r="AD130" s="56" t="s">
        <v>26</v>
      </c>
      <c r="AE130" s="55">
        <v>610319711200.81006</v>
      </c>
      <c r="AF130" s="56">
        <f>+AF128+AF129</f>
        <v>1.0000058192152017</v>
      </c>
      <c r="AG130" s="56" t="s">
        <v>26</v>
      </c>
      <c r="AH130" s="56" t="s">
        <v>26</v>
      </c>
      <c r="AI130" s="55">
        <v>16606133551.290001</v>
      </c>
      <c r="AJ130" s="56">
        <v>1</v>
      </c>
      <c r="AK130" s="56" t="s">
        <v>26</v>
      </c>
      <c r="AL130" s="56" t="s">
        <v>26</v>
      </c>
      <c r="AM130" s="55">
        <v>23406119057.650002</v>
      </c>
      <c r="AN130" s="56">
        <v>1</v>
      </c>
      <c r="AO130" s="56" t="s">
        <v>26</v>
      </c>
      <c r="AP130" s="56" t="s">
        <v>26</v>
      </c>
      <c r="AQ130" s="55">
        <v>40012252608.940002</v>
      </c>
      <c r="AR130" s="56">
        <v>1</v>
      </c>
      <c r="AS130" s="56" t="s">
        <v>26</v>
      </c>
      <c r="AT130" s="56" t="s">
        <v>26</v>
      </c>
      <c r="AU130" s="55">
        <v>42924866590.760002</v>
      </c>
      <c r="AV130" s="56">
        <v>1</v>
      </c>
      <c r="AW130" s="56" t="s">
        <v>26</v>
      </c>
      <c r="AX130" s="56" t="s">
        <v>26</v>
      </c>
      <c r="AY130" s="55">
        <v>693256830400.51001</v>
      </c>
      <c r="AZ130" s="56">
        <f>+AZ128+AZ129</f>
        <v>1.0000033525089267</v>
      </c>
      <c r="BA130" s="56" t="s">
        <v>26</v>
      </c>
      <c r="BB130" s="56" t="s">
        <v>26</v>
      </c>
    </row>
    <row r="132" spans="1:54">
      <c r="A132" s="18" t="s">
        <v>103</v>
      </c>
    </row>
    <row r="133" spans="1:54">
      <c r="A133" s="39" t="s">
        <v>115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135"/>
  <sheetViews>
    <sheetView zoomScaleNormal="100" workbookViewId="0">
      <pane xSplit="2" ySplit="7" topLeftCell="C8" activePane="bottomRight" state="frozen"/>
      <selection pane="bottomRight" activeCell="A12" sqref="A12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20.28515625" style="9" bestFit="1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0.85546875" style="9" bestFit="1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85546875" style="9" bestFit="1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119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5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2548305485.4699998</v>
      </c>
      <c r="D8" s="56">
        <v>0.44234045897542001</v>
      </c>
      <c r="E8" s="56" t="s">
        <v>26</v>
      </c>
      <c r="F8" s="56" t="s">
        <v>26</v>
      </c>
      <c r="G8" s="55">
        <f>+G9+G11</f>
        <v>76752127963.286713</v>
      </c>
      <c r="H8" s="56">
        <f>+G8/G132</f>
        <v>0.53054312283330929</v>
      </c>
      <c r="I8" s="56" t="s">
        <v>26</v>
      </c>
      <c r="J8" s="56" t="s">
        <v>26</v>
      </c>
      <c r="K8" s="55">
        <v>944351734.38</v>
      </c>
      <c r="L8" s="56">
        <v>0.34485750384129998</v>
      </c>
      <c r="M8" s="56" t="s">
        <v>26</v>
      </c>
      <c r="N8" s="56" t="s">
        <v>26</v>
      </c>
      <c r="O8" s="55">
        <v>86613125737.710007</v>
      </c>
      <c r="P8" s="56">
        <v>0.40007831324379001</v>
      </c>
      <c r="Q8" s="56" t="s">
        <v>26</v>
      </c>
      <c r="R8" s="56" t="s">
        <v>26</v>
      </c>
      <c r="S8" s="55">
        <f>+S9+S11</f>
        <v>53301397736.618698</v>
      </c>
      <c r="T8" s="56">
        <f>+S8/S132</f>
        <v>0.49294345152393831</v>
      </c>
      <c r="U8" s="56" t="s">
        <v>26</v>
      </c>
      <c r="V8" s="56" t="s">
        <v>26</v>
      </c>
      <c r="W8" s="55">
        <v>1756492022.29</v>
      </c>
      <c r="X8" s="56">
        <v>0.29496510412581001</v>
      </c>
      <c r="Y8" s="56" t="s">
        <v>26</v>
      </c>
      <c r="Z8" s="56" t="s">
        <v>26</v>
      </c>
      <c r="AA8" s="55">
        <v>64120481703.389999</v>
      </c>
      <c r="AB8" s="56">
        <v>0.47972275033474998</v>
      </c>
      <c r="AC8" s="56" t="s">
        <v>26</v>
      </c>
      <c r="AD8" s="56" t="s">
        <v>26</v>
      </c>
      <c r="AE8" s="55">
        <f>+AE9+AE11</f>
        <v>286036282383.14539</v>
      </c>
      <c r="AF8" s="56">
        <f>+AE8/AE132</f>
        <v>0.4632900721174808</v>
      </c>
      <c r="AG8" s="56" t="s">
        <v>26</v>
      </c>
      <c r="AH8" s="56" t="s">
        <v>26</v>
      </c>
      <c r="AI8" s="55">
        <v>6121088573.0299997</v>
      </c>
      <c r="AJ8" s="56">
        <v>0.36536658357571999</v>
      </c>
      <c r="AK8" s="56" t="s">
        <v>26</v>
      </c>
      <c r="AL8" s="56" t="s">
        <v>26</v>
      </c>
      <c r="AM8" s="55">
        <f>+AM9</f>
        <v>5701313567.0799999</v>
      </c>
      <c r="AN8" s="56">
        <f>+AM8/AM132</f>
        <v>0.24251263106529758</v>
      </c>
      <c r="AO8" s="56" t="s">
        <v>26</v>
      </c>
      <c r="AP8" s="56" t="s">
        <v>26</v>
      </c>
      <c r="AQ8" s="55">
        <f>+AQ9</f>
        <v>11822402140.110001</v>
      </c>
      <c r="AR8" s="56">
        <f>+AQ8/AQ132</f>
        <v>0.29363167776022159</v>
      </c>
      <c r="AS8" s="56" t="s">
        <v>26</v>
      </c>
      <c r="AT8" s="56" t="s">
        <v>26</v>
      </c>
      <c r="AU8" s="55">
        <v>19391435307.799999</v>
      </c>
      <c r="AV8" s="56">
        <v>0.44669903608632999</v>
      </c>
      <c r="AW8" s="56" t="s">
        <v>26</v>
      </c>
      <c r="AX8" s="56" t="s">
        <v>26</v>
      </c>
      <c r="AY8" s="55">
        <f>+AY9+AY11</f>
        <v>317250119831.05536</v>
      </c>
      <c r="AZ8" s="56">
        <f>+AY8/AY132</f>
        <v>0.45250471586124397</v>
      </c>
      <c r="BA8" s="56" t="s">
        <v>26</v>
      </c>
      <c r="BB8" s="56" t="s">
        <v>26</v>
      </c>
    </row>
    <row r="9" spans="1:54" s="8" customFormat="1">
      <c r="A9" s="5" t="s">
        <v>27</v>
      </c>
      <c r="B9" s="24" t="s">
        <v>25</v>
      </c>
      <c r="C9" s="10">
        <v>2548305485.4699998</v>
      </c>
      <c r="D9" s="11">
        <v>0.44234045897542001</v>
      </c>
      <c r="E9" s="11">
        <v>0.5</v>
      </c>
      <c r="F9" s="11">
        <v>5.7700000000000001E-2</v>
      </c>
      <c r="G9" s="10">
        <f>+G10</f>
        <v>71004914964.48671</v>
      </c>
      <c r="H9" s="11">
        <f>+G9/G132</f>
        <v>0.49081595939322781</v>
      </c>
      <c r="I9" s="11">
        <v>0.5</v>
      </c>
      <c r="J9" s="11">
        <f>+I9-H9</f>
        <v>9.1840406067721925E-3</v>
      </c>
      <c r="K9" s="10">
        <v>944351734.38</v>
      </c>
      <c r="L9" s="11">
        <v>0.34485750384129998</v>
      </c>
      <c r="M9" s="11">
        <v>0.5</v>
      </c>
      <c r="N9" s="11">
        <v>0.15509999999999999</v>
      </c>
      <c r="O9" s="10">
        <f>+O10</f>
        <v>85351542396.509995</v>
      </c>
      <c r="P9" s="11">
        <f>+O9/O130</f>
        <v>0.39425123776407089</v>
      </c>
      <c r="Q9" s="11">
        <v>0.5</v>
      </c>
      <c r="R9" s="11">
        <f>+Q9-P9</f>
        <v>0.10574876223592911</v>
      </c>
      <c r="S9" s="10">
        <f>+S10</f>
        <v>51799512806.618698</v>
      </c>
      <c r="T9" s="11">
        <f>+S9/S132</f>
        <v>0.47905367803536503</v>
      </c>
      <c r="U9" s="11">
        <v>0.5</v>
      </c>
      <c r="V9" s="11">
        <v>9.9599999999999994E-2</v>
      </c>
      <c r="W9" s="10">
        <v>1756492022.29</v>
      </c>
      <c r="X9" s="11">
        <v>0.29496510412581001</v>
      </c>
      <c r="Y9" s="11">
        <v>0.5</v>
      </c>
      <c r="Z9" s="11">
        <v>0.20499999999999999</v>
      </c>
      <c r="AA9" s="10">
        <f>+AA10</f>
        <v>62618596773.389999</v>
      </c>
      <c r="AB9" s="11">
        <f>+AA9/AA130</f>
        <v>0.4685220423110622</v>
      </c>
      <c r="AC9" s="11">
        <v>0.5</v>
      </c>
      <c r="AD9" s="11">
        <v>2.0299999999999999E-2</v>
      </c>
      <c r="AE9" s="28">
        <f>+AE10</f>
        <v>276023716183.14539</v>
      </c>
      <c r="AF9" s="11">
        <f>+AE9/AE132</f>
        <v>0.44707281996250603</v>
      </c>
      <c r="AG9" s="11">
        <v>0.5</v>
      </c>
      <c r="AH9" s="11">
        <f>+AG9-AF9</f>
        <v>5.292718003749397E-2</v>
      </c>
      <c r="AI9" s="10">
        <v>6121088573.0299997</v>
      </c>
      <c r="AJ9" s="11">
        <v>0.36536658357571999</v>
      </c>
      <c r="AK9" s="11">
        <v>0.5</v>
      </c>
      <c r="AL9" s="11">
        <v>0.1346</v>
      </c>
      <c r="AM9" s="10">
        <f>+AM10</f>
        <v>5701313567.0799999</v>
      </c>
      <c r="AN9" s="11">
        <f>+AM9/AM132</f>
        <v>0.24251263106529758</v>
      </c>
      <c r="AO9" s="11">
        <v>0.5</v>
      </c>
      <c r="AP9" s="11">
        <v>0.26869999999999999</v>
      </c>
      <c r="AQ9" s="10">
        <f>+AQ10</f>
        <v>11822402140.110001</v>
      </c>
      <c r="AR9" s="11">
        <f>+AQ9/AQ132</f>
        <v>0.29363167776022159</v>
      </c>
      <c r="AS9" s="11">
        <v>0.5</v>
      </c>
      <c r="AT9" s="11">
        <v>0.21290000000000001</v>
      </c>
      <c r="AU9" s="10">
        <v>19391435307.799999</v>
      </c>
      <c r="AV9" s="11">
        <v>0.44669903608632999</v>
      </c>
      <c r="AW9" s="11">
        <v>0.5</v>
      </c>
      <c r="AX9" s="11">
        <v>5.33E-2</v>
      </c>
      <c r="AY9" s="28">
        <f>+AY10</f>
        <v>307237553631.05536</v>
      </c>
      <c r="AZ9" s="29">
        <f>+AY9/AY132</f>
        <v>0.43822344962945931</v>
      </c>
      <c r="BA9" s="54">
        <v>0.5</v>
      </c>
      <c r="BB9" s="54">
        <f>+BA9-AZ9</f>
        <v>6.1776550370540695E-2</v>
      </c>
    </row>
    <row r="10" spans="1:54">
      <c r="A10" s="3" t="s">
        <v>28</v>
      </c>
      <c r="B10" s="31" t="s">
        <v>29</v>
      </c>
      <c r="C10" s="2">
        <v>2548305485.4699998</v>
      </c>
      <c r="D10" s="1">
        <v>1</v>
      </c>
      <c r="E10" s="1" t="s">
        <v>26</v>
      </c>
      <c r="F10" s="1" t="s">
        <v>26</v>
      </c>
      <c r="G10" s="2">
        <v>71004914964.48671</v>
      </c>
      <c r="H10" s="1">
        <v>1</v>
      </c>
      <c r="I10" s="1" t="s">
        <v>26</v>
      </c>
      <c r="J10" s="1" t="s">
        <v>26</v>
      </c>
      <c r="K10" s="2">
        <v>944351734.38</v>
      </c>
      <c r="L10" s="1">
        <v>1</v>
      </c>
      <c r="M10" s="1" t="s">
        <v>26</v>
      </c>
      <c r="N10" s="1" t="s">
        <v>26</v>
      </c>
      <c r="O10" s="2">
        <v>85351542396.509995</v>
      </c>
      <c r="P10" s="1">
        <v>1</v>
      </c>
      <c r="Q10" s="1" t="s">
        <v>26</v>
      </c>
      <c r="R10" s="1" t="s">
        <v>26</v>
      </c>
      <c r="S10" s="2">
        <v>51799512806.618698</v>
      </c>
      <c r="T10" s="1">
        <v>1</v>
      </c>
      <c r="U10" s="1" t="s">
        <v>26</v>
      </c>
      <c r="V10" s="1" t="s">
        <v>26</v>
      </c>
      <c r="W10" s="2">
        <v>1756492022.29</v>
      </c>
      <c r="X10" s="1">
        <v>1</v>
      </c>
      <c r="Y10" s="1" t="s">
        <v>26</v>
      </c>
      <c r="Z10" s="1" t="s">
        <v>26</v>
      </c>
      <c r="AA10" s="2">
        <v>62618596773.389999</v>
      </c>
      <c r="AB10" s="1">
        <v>1</v>
      </c>
      <c r="AC10" s="1" t="s">
        <v>26</v>
      </c>
      <c r="AD10" s="1" t="s">
        <v>26</v>
      </c>
      <c r="AE10" s="2">
        <f>+C10+G10+K10+O10+S10+W10+AA10</f>
        <v>276023716183.14539</v>
      </c>
      <c r="AF10" s="53">
        <v>1</v>
      </c>
      <c r="AG10" s="53" t="s">
        <v>26</v>
      </c>
      <c r="AH10" s="53" t="s">
        <v>26</v>
      </c>
      <c r="AI10" s="2">
        <v>6121088573.0299997</v>
      </c>
      <c r="AJ10" s="1">
        <v>1</v>
      </c>
      <c r="AK10" s="1" t="s">
        <v>26</v>
      </c>
      <c r="AL10" s="1" t="s">
        <v>26</v>
      </c>
      <c r="AM10" s="2">
        <v>5701313567.0799999</v>
      </c>
      <c r="AN10" s="1">
        <v>1</v>
      </c>
      <c r="AO10" s="1" t="s">
        <v>26</v>
      </c>
      <c r="AP10" s="1" t="s">
        <v>26</v>
      </c>
      <c r="AQ10" s="2">
        <f>+AM10+AI10</f>
        <v>11822402140.110001</v>
      </c>
      <c r="AR10" s="1">
        <v>1</v>
      </c>
      <c r="AS10" s="1" t="s">
        <v>26</v>
      </c>
      <c r="AT10" s="1" t="s">
        <v>26</v>
      </c>
      <c r="AU10" s="2">
        <v>19391435307.799999</v>
      </c>
      <c r="AV10" s="1">
        <v>1</v>
      </c>
      <c r="AW10" s="1" t="s">
        <v>26</v>
      </c>
      <c r="AX10" s="1" t="s">
        <v>26</v>
      </c>
      <c r="AY10" s="2">
        <f>+AE10+AQ10+AU10</f>
        <v>307237553631.05536</v>
      </c>
      <c r="AZ10" s="1">
        <v>1</v>
      </c>
      <c r="BA10" s="53" t="s">
        <v>26</v>
      </c>
      <c r="BB10" s="53" t="s">
        <v>26</v>
      </c>
    </row>
    <row r="11" spans="1:54" s="7" customFormat="1">
      <c r="A11" s="26" t="s">
        <v>27</v>
      </c>
      <c r="B11" s="24"/>
      <c r="C11" s="10" t="s">
        <v>26</v>
      </c>
      <c r="D11" s="11" t="s">
        <v>26</v>
      </c>
      <c r="E11" s="11" t="s">
        <v>26</v>
      </c>
      <c r="F11" s="11" t="s">
        <v>26</v>
      </c>
      <c r="G11" s="10">
        <f>+G12</f>
        <v>5747212998.8000002</v>
      </c>
      <c r="H11" s="11">
        <f>+G11/G132</f>
        <v>3.9727163440081495E-2</v>
      </c>
      <c r="I11" s="11">
        <v>0.1</v>
      </c>
      <c r="J11" s="11">
        <f>+I11-H11</f>
        <v>6.0272836559918511E-2</v>
      </c>
      <c r="K11" s="10" t="s">
        <v>26</v>
      </c>
      <c r="L11" s="11" t="s">
        <v>26</v>
      </c>
      <c r="M11" s="11" t="s">
        <v>26</v>
      </c>
      <c r="N11" s="11" t="s">
        <v>26</v>
      </c>
      <c r="O11" s="10">
        <f>+O12</f>
        <v>1261583341.2</v>
      </c>
      <c r="P11" s="11">
        <f>+O11/O130</f>
        <v>5.8274376753497305E-3</v>
      </c>
      <c r="Q11" s="11">
        <v>0.1</v>
      </c>
      <c r="R11" s="11">
        <f>+Q11-P11</f>
        <v>9.417256232465028E-2</v>
      </c>
      <c r="S11" s="51">
        <f>+S12</f>
        <v>1501884930</v>
      </c>
      <c r="T11" s="11">
        <f>+S11/S132</f>
        <v>1.3889773488573324E-2</v>
      </c>
      <c r="U11" s="11">
        <v>0.1</v>
      </c>
      <c r="V11" s="11">
        <f>+U11-T11</f>
        <v>8.6110226511426677E-2</v>
      </c>
      <c r="W11" s="10" t="s">
        <v>26</v>
      </c>
      <c r="X11" s="11" t="s">
        <v>26</v>
      </c>
      <c r="Y11" s="11" t="s">
        <v>26</v>
      </c>
      <c r="Z11" s="11" t="s">
        <v>26</v>
      </c>
      <c r="AA11" s="10">
        <f>+AA12</f>
        <v>1501884930</v>
      </c>
      <c r="AB11" s="11">
        <f>+AA11/AA130</f>
        <v>1.1237335727376634E-2</v>
      </c>
      <c r="AC11" s="11">
        <v>0.1</v>
      </c>
      <c r="AD11" s="11">
        <f>+AC11-AB11</f>
        <v>8.8762664272623373E-2</v>
      </c>
      <c r="AE11" s="28">
        <f>+AE12</f>
        <v>10012566200</v>
      </c>
      <c r="AF11" s="54">
        <f>+AE11/AE132</f>
        <v>1.6217252154974823E-2</v>
      </c>
      <c r="AG11" s="54">
        <v>0.1</v>
      </c>
      <c r="AH11" s="54">
        <f>+AG11-AF11</f>
        <v>8.3782747845025179E-2</v>
      </c>
      <c r="AI11" s="10" t="s">
        <v>26</v>
      </c>
      <c r="AJ11" s="11" t="s">
        <v>26</v>
      </c>
      <c r="AK11" s="11" t="s">
        <v>26</v>
      </c>
      <c r="AL11" s="11" t="s">
        <v>26</v>
      </c>
      <c r="AM11" s="10" t="s">
        <v>26</v>
      </c>
      <c r="AN11" s="11" t="s">
        <v>26</v>
      </c>
      <c r="AO11" s="11" t="s">
        <v>26</v>
      </c>
      <c r="AP11" s="11" t="s">
        <v>26</v>
      </c>
      <c r="AQ11" s="10" t="s">
        <v>26</v>
      </c>
      <c r="AR11" s="11" t="s">
        <v>26</v>
      </c>
      <c r="AS11" s="11" t="s">
        <v>26</v>
      </c>
      <c r="AT11" s="11" t="s">
        <v>26</v>
      </c>
      <c r="AU11" s="10" t="s">
        <v>26</v>
      </c>
      <c r="AV11" s="11" t="s">
        <v>26</v>
      </c>
      <c r="AW11" s="11" t="s">
        <v>26</v>
      </c>
      <c r="AX11" s="11" t="s">
        <v>26</v>
      </c>
      <c r="AY11" s="28">
        <f>+AY12</f>
        <v>10012566200</v>
      </c>
      <c r="AZ11" s="44">
        <f>+AY11/AY132</f>
        <v>1.4281266231784684E-2</v>
      </c>
      <c r="BA11" s="54">
        <v>0.1</v>
      </c>
      <c r="BB11" s="54">
        <f>+BA11-AZ11</f>
        <v>8.5718733768215316E-2</v>
      </c>
    </row>
    <row r="12" spans="1:54" s="45" customFormat="1" ht="17.25">
      <c r="A12" s="30" t="s">
        <v>113</v>
      </c>
      <c r="B12" s="31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5747212998.8000002</v>
      </c>
      <c r="H12" s="1">
        <f>+G12/G11</f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1261583341.2</v>
      </c>
      <c r="P12" s="1">
        <v>1</v>
      </c>
      <c r="Q12" s="1" t="s">
        <v>26</v>
      </c>
      <c r="R12" s="1" t="s">
        <v>26</v>
      </c>
      <c r="S12" s="52">
        <v>1501884930</v>
      </c>
      <c r="T12" s="1">
        <f>+S12/S11</f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1501884930</v>
      </c>
      <c r="AB12" s="1">
        <v>1</v>
      </c>
      <c r="AC12" s="1" t="s">
        <v>26</v>
      </c>
      <c r="AD12" s="1" t="s">
        <v>26</v>
      </c>
      <c r="AE12" s="22">
        <f>G12+O12+S12+AA12</f>
        <v>10012566200</v>
      </c>
      <c r="AF12" s="53">
        <v>1</v>
      </c>
      <c r="AG12" s="53" t="s">
        <v>26</v>
      </c>
      <c r="AH12" s="53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2">
        <f>+AE12</f>
        <v>10012566200</v>
      </c>
      <c r="AZ12" s="23">
        <v>1</v>
      </c>
      <c r="BA12" s="53" t="s">
        <v>26</v>
      </c>
      <c r="BB12" s="53" t="s">
        <v>26</v>
      </c>
    </row>
    <row r="13" spans="1:54" s="8" customFormat="1" ht="17.25" customHeight="1">
      <c r="A13" s="13" t="s">
        <v>30</v>
      </c>
      <c r="B13" s="25" t="s">
        <v>25</v>
      </c>
      <c r="C13" s="55">
        <v>2127761083.5899999</v>
      </c>
      <c r="D13" s="56">
        <v>0.36934143872143999</v>
      </c>
      <c r="E13" s="56" t="s">
        <v>26</v>
      </c>
      <c r="F13" s="56" t="s">
        <v>26</v>
      </c>
      <c r="G13" s="55">
        <v>43461393793.080002</v>
      </c>
      <c r="H13" s="56">
        <v>0.30042350873578999</v>
      </c>
      <c r="I13" s="56" t="s">
        <v>26</v>
      </c>
      <c r="J13" s="56" t="s">
        <v>26</v>
      </c>
      <c r="K13" s="55">
        <v>794884247.73000002</v>
      </c>
      <c r="L13" s="56">
        <v>0.29027510358193997</v>
      </c>
      <c r="M13" s="56" t="s">
        <v>26</v>
      </c>
      <c r="N13" s="56" t="s">
        <v>26</v>
      </c>
      <c r="O13" s="55">
        <v>75111233565.270004</v>
      </c>
      <c r="P13" s="56">
        <v>0.34694944183697002</v>
      </c>
      <c r="Q13" s="56" t="s">
        <v>26</v>
      </c>
      <c r="R13" s="56" t="s">
        <v>26</v>
      </c>
      <c r="S13" s="55">
        <v>28108366775.75</v>
      </c>
      <c r="T13" s="56">
        <v>0.25995257016721002</v>
      </c>
      <c r="U13" s="56" t="s">
        <v>26</v>
      </c>
      <c r="V13" s="56" t="s">
        <v>26</v>
      </c>
      <c r="W13" s="55">
        <v>2889975816.5300002</v>
      </c>
      <c r="X13" s="56">
        <v>0.48530935912391998</v>
      </c>
      <c r="Y13" s="56" t="s">
        <v>26</v>
      </c>
      <c r="Z13" s="56" t="s">
        <v>26</v>
      </c>
      <c r="AA13" s="55">
        <v>36352999979.559998</v>
      </c>
      <c r="AB13" s="56">
        <v>0.27197801185874998</v>
      </c>
      <c r="AC13" s="56" t="s">
        <v>26</v>
      </c>
      <c r="AD13" s="56" t="s">
        <v>26</v>
      </c>
      <c r="AE13" s="55">
        <v>188846615261.51001</v>
      </c>
      <c r="AF13" s="56">
        <v>0.3058729517623</v>
      </c>
      <c r="AG13" s="56" t="s">
        <v>26</v>
      </c>
      <c r="AH13" s="56" t="s">
        <v>26</v>
      </c>
      <c r="AI13" s="55">
        <v>6486356531.4399996</v>
      </c>
      <c r="AJ13" s="56">
        <v>0.3871693568017</v>
      </c>
      <c r="AK13" s="56" t="s">
        <v>26</v>
      </c>
      <c r="AL13" s="56" t="s">
        <v>26</v>
      </c>
      <c r="AM13" s="55">
        <v>11529993088.530001</v>
      </c>
      <c r="AN13" s="56">
        <v>0.49044293515261</v>
      </c>
      <c r="AO13" s="56" t="s">
        <v>26</v>
      </c>
      <c r="AP13" s="56" t="s">
        <v>26</v>
      </c>
      <c r="AQ13" s="55">
        <v>18016349619.970001</v>
      </c>
      <c r="AR13" s="56">
        <v>0.44747079718056998</v>
      </c>
      <c r="AS13" s="56" t="s">
        <v>26</v>
      </c>
      <c r="AT13" s="56" t="s">
        <v>26</v>
      </c>
      <c r="AU13" s="55">
        <v>14017493534.290001</v>
      </c>
      <c r="AV13" s="56">
        <v>0.32290548640279998</v>
      </c>
      <c r="AW13" s="56" t="s">
        <v>26</v>
      </c>
      <c r="AX13" s="56" t="s">
        <v>26</v>
      </c>
      <c r="AY13" s="55">
        <v>220880458415.76999</v>
      </c>
      <c r="AZ13" s="56">
        <v>0.31505954333113001</v>
      </c>
      <c r="BA13" s="56" t="s">
        <v>26</v>
      </c>
      <c r="BB13" s="56" t="s">
        <v>26</v>
      </c>
    </row>
    <row r="14" spans="1:54" s="7" customFormat="1">
      <c r="A14" s="5" t="s">
        <v>31</v>
      </c>
      <c r="B14" s="24" t="s">
        <v>25</v>
      </c>
      <c r="C14" s="10">
        <v>2127761083.5899999</v>
      </c>
      <c r="D14" s="11">
        <v>0.36934143872143999</v>
      </c>
      <c r="E14" s="11">
        <v>0.5</v>
      </c>
      <c r="F14" s="11">
        <v>0.13070000000000001</v>
      </c>
      <c r="G14" s="10">
        <v>43461393793.080002</v>
      </c>
      <c r="H14" s="11">
        <v>0.30042350873578999</v>
      </c>
      <c r="I14" s="11">
        <v>0.5</v>
      </c>
      <c r="J14" s="11">
        <v>0.1996</v>
      </c>
      <c r="K14" s="10">
        <v>794884247.73000002</v>
      </c>
      <c r="L14" s="11">
        <v>0.29027510358193997</v>
      </c>
      <c r="M14" s="11">
        <v>0.5</v>
      </c>
      <c r="N14" s="11">
        <v>0.2097</v>
      </c>
      <c r="O14" s="10">
        <v>75111233565.270004</v>
      </c>
      <c r="P14" s="11">
        <v>0.34694944183697002</v>
      </c>
      <c r="Q14" s="11">
        <v>0.5</v>
      </c>
      <c r="R14" s="11">
        <v>0.15310000000000001</v>
      </c>
      <c r="S14" s="10">
        <v>28108366775.75</v>
      </c>
      <c r="T14" s="11">
        <v>0.25995257016721002</v>
      </c>
      <c r="U14" s="11">
        <v>0.5</v>
      </c>
      <c r="V14" s="11">
        <v>0.24</v>
      </c>
      <c r="W14" s="10">
        <v>2889975816.5300002</v>
      </c>
      <c r="X14" s="11">
        <v>0.48530935912391998</v>
      </c>
      <c r="Y14" s="11">
        <v>0.5</v>
      </c>
      <c r="Z14" s="11">
        <v>1.47E-2</v>
      </c>
      <c r="AA14" s="10">
        <v>36352999979.559998</v>
      </c>
      <c r="AB14" s="11">
        <v>0.27197801185874998</v>
      </c>
      <c r="AC14" s="11">
        <v>0.5</v>
      </c>
      <c r="AD14" s="11">
        <v>0.22800000000000001</v>
      </c>
      <c r="AE14" s="10">
        <v>188846615261.51001</v>
      </c>
      <c r="AF14" s="11">
        <v>0.3058729517623</v>
      </c>
      <c r="AG14" s="11">
        <v>0.5</v>
      </c>
      <c r="AH14" s="11">
        <v>0.19409999999999999</v>
      </c>
      <c r="AI14" s="10">
        <v>6486356531.4399996</v>
      </c>
      <c r="AJ14" s="11">
        <v>0.3871693568017</v>
      </c>
      <c r="AK14" s="11">
        <v>0.5</v>
      </c>
      <c r="AL14" s="11">
        <v>0.1128</v>
      </c>
      <c r="AM14" s="10">
        <v>11529993088.530001</v>
      </c>
      <c r="AN14" s="11">
        <v>0.49044293515261</v>
      </c>
      <c r="AO14" s="11">
        <v>0.5</v>
      </c>
      <c r="AP14" s="11">
        <v>9.5999999999999992E-3</v>
      </c>
      <c r="AQ14" s="10">
        <v>18016349619.970001</v>
      </c>
      <c r="AR14" s="11">
        <v>0.44747079718056998</v>
      </c>
      <c r="AS14" s="11">
        <v>0.5</v>
      </c>
      <c r="AT14" s="11">
        <v>5.2499999999999998E-2</v>
      </c>
      <c r="AU14" s="10">
        <v>14017493534.290001</v>
      </c>
      <c r="AV14" s="11">
        <v>0.32290548640279998</v>
      </c>
      <c r="AW14" s="11">
        <v>0.5</v>
      </c>
      <c r="AX14" s="11">
        <v>0.17710000000000001</v>
      </c>
      <c r="AY14" s="10">
        <v>220880458415.76999</v>
      </c>
      <c r="AZ14" s="11">
        <v>0.31505954333113001</v>
      </c>
      <c r="BA14" s="11">
        <v>0.5</v>
      </c>
      <c r="BB14" s="11">
        <v>0.18490000000000001</v>
      </c>
    </row>
    <row r="15" spans="1:54" s="7" customFormat="1">
      <c r="A15" s="3" t="s">
        <v>32</v>
      </c>
      <c r="B15" s="31" t="s">
        <v>29</v>
      </c>
      <c r="C15" s="2">
        <v>959896459.47000003</v>
      </c>
      <c r="D15" s="1">
        <v>0.45112981286905002</v>
      </c>
      <c r="E15" s="1" t="s">
        <v>26</v>
      </c>
      <c r="F15" s="1" t="s">
        <v>26</v>
      </c>
      <c r="G15" s="2">
        <v>17758810913.18</v>
      </c>
      <c r="H15" s="1">
        <v>0.40861116874737002</v>
      </c>
      <c r="I15" s="1" t="s">
        <v>26</v>
      </c>
      <c r="J15" s="1" t="s">
        <v>26</v>
      </c>
      <c r="K15" s="2">
        <v>228108504.81</v>
      </c>
      <c r="L15" s="1">
        <v>0.28697071990220002</v>
      </c>
      <c r="M15" s="1" t="s">
        <v>26</v>
      </c>
      <c r="N15" s="1" t="s">
        <v>26</v>
      </c>
      <c r="O15" s="2">
        <v>20634001988.43</v>
      </c>
      <c r="P15" s="1">
        <v>0.27471259635883</v>
      </c>
      <c r="Q15" s="1" t="s">
        <v>26</v>
      </c>
      <c r="R15" s="1" t="s">
        <v>26</v>
      </c>
      <c r="S15" s="2">
        <v>11816734949.58</v>
      </c>
      <c r="T15" s="1">
        <v>0.42039920155640997</v>
      </c>
      <c r="U15" s="1" t="s">
        <v>26</v>
      </c>
      <c r="V15" s="1" t="s">
        <v>26</v>
      </c>
      <c r="W15" s="2">
        <v>1172341357.4100001</v>
      </c>
      <c r="X15" s="1">
        <v>0.40565784346861</v>
      </c>
      <c r="Y15" s="1" t="s">
        <v>26</v>
      </c>
      <c r="Z15" s="1" t="s">
        <v>26</v>
      </c>
      <c r="AA15" s="2">
        <v>18223905962.580002</v>
      </c>
      <c r="AB15" s="1">
        <v>0.50130404568609999</v>
      </c>
      <c r="AC15" s="1" t="s">
        <v>26</v>
      </c>
      <c r="AD15" s="1" t="s">
        <v>26</v>
      </c>
      <c r="AE15" s="2">
        <v>70793800135.460007</v>
      </c>
      <c r="AF15" s="1">
        <v>0.37487460411946999</v>
      </c>
      <c r="AG15" s="1" t="s">
        <v>26</v>
      </c>
      <c r="AH15" s="1" t="s">
        <v>26</v>
      </c>
      <c r="AI15" s="2">
        <v>1683995010.3399999</v>
      </c>
      <c r="AJ15" s="1">
        <v>0.25962109886767998</v>
      </c>
      <c r="AK15" s="1" t="s">
        <v>26</v>
      </c>
      <c r="AL15" s="1" t="s">
        <v>26</v>
      </c>
      <c r="AM15" s="2">
        <v>6765736430.3199997</v>
      </c>
      <c r="AN15" s="1">
        <v>0.58679449140785001</v>
      </c>
      <c r="AO15" s="1" t="s">
        <v>26</v>
      </c>
      <c r="AP15" s="1" t="s">
        <v>26</v>
      </c>
      <c r="AQ15" s="2">
        <v>8449731440.6599998</v>
      </c>
      <c r="AR15" s="1">
        <v>0.46900352284982</v>
      </c>
      <c r="AS15" s="1" t="s">
        <v>26</v>
      </c>
      <c r="AT15" s="1" t="s">
        <v>26</v>
      </c>
      <c r="AU15" s="2">
        <v>7774121200.2799997</v>
      </c>
      <c r="AV15" s="1">
        <v>0.55460137586386005</v>
      </c>
      <c r="AW15" s="1" t="s">
        <v>26</v>
      </c>
      <c r="AX15" s="1" t="s">
        <v>26</v>
      </c>
      <c r="AY15" s="2">
        <v>87017652776.399994</v>
      </c>
      <c r="AZ15" s="1">
        <v>0.39395813192584</v>
      </c>
      <c r="BA15" s="1" t="s">
        <v>26</v>
      </c>
      <c r="BB15" s="1" t="s">
        <v>26</v>
      </c>
    </row>
    <row r="16" spans="1:54">
      <c r="A16" s="3" t="s">
        <v>33</v>
      </c>
      <c r="B16" s="31" t="s">
        <v>29</v>
      </c>
      <c r="C16" s="2">
        <v>1167864624.1199999</v>
      </c>
      <c r="D16" s="1">
        <v>0.54887018713095004</v>
      </c>
      <c r="E16" s="1" t="s">
        <v>26</v>
      </c>
      <c r="F16" s="1" t="s">
        <v>26</v>
      </c>
      <c r="G16" s="2">
        <v>25702582879.900002</v>
      </c>
      <c r="H16" s="1">
        <v>0.59138883125262998</v>
      </c>
      <c r="I16" s="1" t="s">
        <v>26</v>
      </c>
      <c r="J16" s="1" t="s">
        <v>26</v>
      </c>
      <c r="K16" s="2">
        <v>566775742.91999996</v>
      </c>
      <c r="L16" s="1">
        <v>0.71302928009779998</v>
      </c>
      <c r="M16" s="1" t="s">
        <v>26</v>
      </c>
      <c r="N16" s="1" t="s">
        <v>26</v>
      </c>
      <c r="O16" s="2">
        <v>54477231576.839996</v>
      </c>
      <c r="P16" s="1">
        <v>0.72528740364116995</v>
      </c>
      <c r="Q16" s="1" t="s">
        <v>26</v>
      </c>
      <c r="R16" s="1" t="s">
        <v>26</v>
      </c>
      <c r="S16" s="2">
        <v>16291631826.17</v>
      </c>
      <c r="T16" s="1">
        <v>0.57960079844359003</v>
      </c>
      <c r="U16" s="1" t="s">
        <v>26</v>
      </c>
      <c r="V16" s="1" t="s">
        <v>26</v>
      </c>
      <c r="W16" s="2">
        <v>1717634459.1199999</v>
      </c>
      <c r="X16" s="1">
        <v>0.59434215653139</v>
      </c>
      <c r="Y16" s="1" t="s">
        <v>26</v>
      </c>
      <c r="Z16" s="1" t="s">
        <v>26</v>
      </c>
      <c r="AA16" s="2">
        <v>18129094016.98</v>
      </c>
      <c r="AB16" s="1">
        <v>0.49869595431390001</v>
      </c>
      <c r="AC16" s="1" t="s">
        <v>26</v>
      </c>
      <c r="AD16" s="1" t="s">
        <v>26</v>
      </c>
      <c r="AE16" s="2">
        <v>118052815126.05</v>
      </c>
      <c r="AF16" s="1">
        <v>0.62512539588052995</v>
      </c>
      <c r="AG16" s="1" t="s">
        <v>26</v>
      </c>
      <c r="AH16" s="1" t="s">
        <v>26</v>
      </c>
      <c r="AI16" s="2">
        <v>4802361521.1000004</v>
      </c>
      <c r="AJ16" s="1">
        <v>0.74037890113231997</v>
      </c>
      <c r="AK16" s="1" t="s">
        <v>26</v>
      </c>
      <c r="AL16" s="1" t="s">
        <v>26</v>
      </c>
      <c r="AM16" s="2">
        <v>4764256658.21</v>
      </c>
      <c r="AN16" s="1">
        <v>0.41320550859214999</v>
      </c>
      <c r="AO16" s="1" t="s">
        <v>26</v>
      </c>
      <c r="AP16" s="1" t="s">
        <v>26</v>
      </c>
      <c r="AQ16" s="2">
        <v>9566618179.3099995</v>
      </c>
      <c r="AR16" s="1">
        <v>0.53099647715017995</v>
      </c>
      <c r="AS16" s="1" t="s">
        <v>26</v>
      </c>
      <c r="AT16" s="1" t="s">
        <v>26</v>
      </c>
      <c r="AU16" s="2">
        <v>6243372334.0100002</v>
      </c>
      <c r="AV16" s="1">
        <v>0.44539862413614001</v>
      </c>
      <c r="AW16" s="1" t="s">
        <v>26</v>
      </c>
      <c r="AX16" s="1" t="s">
        <v>26</v>
      </c>
      <c r="AY16" s="2">
        <v>133862805639.37</v>
      </c>
      <c r="AZ16" s="1">
        <v>0.60604186807416005</v>
      </c>
      <c r="BA16" s="1" t="s">
        <v>26</v>
      </c>
      <c r="BB16" s="1" t="s">
        <v>26</v>
      </c>
    </row>
    <row r="17" spans="1:56" s="7" customFormat="1">
      <c r="A17" s="13" t="s">
        <v>34</v>
      </c>
      <c r="B17" s="25" t="s">
        <v>25</v>
      </c>
      <c r="C17" s="55">
        <v>231241336.00999999</v>
      </c>
      <c r="D17" s="56">
        <v>4.013937861374E-2</v>
      </c>
      <c r="E17" s="56" t="s">
        <v>26</v>
      </c>
      <c r="F17" s="56" t="s">
        <v>26</v>
      </c>
      <c r="G17" s="55">
        <v>11411470284</v>
      </c>
      <c r="H17" s="56">
        <v>7.8880901953480007E-2</v>
      </c>
      <c r="I17" s="56" t="s">
        <v>26</v>
      </c>
      <c r="J17" s="56" t="s">
        <v>26</v>
      </c>
      <c r="K17" s="55">
        <v>140574466.09</v>
      </c>
      <c r="L17" s="56">
        <v>5.1334855133659998E-2</v>
      </c>
      <c r="M17" s="56" t="s">
        <v>26</v>
      </c>
      <c r="N17" s="56" t="s">
        <v>26</v>
      </c>
      <c r="O17" s="55">
        <v>15313686781.41</v>
      </c>
      <c r="P17" s="56">
        <v>7.0736091381849997E-2</v>
      </c>
      <c r="Q17" s="56" t="s">
        <v>26</v>
      </c>
      <c r="R17" s="56" t="s">
        <v>26</v>
      </c>
      <c r="S17" s="55">
        <v>13102636831.629999</v>
      </c>
      <c r="T17" s="56">
        <v>0.12117616606911</v>
      </c>
      <c r="U17" s="56" t="s">
        <v>26</v>
      </c>
      <c r="V17" s="56" t="s">
        <v>26</v>
      </c>
      <c r="W17" s="55">
        <v>1188478631.1300001</v>
      </c>
      <c r="X17" s="56">
        <v>0.19957945651556</v>
      </c>
      <c r="Y17" s="56" t="s">
        <v>26</v>
      </c>
      <c r="Z17" s="56" t="s">
        <v>26</v>
      </c>
      <c r="AA17" s="55">
        <v>18168378773.990002</v>
      </c>
      <c r="AB17" s="56">
        <v>0.13592824637375001</v>
      </c>
      <c r="AC17" s="56" t="s">
        <v>26</v>
      </c>
      <c r="AD17" s="56" t="s">
        <v>26</v>
      </c>
      <c r="AE17" s="55">
        <v>59556467104.260002</v>
      </c>
      <c r="AF17" s="56">
        <v>9.6463007104940005E-2</v>
      </c>
      <c r="AG17" s="56" t="s">
        <v>26</v>
      </c>
      <c r="AH17" s="56" t="s">
        <v>26</v>
      </c>
      <c r="AI17" s="55">
        <v>2739279391.9699998</v>
      </c>
      <c r="AJ17" s="56">
        <v>0.16350705286527001</v>
      </c>
      <c r="AK17" s="56" t="s">
        <v>26</v>
      </c>
      <c r="AL17" s="56" t="s">
        <v>26</v>
      </c>
      <c r="AM17" s="55">
        <v>3839820021.9499998</v>
      </c>
      <c r="AN17" s="56">
        <v>0.16333163320767999</v>
      </c>
      <c r="AO17" s="56" t="s">
        <v>26</v>
      </c>
      <c r="AP17" s="56" t="s">
        <v>26</v>
      </c>
      <c r="AQ17" s="55">
        <v>6579099413.9200001</v>
      </c>
      <c r="AR17" s="56">
        <v>0.16340462533064001</v>
      </c>
      <c r="AS17" s="56" t="s">
        <v>26</v>
      </c>
      <c r="AT17" s="56" t="s">
        <v>26</v>
      </c>
      <c r="AU17" s="55">
        <v>5372906587.79</v>
      </c>
      <c r="AV17" s="56">
        <v>0.12376970325566</v>
      </c>
      <c r="AW17" s="56" t="s">
        <v>26</v>
      </c>
      <c r="AX17" s="56" t="s">
        <v>26</v>
      </c>
      <c r="AY17" s="55">
        <v>71508473105.970001</v>
      </c>
      <c r="AZ17" s="56">
        <v>0.10199828016775001</v>
      </c>
      <c r="BA17" s="56" t="s">
        <v>26</v>
      </c>
      <c r="BB17" s="56" t="s">
        <v>26</v>
      </c>
    </row>
    <row r="18" spans="1:56" s="7" customFormat="1">
      <c r="A18" s="5" t="s">
        <v>35</v>
      </c>
      <c r="B18" s="24" t="s">
        <v>25</v>
      </c>
      <c r="C18" s="10">
        <v>7000000.0300000003</v>
      </c>
      <c r="D18" s="11">
        <v>1.21507536822E-3</v>
      </c>
      <c r="E18" s="11">
        <v>0.15</v>
      </c>
      <c r="F18" s="11">
        <v>0.14879999999999999</v>
      </c>
      <c r="G18" s="10">
        <v>4172558029.6100001</v>
      </c>
      <c r="H18" s="11">
        <v>2.8842483276699998E-2</v>
      </c>
      <c r="I18" s="11">
        <v>0.15</v>
      </c>
      <c r="J18" s="11">
        <v>0.1212</v>
      </c>
      <c r="K18" s="10" t="s">
        <v>26</v>
      </c>
      <c r="L18" s="11" t="s">
        <v>26</v>
      </c>
      <c r="M18" s="11" t="s">
        <v>26</v>
      </c>
      <c r="N18" s="11" t="s">
        <v>26</v>
      </c>
      <c r="O18" s="10">
        <v>4611471302.6800003</v>
      </c>
      <c r="P18" s="11">
        <v>2.1301040051770002E-2</v>
      </c>
      <c r="Q18" s="11">
        <v>0.1368</v>
      </c>
      <c r="R18" s="11">
        <v>0.11550000000000001</v>
      </c>
      <c r="S18" s="10">
        <v>2739941810.2399998</v>
      </c>
      <c r="T18" s="11">
        <v>2.5339605156110001E-2</v>
      </c>
      <c r="U18" s="11">
        <v>0.05</v>
      </c>
      <c r="V18" s="11">
        <v>2.47E-2</v>
      </c>
      <c r="W18" s="10">
        <v>312193128.95999998</v>
      </c>
      <c r="X18" s="11">
        <v>5.242612982152E-2</v>
      </c>
      <c r="Y18" s="11">
        <v>0.15</v>
      </c>
      <c r="Z18" s="11">
        <v>9.7600000000000006E-2</v>
      </c>
      <c r="AA18" s="10">
        <v>8517042973.6800003</v>
      </c>
      <c r="AB18" s="11">
        <v>6.3720969829160007E-2</v>
      </c>
      <c r="AC18" s="11">
        <v>0.1429</v>
      </c>
      <c r="AD18" s="11">
        <v>7.9200000000000007E-2</v>
      </c>
      <c r="AE18" s="10">
        <v>20360207245.200001</v>
      </c>
      <c r="AF18" s="11">
        <v>3.2977221646030001E-2</v>
      </c>
      <c r="AG18" s="11">
        <v>0.14330000000000001</v>
      </c>
      <c r="AH18" s="11">
        <v>0.1103</v>
      </c>
      <c r="AI18" s="10">
        <v>823912920.32000005</v>
      </c>
      <c r="AJ18" s="11">
        <v>4.9179201586389998E-2</v>
      </c>
      <c r="AK18" s="11">
        <v>0.05</v>
      </c>
      <c r="AL18" s="11">
        <v>8.0000000000000004E-4</v>
      </c>
      <c r="AM18" s="10">
        <v>1278500297.1099999</v>
      </c>
      <c r="AN18" s="11">
        <v>5.4382637829319999E-2</v>
      </c>
      <c r="AO18" s="11">
        <v>0.15</v>
      </c>
      <c r="AP18" s="11">
        <v>9.5600000000000004E-2</v>
      </c>
      <c r="AQ18" s="10">
        <v>2102413217.4300001</v>
      </c>
      <c r="AR18" s="11">
        <v>5.2217487906849998E-2</v>
      </c>
      <c r="AS18" s="11">
        <v>0.1474</v>
      </c>
      <c r="AT18" s="11">
        <v>9.5200000000000007E-2</v>
      </c>
      <c r="AU18" s="10">
        <v>1464477681.47</v>
      </c>
      <c r="AV18" s="11">
        <v>3.3735551716459998E-2</v>
      </c>
      <c r="AW18" s="11">
        <v>0.05</v>
      </c>
      <c r="AX18" s="11">
        <v>1.6299999999999999E-2</v>
      </c>
      <c r="AY18" s="10">
        <v>23927098144.099998</v>
      </c>
      <c r="AZ18" s="11">
        <v>3.41291423813E-2</v>
      </c>
      <c r="BA18" s="11">
        <v>0.14369999999999999</v>
      </c>
      <c r="BB18" s="11">
        <v>0.1096</v>
      </c>
    </row>
    <row r="19" spans="1:56" s="7" customFormat="1">
      <c r="A19" s="3" t="s">
        <v>36</v>
      </c>
      <c r="B19" s="31" t="s">
        <v>37</v>
      </c>
      <c r="C19" s="2" t="s">
        <v>26</v>
      </c>
      <c r="D19" s="1" t="s">
        <v>26</v>
      </c>
      <c r="E19" s="1" t="s">
        <v>26</v>
      </c>
      <c r="F19" s="1" t="s">
        <v>26</v>
      </c>
      <c r="G19" s="2" t="s">
        <v>26</v>
      </c>
      <c r="H19" s="1" t="s">
        <v>26</v>
      </c>
      <c r="I19" s="1" t="s">
        <v>26</v>
      </c>
      <c r="J19" s="1" t="s">
        <v>26</v>
      </c>
      <c r="K19" s="2" t="s">
        <v>26</v>
      </c>
      <c r="L19" s="1" t="s">
        <v>26</v>
      </c>
      <c r="M19" s="1" t="s">
        <v>26</v>
      </c>
      <c r="N19" s="1" t="s">
        <v>26</v>
      </c>
      <c r="O19" s="2">
        <v>4053649280</v>
      </c>
      <c r="P19" s="1">
        <v>0.87903599826029</v>
      </c>
      <c r="Q19" s="1" t="s">
        <v>26</v>
      </c>
      <c r="R19" s="1" t="s">
        <v>26</v>
      </c>
      <c r="S19" s="2">
        <v>999224547.51999998</v>
      </c>
      <c r="T19" s="1">
        <v>0.36468823673028</v>
      </c>
      <c r="U19" s="1" t="s">
        <v>26</v>
      </c>
      <c r="V19" s="1" t="s">
        <v>26</v>
      </c>
      <c r="W19" s="2" t="s">
        <v>26</v>
      </c>
      <c r="X19" s="1" t="s">
        <v>26</v>
      </c>
      <c r="Y19" s="1" t="s">
        <v>26</v>
      </c>
      <c r="Z19" s="1" t="s">
        <v>26</v>
      </c>
      <c r="AA19" s="2">
        <v>4053649280</v>
      </c>
      <c r="AB19" s="1">
        <v>0.47594561780736</v>
      </c>
      <c r="AC19" s="1" t="s">
        <v>26</v>
      </c>
      <c r="AD19" s="1" t="s">
        <v>26</v>
      </c>
      <c r="AE19" s="2">
        <v>9106523107.5200005</v>
      </c>
      <c r="AF19" s="1">
        <v>0.44727064895996999</v>
      </c>
      <c r="AG19" s="1" t="s">
        <v>26</v>
      </c>
      <c r="AH19" s="1" t="s">
        <v>26</v>
      </c>
      <c r="AI19" s="2">
        <v>362801610.56</v>
      </c>
      <c r="AJ19" s="1">
        <v>0.44033975146194998</v>
      </c>
      <c r="AK19" s="1" t="s">
        <v>26</v>
      </c>
      <c r="AL19" s="1" t="s">
        <v>26</v>
      </c>
      <c r="AM19" s="2" t="s">
        <v>26</v>
      </c>
      <c r="AN19" s="1" t="s">
        <v>26</v>
      </c>
      <c r="AO19" s="1" t="s">
        <v>26</v>
      </c>
      <c r="AP19" s="1" t="s">
        <v>26</v>
      </c>
      <c r="AQ19" s="2">
        <v>362801610.56</v>
      </c>
      <c r="AR19" s="1">
        <v>0.17256436915074999</v>
      </c>
      <c r="AS19" s="1" t="s">
        <v>26</v>
      </c>
      <c r="AT19" s="1" t="s">
        <v>26</v>
      </c>
      <c r="AU19" s="2">
        <v>647570472.48000002</v>
      </c>
      <c r="AV19" s="1">
        <v>0.44218527921161999</v>
      </c>
      <c r="AW19" s="1" t="s">
        <v>26</v>
      </c>
      <c r="AX19" s="1" t="s">
        <v>26</v>
      </c>
      <c r="AY19" s="2">
        <v>10116895190.559999</v>
      </c>
      <c r="AZ19" s="1">
        <v>0.42282165307433001</v>
      </c>
      <c r="BA19" s="1" t="s">
        <v>26</v>
      </c>
      <c r="BB19" s="1" t="s">
        <v>26</v>
      </c>
    </row>
    <row r="20" spans="1:56" s="7" customFormat="1">
      <c r="A20" s="3" t="s">
        <v>38</v>
      </c>
      <c r="B20" s="31" t="s">
        <v>39</v>
      </c>
      <c r="C20" s="2">
        <v>7000000.0300000003</v>
      </c>
      <c r="D20" s="1">
        <v>1</v>
      </c>
      <c r="E20" s="1" t="s">
        <v>26</v>
      </c>
      <c r="F20" s="1" t="s">
        <v>26</v>
      </c>
      <c r="G20" s="2">
        <v>4172558029.6100001</v>
      </c>
      <c r="H20" s="1">
        <v>1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557822022.67999995</v>
      </c>
      <c r="P20" s="1">
        <v>0.12096400173971</v>
      </c>
      <c r="Q20" s="1" t="s">
        <v>26</v>
      </c>
      <c r="R20" s="1" t="s">
        <v>26</v>
      </c>
      <c r="S20" s="2">
        <v>1740717262.72</v>
      </c>
      <c r="T20" s="1">
        <v>0.63531176326972005</v>
      </c>
      <c r="U20" s="1" t="s">
        <v>26</v>
      </c>
      <c r="V20" s="1" t="s">
        <v>26</v>
      </c>
      <c r="W20" s="2">
        <v>312193128.95999998</v>
      </c>
      <c r="X20" s="1">
        <v>1</v>
      </c>
      <c r="Y20" s="1" t="s">
        <v>26</v>
      </c>
      <c r="Z20" s="1" t="s">
        <v>26</v>
      </c>
      <c r="AA20" s="2">
        <v>4463393693.6800003</v>
      </c>
      <c r="AB20" s="1">
        <v>0.52405438219264</v>
      </c>
      <c r="AC20" s="1" t="s">
        <v>26</v>
      </c>
      <c r="AD20" s="1" t="s">
        <v>26</v>
      </c>
      <c r="AE20" s="2">
        <v>11253684137.68</v>
      </c>
      <c r="AF20" s="1">
        <v>0.55272935104002996</v>
      </c>
      <c r="AG20" s="1" t="s">
        <v>26</v>
      </c>
      <c r="AH20" s="1" t="s">
        <v>26</v>
      </c>
      <c r="AI20" s="2">
        <v>461111309.75999999</v>
      </c>
      <c r="AJ20" s="1">
        <v>0.55966024853804996</v>
      </c>
      <c r="AK20" s="1" t="s">
        <v>26</v>
      </c>
      <c r="AL20" s="1" t="s">
        <v>26</v>
      </c>
      <c r="AM20" s="2">
        <v>1278500297.1099999</v>
      </c>
      <c r="AN20" s="1">
        <v>1</v>
      </c>
      <c r="AO20" s="1" t="s">
        <v>26</v>
      </c>
      <c r="AP20" s="1" t="s">
        <v>26</v>
      </c>
      <c r="AQ20" s="2">
        <v>1739611606.8699999</v>
      </c>
      <c r="AR20" s="1">
        <v>0.82743563084924998</v>
      </c>
      <c r="AS20" s="1" t="s">
        <v>26</v>
      </c>
      <c r="AT20" s="1" t="s">
        <v>26</v>
      </c>
      <c r="AU20" s="2">
        <v>816907208.99000001</v>
      </c>
      <c r="AV20" s="1">
        <v>0.55781472078838001</v>
      </c>
      <c r="AW20" s="1" t="s">
        <v>26</v>
      </c>
      <c r="AX20" s="1" t="s">
        <v>26</v>
      </c>
      <c r="AY20" s="2">
        <v>13810202953.540001</v>
      </c>
      <c r="AZ20" s="1">
        <v>0.57717834692567005</v>
      </c>
      <c r="BA20" s="1" t="s">
        <v>26</v>
      </c>
      <c r="BB20" s="1" t="s">
        <v>26</v>
      </c>
      <c r="BD20" s="20"/>
    </row>
    <row r="21" spans="1:56" s="7" customFormat="1">
      <c r="A21" s="5" t="s">
        <v>41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 t="s">
        <v>26</v>
      </c>
      <c r="H21" s="11" t="s">
        <v>26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10" t="s">
        <v>26</v>
      </c>
      <c r="P21" s="11" t="s">
        <v>26</v>
      </c>
      <c r="Q21" s="11" t="s">
        <v>26</v>
      </c>
      <c r="R21" s="11" t="s">
        <v>26</v>
      </c>
      <c r="S21" s="10">
        <v>81060753.569999993</v>
      </c>
      <c r="T21" s="11">
        <v>7.4966828910000001E-4</v>
      </c>
      <c r="U21" s="11">
        <v>0.15</v>
      </c>
      <c r="V21" s="11">
        <v>0.14929999999999999</v>
      </c>
      <c r="W21" s="10">
        <v>143498529.53</v>
      </c>
      <c r="X21" s="11">
        <v>2.4097495557960001E-2</v>
      </c>
      <c r="Y21" s="11">
        <v>0.15</v>
      </c>
      <c r="Z21" s="11">
        <v>0.12590000000000001</v>
      </c>
      <c r="AA21" s="10" t="s">
        <v>26</v>
      </c>
      <c r="AB21" s="11" t="s">
        <v>26</v>
      </c>
      <c r="AC21" s="11" t="s">
        <v>26</v>
      </c>
      <c r="AD21" s="11" t="s">
        <v>26</v>
      </c>
      <c r="AE21" s="10">
        <v>224559283.09999999</v>
      </c>
      <c r="AF21" s="11">
        <v>3.6371639848000001E-4</v>
      </c>
      <c r="AG21" s="11">
        <v>0.15</v>
      </c>
      <c r="AH21" s="11">
        <v>0.14960000000000001</v>
      </c>
      <c r="AI21" s="10">
        <v>136692689.83000001</v>
      </c>
      <c r="AJ21" s="11">
        <v>8.1591600067699999E-3</v>
      </c>
      <c r="AK21" s="11">
        <v>0.15</v>
      </c>
      <c r="AL21" s="11">
        <v>0.14180000000000001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>
        <v>136692689.83000001</v>
      </c>
      <c r="AR21" s="11">
        <v>3.39502663843E-3</v>
      </c>
      <c r="AS21" s="11">
        <v>0.15</v>
      </c>
      <c r="AT21" s="11">
        <v>0.14660000000000001</v>
      </c>
      <c r="AU21" s="10">
        <v>91269561.590000004</v>
      </c>
      <c r="AV21" s="11">
        <v>2.10247588892E-3</v>
      </c>
      <c r="AW21" s="11">
        <v>0.15</v>
      </c>
      <c r="AX21" s="11">
        <v>0.1479</v>
      </c>
      <c r="AY21" s="10">
        <v>452521534.51999998</v>
      </c>
      <c r="AZ21" s="11">
        <v>6.4546782018000003E-4</v>
      </c>
      <c r="BA21" s="11">
        <v>0.15</v>
      </c>
      <c r="BB21" s="11">
        <v>0.14940000000000001</v>
      </c>
    </row>
    <row r="22" spans="1:56" s="7" customFormat="1">
      <c r="A22" s="3" t="s">
        <v>38</v>
      </c>
      <c r="B22" s="31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2">
        <v>81060753.569999993</v>
      </c>
      <c r="T22" s="1">
        <v>1</v>
      </c>
      <c r="U22" s="1" t="s">
        <v>26</v>
      </c>
      <c r="V22" s="1" t="s">
        <v>26</v>
      </c>
      <c r="W22" s="2">
        <v>143498529.53</v>
      </c>
      <c r="X22" s="1">
        <v>1</v>
      </c>
      <c r="Y22" s="1" t="s">
        <v>26</v>
      </c>
      <c r="Z22" s="1" t="s">
        <v>26</v>
      </c>
      <c r="AA22" s="2" t="s">
        <v>26</v>
      </c>
      <c r="AB22" s="1" t="s">
        <v>26</v>
      </c>
      <c r="AC22" s="1" t="s">
        <v>26</v>
      </c>
      <c r="AD22" s="1" t="s">
        <v>26</v>
      </c>
      <c r="AE22" s="2">
        <v>224559283.09999999</v>
      </c>
      <c r="AF22" s="1">
        <v>1</v>
      </c>
      <c r="AG22" s="1" t="s">
        <v>26</v>
      </c>
      <c r="AH22" s="1" t="s">
        <v>26</v>
      </c>
      <c r="AI22" s="2">
        <v>136692689.83000001</v>
      </c>
      <c r="AJ22" s="1">
        <v>1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>
        <v>136692689.83000001</v>
      </c>
      <c r="AR22" s="1">
        <v>1</v>
      </c>
      <c r="AS22" s="1" t="s">
        <v>26</v>
      </c>
      <c r="AT22" s="1" t="s">
        <v>26</v>
      </c>
      <c r="AU22" s="2">
        <v>91269561.590000004</v>
      </c>
      <c r="AV22" s="1">
        <v>1</v>
      </c>
      <c r="AW22" s="1" t="s">
        <v>26</v>
      </c>
      <c r="AX22" s="1" t="s">
        <v>26</v>
      </c>
      <c r="AY22" s="2">
        <v>452521534.51999998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42</v>
      </c>
      <c r="B23" s="24" t="s">
        <v>25</v>
      </c>
      <c r="C23" s="10">
        <v>137783591.13</v>
      </c>
      <c r="D23" s="11">
        <v>2.3916778144240002E-2</v>
      </c>
      <c r="E23" s="11">
        <v>0.13500000000000001</v>
      </c>
      <c r="F23" s="11">
        <v>0.1111</v>
      </c>
      <c r="G23" s="10" t="s">
        <v>26</v>
      </c>
      <c r="H23" s="11" t="s">
        <v>26</v>
      </c>
      <c r="I23" s="11" t="s">
        <v>26</v>
      </c>
      <c r="J23" s="11" t="s">
        <v>26</v>
      </c>
      <c r="K23" s="10">
        <v>8207594.7699999996</v>
      </c>
      <c r="L23" s="11">
        <v>2.99724196174E-3</v>
      </c>
      <c r="M23" s="11">
        <v>0.13500000000000001</v>
      </c>
      <c r="N23" s="11">
        <v>0.13200000000000001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10" t="s">
        <v>26</v>
      </c>
      <c r="X23" s="11" t="s">
        <v>26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145991185.90000001</v>
      </c>
      <c r="AF23" s="11">
        <v>2.3646044649E-4</v>
      </c>
      <c r="AG23" s="11">
        <v>0.13500000000000001</v>
      </c>
      <c r="AH23" s="11">
        <v>0.1348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10">
        <v>145991185.90000001</v>
      </c>
      <c r="AZ23" s="11">
        <v>2.0823895735E-4</v>
      </c>
      <c r="BA23" s="11">
        <v>0.13500000000000001</v>
      </c>
      <c r="BB23" s="11">
        <v>0.1348</v>
      </c>
    </row>
    <row r="24" spans="1:56" s="7" customFormat="1">
      <c r="A24" s="3" t="s">
        <v>38</v>
      </c>
      <c r="B24" s="31" t="s">
        <v>43</v>
      </c>
      <c r="C24" s="2">
        <v>137783591.13</v>
      </c>
      <c r="D24" s="1">
        <v>1</v>
      </c>
      <c r="E24" s="1" t="s">
        <v>26</v>
      </c>
      <c r="F24" s="1" t="s">
        <v>26</v>
      </c>
      <c r="G24" s="2" t="s">
        <v>26</v>
      </c>
      <c r="H24" s="1" t="s">
        <v>26</v>
      </c>
      <c r="I24" s="1" t="s">
        <v>26</v>
      </c>
      <c r="J24" s="1" t="s">
        <v>26</v>
      </c>
      <c r="K24" s="2">
        <v>8207594.7699999996</v>
      </c>
      <c r="L24" s="1">
        <v>1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145991185.90000001</v>
      </c>
      <c r="AF24" s="1">
        <v>1</v>
      </c>
      <c r="AG24" s="1" t="s">
        <v>26</v>
      </c>
      <c r="AH24" s="1" t="s">
        <v>26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2">
        <v>145991185.90000001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44</v>
      </c>
      <c r="B25" s="24" t="s">
        <v>25</v>
      </c>
      <c r="C25" s="10">
        <v>20125122.800000001</v>
      </c>
      <c r="D25" s="11">
        <v>3.4933629845599998E-3</v>
      </c>
      <c r="E25" s="11">
        <v>0.13500000000000001</v>
      </c>
      <c r="F25" s="11">
        <v>0.13150000000000001</v>
      </c>
      <c r="G25" s="10">
        <v>1298070420.5999999</v>
      </c>
      <c r="H25" s="11">
        <v>8.9728109549200002E-3</v>
      </c>
      <c r="I25" s="11">
        <v>0.13500000000000001</v>
      </c>
      <c r="J25" s="11">
        <v>0.126</v>
      </c>
      <c r="K25" s="10" t="s">
        <v>26</v>
      </c>
      <c r="L25" s="11" t="s">
        <v>26</v>
      </c>
      <c r="M25" s="11" t="s">
        <v>26</v>
      </c>
      <c r="N25" s="11" t="s">
        <v>26</v>
      </c>
      <c r="O25" s="10">
        <v>2672288618.9299998</v>
      </c>
      <c r="P25" s="11">
        <v>1.2343680176139999E-2</v>
      </c>
      <c r="Q25" s="11">
        <v>0.1429</v>
      </c>
      <c r="R25" s="11">
        <v>0.13059999999999999</v>
      </c>
      <c r="S25" s="10">
        <v>1768239538.74</v>
      </c>
      <c r="T25" s="11">
        <v>1.6353081501820001E-2</v>
      </c>
      <c r="U25" s="11">
        <v>0.14399999999999999</v>
      </c>
      <c r="V25" s="11">
        <v>0.12759999999999999</v>
      </c>
      <c r="W25" s="10">
        <v>87389290.670000002</v>
      </c>
      <c r="X25" s="11">
        <v>1.467515416799E-2</v>
      </c>
      <c r="Y25" s="11">
        <v>0.15</v>
      </c>
      <c r="Z25" s="11">
        <v>0.1353</v>
      </c>
      <c r="AA25" s="10">
        <v>4916784012.4099998</v>
      </c>
      <c r="AB25" s="11">
        <v>3.678533109196E-2</v>
      </c>
      <c r="AC25" s="11">
        <v>0.05</v>
      </c>
      <c r="AD25" s="11">
        <v>1.32E-2</v>
      </c>
      <c r="AE25" s="10">
        <v>10762897004.15</v>
      </c>
      <c r="AF25" s="11">
        <v>1.7432555365709999E-2</v>
      </c>
      <c r="AG25" s="11">
        <v>0.1439</v>
      </c>
      <c r="AH25" s="11">
        <v>0.1265</v>
      </c>
      <c r="AI25" s="10">
        <v>269030627.86000001</v>
      </c>
      <c r="AJ25" s="11">
        <v>1.605838572759E-2</v>
      </c>
      <c r="AK25" s="11">
        <v>0.15</v>
      </c>
      <c r="AL25" s="11">
        <v>0.13389999999999999</v>
      </c>
      <c r="AM25" s="10">
        <v>139884866.13</v>
      </c>
      <c r="AN25" s="11">
        <v>5.9501808718799998E-3</v>
      </c>
      <c r="AO25" s="11">
        <v>0.15</v>
      </c>
      <c r="AP25" s="11">
        <v>0.14399999999999999</v>
      </c>
      <c r="AQ25" s="10">
        <v>408915493.99000001</v>
      </c>
      <c r="AR25" s="11">
        <v>1.015620511007E-2</v>
      </c>
      <c r="AS25" s="11">
        <v>0.15</v>
      </c>
      <c r="AT25" s="11">
        <v>0.13980000000000001</v>
      </c>
      <c r="AU25" s="10">
        <v>953403666.01999998</v>
      </c>
      <c r="AV25" s="11">
        <v>2.19625051912E-2</v>
      </c>
      <c r="AW25" s="11">
        <v>0.14130000000000001</v>
      </c>
      <c r="AX25" s="11">
        <v>0.1193</v>
      </c>
      <c r="AY25" s="10">
        <v>12125216164.16</v>
      </c>
      <c r="AZ25" s="11">
        <v>1.7295169952429999E-2</v>
      </c>
      <c r="BA25" s="11">
        <v>0.1439</v>
      </c>
      <c r="BB25" s="11">
        <v>0.12659999999999999</v>
      </c>
    </row>
    <row r="26" spans="1:56" s="7" customFormat="1">
      <c r="A26" s="3" t="s">
        <v>36</v>
      </c>
      <c r="B26" s="31" t="s">
        <v>37</v>
      </c>
      <c r="C26" s="2">
        <v>20125122.800000001</v>
      </c>
      <c r="D26" s="1">
        <v>1</v>
      </c>
      <c r="E26" s="1" t="s">
        <v>26</v>
      </c>
      <c r="F26" s="1" t="s">
        <v>26</v>
      </c>
      <c r="G26" s="2">
        <v>1298070420.5999999</v>
      </c>
      <c r="H26" s="1">
        <v>1</v>
      </c>
      <c r="I26" s="1" t="s">
        <v>26</v>
      </c>
      <c r="J26" s="1" t="s">
        <v>26</v>
      </c>
      <c r="K26" s="2" t="s">
        <v>26</v>
      </c>
      <c r="L26" s="1" t="s">
        <v>26</v>
      </c>
      <c r="M26" s="1" t="s">
        <v>26</v>
      </c>
      <c r="N26" s="1" t="s">
        <v>26</v>
      </c>
      <c r="O26" s="2">
        <v>1257820175</v>
      </c>
      <c r="P26" s="1">
        <v>0.47069024134962001</v>
      </c>
      <c r="Q26" s="1" t="s">
        <v>26</v>
      </c>
      <c r="R26" s="1" t="s">
        <v>26</v>
      </c>
      <c r="S26" s="2">
        <v>704379298</v>
      </c>
      <c r="T26" s="1">
        <v>0.39835060950051998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>
        <v>1131031901.3599999</v>
      </c>
      <c r="AB26" s="1">
        <v>0.23003489649032</v>
      </c>
      <c r="AC26" s="1" t="s">
        <v>26</v>
      </c>
      <c r="AD26" s="1" t="s">
        <v>26</v>
      </c>
      <c r="AE26" s="2">
        <v>4411426917.7600002</v>
      </c>
      <c r="AF26" s="1">
        <v>0.40987356062767999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>
        <v>553440877</v>
      </c>
      <c r="AV26" s="1">
        <v>0.58048956252743</v>
      </c>
      <c r="AW26" s="1" t="s">
        <v>26</v>
      </c>
      <c r="AX26" s="1" t="s">
        <v>26</v>
      </c>
      <c r="AY26" s="2">
        <v>4964867794.7600002</v>
      </c>
      <c r="AZ26" s="1">
        <v>0.40946633260323001</v>
      </c>
      <c r="BA26" s="1" t="s">
        <v>26</v>
      </c>
      <c r="BB26" s="1" t="s">
        <v>26</v>
      </c>
    </row>
    <row r="27" spans="1:56" s="7" customFormat="1">
      <c r="A27" s="3" t="s">
        <v>38</v>
      </c>
      <c r="B27" s="31" t="s">
        <v>39</v>
      </c>
      <c r="C27" s="2" t="s">
        <v>26</v>
      </c>
      <c r="D27" s="1" t="s">
        <v>26</v>
      </c>
      <c r="E27" s="1" t="s">
        <v>26</v>
      </c>
      <c r="F27" s="1" t="s">
        <v>26</v>
      </c>
      <c r="G27" s="2" t="s">
        <v>26</v>
      </c>
      <c r="H27" s="1" t="s">
        <v>26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1414468443.9300001</v>
      </c>
      <c r="P27" s="1">
        <v>0.52930975865037999</v>
      </c>
      <c r="Q27" s="1" t="s">
        <v>26</v>
      </c>
      <c r="R27" s="1" t="s">
        <v>26</v>
      </c>
      <c r="S27" s="2">
        <v>1063860240.74</v>
      </c>
      <c r="T27" s="1">
        <v>0.60164939049947996</v>
      </c>
      <c r="U27" s="1" t="s">
        <v>26</v>
      </c>
      <c r="V27" s="1" t="s">
        <v>26</v>
      </c>
      <c r="W27" s="2">
        <v>87389290.670000002</v>
      </c>
      <c r="X27" s="1">
        <v>1</v>
      </c>
      <c r="Y27" s="1" t="s">
        <v>26</v>
      </c>
      <c r="Z27" s="1" t="s">
        <v>26</v>
      </c>
      <c r="AA27" s="2">
        <v>3785752111.0500002</v>
      </c>
      <c r="AB27" s="1">
        <v>0.76996510350967995</v>
      </c>
      <c r="AC27" s="1" t="s">
        <v>26</v>
      </c>
      <c r="AD27" s="1" t="s">
        <v>26</v>
      </c>
      <c r="AE27" s="2">
        <v>6351470086.3900003</v>
      </c>
      <c r="AF27" s="1">
        <v>0.59012643937232001</v>
      </c>
      <c r="AG27" s="1" t="s">
        <v>26</v>
      </c>
      <c r="AH27" s="1" t="s">
        <v>26</v>
      </c>
      <c r="AI27" s="2">
        <v>269030627.86000001</v>
      </c>
      <c r="AJ27" s="1">
        <v>1</v>
      </c>
      <c r="AK27" s="1" t="s">
        <v>26</v>
      </c>
      <c r="AL27" s="1" t="s">
        <v>26</v>
      </c>
      <c r="AM27" s="2">
        <v>139884866.13</v>
      </c>
      <c r="AN27" s="1">
        <v>1</v>
      </c>
      <c r="AO27" s="1" t="s">
        <v>26</v>
      </c>
      <c r="AP27" s="1" t="s">
        <v>26</v>
      </c>
      <c r="AQ27" s="2">
        <v>408915493.99000001</v>
      </c>
      <c r="AR27" s="1">
        <v>1</v>
      </c>
      <c r="AS27" s="1" t="s">
        <v>26</v>
      </c>
      <c r="AT27" s="1" t="s">
        <v>26</v>
      </c>
      <c r="AU27" s="2">
        <v>399962789.01999998</v>
      </c>
      <c r="AV27" s="1">
        <v>0.41951043747257</v>
      </c>
      <c r="AW27" s="1" t="s">
        <v>26</v>
      </c>
      <c r="AX27" s="1" t="s">
        <v>26</v>
      </c>
      <c r="AY27" s="2">
        <v>7160348369.3999996</v>
      </c>
      <c r="AZ27" s="1">
        <v>0.59053366739677005</v>
      </c>
      <c r="BA27" s="1" t="s">
        <v>26</v>
      </c>
      <c r="BB27" s="1" t="s">
        <v>26</v>
      </c>
    </row>
    <row r="28" spans="1:56" s="7" customFormat="1">
      <c r="A28" s="5" t="s">
        <v>45</v>
      </c>
      <c r="B28" s="24" t="s">
        <v>25</v>
      </c>
      <c r="C28" s="10">
        <v>32770681.789999999</v>
      </c>
      <c r="D28" s="11">
        <v>5.6884068674599997E-3</v>
      </c>
      <c r="E28" s="11">
        <v>0.09</v>
      </c>
      <c r="F28" s="11">
        <v>8.43E-2</v>
      </c>
      <c r="G28" s="10">
        <v>39828982.469999999</v>
      </c>
      <c r="H28" s="11">
        <v>2.7531474760999998E-4</v>
      </c>
      <c r="I28" s="11">
        <v>0.09</v>
      </c>
      <c r="J28" s="11">
        <v>8.9700000000000002E-2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>
        <v>52451670.649999999</v>
      </c>
      <c r="T28" s="11">
        <v>4.8508498212999999E-4</v>
      </c>
      <c r="U28" s="11">
        <v>0.1134</v>
      </c>
      <c r="V28" s="11">
        <v>0.1129</v>
      </c>
      <c r="W28" s="10" t="s">
        <v>26</v>
      </c>
      <c r="X28" s="11" t="s">
        <v>26</v>
      </c>
      <c r="Y28" s="11" t="s">
        <v>26</v>
      </c>
      <c r="Z28" s="11" t="s">
        <v>26</v>
      </c>
      <c r="AA28" s="10">
        <v>35291503.479999997</v>
      </c>
      <c r="AB28" s="11">
        <v>2.6403633695999999E-4</v>
      </c>
      <c r="AC28" s="11">
        <v>0.09</v>
      </c>
      <c r="AD28" s="11">
        <v>8.9700000000000002E-2</v>
      </c>
      <c r="AE28" s="10">
        <v>160342838.38999999</v>
      </c>
      <c r="AF28" s="11">
        <v>2.5970567280000001E-4</v>
      </c>
      <c r="AG28" s="11">
        <v>9.7600000000000006E-2</v>
      </c>
      <c r="AH28" s="11">
        <v>9.7299999999999998E-2</v>
      </c>
      <c r="AI28" s="10">
        <v>4237870.5999999996</v>
      </c>
      <c r="AJ28" s="11">
        <v>2.5295766990999997E-4</v>
      </c>
      <c r="AK28" s="11">
        <v>0.13500000000000001</v>
      </c>
      <c r="AL28" s="11">
        <v>0.13469999999999999</v>
      </c>
      <c r="AM28" s="10">
        <v>164337130.06</v>
      </c>
      <c r="AN28" s="11">
        <v>6.9902890489499997E-3</v>
      </c>
      <c r="AO28" s="11">
        <v>0.13500000000000001</v>
      </c>
      <c r="AP28" s="11">
        <v>0.128</v>
      </c>
      <c r="AQ28" s="10">
        <v>168575000.66</v>
      </c>
      <c r="AR28" s="11">
        <v>4.1868853303399997E-3</v>
      </c>
      <c r="AS28" s="11">
        <v>0.13500000000000001</v>
      </c>
      <c r="AT28" s="11">
        <v>0.1308</v>
      </c>
      <c r="AU28" s="10">
        <v>13117218.52</v>
      </c>
      <c r="AV28" s="11">
        <v>3.0216684716999998E-4</v>
      </c>
      <c r="AW28" s="11">
        <v>0.13500000000000001</v>
      </c>
      <c r="AX28" s="11">
        <v>0.13469999999999999</v>
      </c>
      <c r="AY28" s="10">
        <v>342035057.56999999</v>
      </c>
      <c r="AZ28" s="11">
        <v>4.8787208164000002E-4</v>
      </c>
      <c r="BA28" s="11">
        <v>0.11749999999999999</v>
      </c>
      <c r="BB28" s="11">
        <v>0.11700000000000001</v>
      </c>
    </row>
    <row r="29" spans="1:56" s="7" customFormat="1">
      <c r="A29" s="3" t="s">
        <v>36</v>
      </c>
      <c r="B29" s="31" t="s">
        <v>46</v>
      </c>
      <c r="C29" s="2">
        <v>32770681.789999999</v>
      </c>
      <c r="D29" s="1">
        <v>1</v>
      </c>
      <c r="E29" s="1" t="s">
        <v>26</v>
      </c>
      <c r="F29" s="1" t="s">
        <v>26</v>
      </c>
      <c r="G29" s="2">
        <v>39828982.469999999</v>
      </c>
      <c r="H29" s="1">
        <v>1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2">
        <v>25208216.789999999</v>
      </c>
      <c r="T29" s="1">
        <v>0.48059892997898002</v>
      </c>
      <c r="U29" s="1" t="s">
        <v>26</v>
      </c>
      <c r="V29" s="1" t="s">
        <v>26</v>
      </c>
      <c r="W29" s="2" t="s">
        <v>26</v>
      </c>
      <c r="X29" s="1" t="s">
        <v>26</v>
      </c>
      <c r="Y29" s="1" t="s">
        <v>26</v>
      </c>
      <c r="Z29" s="1" t="s">
        <v>26</v>
      </c>
      <c r="AA29" s="2">
        <v>35291503.479999997</v>
      </c>
      <c r="AB29" s="1">
        <v>1</v>
      </c>
      <c r="AC29" s="1" t="s">
        <v>26</v>
      </c>
      <c r="AD29" s="1" t="s">
        <v>26</v>
      </c>
      <c r="AE29" s="2">
        <v>133099384.53</v>
      </c>
      <c r="AF29" s="1">
        <v>0.83009248100164001</v>
      </c>
      <c r="AG29" s="1" t="s">
        <v>26</v>
      </c>
      <c r="AH29" s="1" t="s">
        <v>26</v>
      </c>
      <c r="AI29" s="2" t="s">
        <v>26</v>
      </c>
      <c r="AJ29" s="1" t="s">
        <v>26</v>
      </c>
      <c r="AK29" s="1" t="s">
        <v>26</v>
      </c>
      <c r="AL29" s="1" t="s">
        <v>26</v>
      </c>
      <c r="AM29" s="2" t="s">
        <v>26</v>
      </c>
      <c r="AN29" s="1" t="s">
        <v>26</v>
      </c>
      <c r="AO29" s="1" t="s">
        <v>26</v>
      </c>
      <c r="AP29" s="1" t="s">
        <v>26</v>
      </c>
      <c r="AQ29" s="2" t="s">
        <v>26</v>
      </c>
      <c r="AR29" s="1" t="s">
        <v>26</v>
      </c>
      <c r="AS29" s="1" t="s">
        <v>26</v>
      </c>
      <c r="AT29" s="1" t="s">
        <v>26</v>
      </c>
      <c r="AU29" s="2" t="s">
        <v>26</v>
      </c>
      <c r="AV29" s="1" t="s">
        <v>26</v>
      </c>
      <c r="AW29" s="1" t="s">
        <v>26</v>
      </c>
      <c r="AX29" s="1" t="s">
        <v>26</v>
      </c>
      <c r="AY29" s="2">
        <v>133099384.53</v>
      </c>
      <c r="AZ29" s="1">
        <v>0.38913959719688002</v>
      </c>
      <c r="BA29" s="1" t="s">
        <v>26</v>
      </c>
      <c r="BB29" s="1" t="s">
        <v>26</v>
      </c>
    </row>
    <row r="30" spans="1:56" s="7" customFormat="1">
      <c r="A30" s="3" t="s">
        <v>38</v>
      </c>
      <c r="B30" s="31" t="s">
        <v>43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27243453.859999999</v>
      </c>
      <c r="T30" s="1">
        <v>0.51940107002101998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27243453.859999999</v>
      </c>
      <c r="AF30" s="1">
        <v>0.16990751899836001</v>
      </c>
      <c r="AG30" s="1" t="s">
        <v>26</v>
      </c>
      <c r="AH30" s="1" t="s">
        <v>26</v>
      </c>
      <c r="AI30" s="2">
        <v>4237870.5999999996</v>
      </c>
      <c r="AJ30" s="1">
        <v>1</v>
      </c>
      <c r="AK30" s="1" t="s">
        <v>26</v>
      </c>
      <c r="AL30" s="1" t="s">
        <v>26</v>
      </c>
      <c r="AM30" s="2">
        <v>164337130.06</v>
      </c>
      <c r="AN30" s="1">
        <v>1</v>
      </c>
      <c r="AO30" s="1" t="s">
        <v>26</v>
      </c>
      <c r="AP30" s="1" t="s">
        <v>26</v>
      </c>
      <c r="AQ30" s="2">
        <v>168575000.66</v>
      </c>
      <c r="AR30" s="1">
        <v>1</v>
      </c>
      <c r="AS30" s="1" t="s">
        <v>26</v>
      </c>
      <c r="AT30" s="1" t="s">
        <v>26</v>
      </c>
      <c r="AU30" s="2">
        <v>13117218.52</v>
      </c>
      <c r="AV30" s="1">
        <v>1</v>
      </c>
      <c r="AW30" s="1" t="s">
        <v>26</v>
      </c>
      <c r="AX30" s="1" t="s">
        <v>26</v>
      </c>
      <c r="AY30" s="2">
        <v>208935673.03999999</v>
      </c>
      <c r="AZ30" s="1">
        <v>0.61086040280312004</v>
      </c>
      <c r="BA30" s="1" t="s">
        <v>26</v>
      </c>
      <c r="BB30" s="1" t="s">
        <v>26</v>
      </c>
    </row>
    <row r="31" spans="1:56" s="7" customFormat="1">
      <c r="A31" s="5" t="s">
        <v>47</v>
      </c>
      <c r="B31" s="24" t="s">
        <v>25</v>
      </c>
      <c r="C31" s="10" t="s">
        <v>26</v>
      </c>
      <c r="D31" s="11" t="s">
        <v>26</v>
      </c>
      <c r="E31" s="11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>
        <v>20094773.210000001</v>
      </c>
      <c r="L31" s="11">
        <v>7.3381909273500003E-3</v>
      </c>
      <c r="M31" s="11">
        <v>0.13500000000000001</v>
      </c>
      <c r="N31" s="11">
        <v>0.12770000000000001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 t="s">
        <v>26</v>
      </c>
      <c r="AB31" s="11" t="s">
        <v>26</v>
      </c>
      <c r="AC31" s="11" t="s">
        <v>26</v>
      </c>
      <c r="AD31" s="11" t="s">
        <v>26</v>
      </c>
      <c r="AE31" s="10">
        <v>20094773.210000001</v>
      </c>
      <c r="AF31" s="11">
        <v>3.2547300830000002E-5</v>
      </c>
      <c r="AG31" s="11">
        <v>0.13500000000000001</v>
      </c>
      <c r="AH31" s="11">
        <v>0.13500000000000001</v>
      </c>
      <c r="AI31" s="10">
        <v>3113784.28</v>
      </c>
      <c r="AJ31" s="11">
        <v>1.8586117662000001E-4</v>
      </c>
      <c r="AK31" s="11">
        <v>0.13500000000000001</v>
      </c>
      <c r="AL31" s="11">
        <v>0.1348</v>
      </c>
      <c r="AM31" s="10" t="s">
        <v>26</v>
      </c>
      <c r="AN31" s="11" t="s">
        <v>26</v>
      </c>
      <c r="AO31" s="11" t="s">
        <v>26</v>
      </c>
      <c r="AP31" s="11" t="s">
        <v>26</v>
      </c>
      <c r="AQ31" s="10">
        <v>3113784.28</v>
      </c>
      <c r="AR31" s="11">
        <v>7.7336839229999994E-5</v>
      </c>
      <c r="AS31" s="11">
        <v>0.13500000000000001</v>
      </c>
      <c r="AT31" s="11">
        <v>0.13489999999999999</v>
      </c>
      <c r="AU31" s="10" t="s">
        <v>26</v>
      </c>
      <c r="AV31" s="11" t="s">
        <v>26</v>
      </c>
      <c r="AW31" s="11" t="s">
        <v>26</v>
      </c>
      <c r="AX31" s="11" t="s">
        <v>26</v>
      </c>
      <c r="AY31" s="10">
        <v>23208557.489999998</v>
      </c>
      <c r="AZ31" s="11">
        <v>3.3104230120000001E-5</v>
      </c>
      <c r="BA31" s="11">
        <v>0.13500000000000001</v>
      </c>
      <c r="BB31" s="11">
        <v>0.13500000000000001</v>
      </c>
    </row>
    <row r="32" spans="1:56" s="7" customFormat="1">
      <c r="A32" s="3" t="s">
        <v>38</v>
      </c>
      <c r="B32" s="31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>
        <v>20094773.210000001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20094773.210000001</v>
      </c>
      <c r="AF32" s="1">
        <v>1</v>
      </c>
      <c r="AG32" s="1" t="s">
        <v>26</v>
      </c>
      <c r="AH32" s="1" t="s">
        <v>26</v>
      </c>
      <c r="AI32" s="2">
        <v>3113784.28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3113784.28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23208557.489999998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48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40851793.18</v>
      </c>
      <c r="L33" s="11">
        <v>1.4918220521659999E-2</v>
      </c>
      <c r="M33" s="11">
        <v>0.13500000000000001</v>
      </c>
      <c r="N33" s="11">
        <v>0.1201</v>
      </c>
      <c r="O33" s="10" t="s">
        <v>26</v>
      </c>
      <c r="P33" s="11" t="s">
        <v>26</v>
      </c>
      <c r="Q33" s="11" t="s">
        <v>26</v>
      </c>
      <c r="R33" s="11" t="s">
        <v>26</v>
      </c>
      <c r="S33" s="10">
        <v>101428176.15000001</v>
      </c>
      <c r="T33" s="11">
        <v>9.3803084639999996E-4</v>
      </c>
      <c r="U33" s="11">
        <v>0.13500000000000001</v>
      </c>
      <c r="V33" s="11">
        <v>0.1341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 t="s">
        <v>26</v>
      </c>
      <c r="AB33" s="11" t="s">
        <v>26</v>
      </c>
      <c r="AC33" s="11" t="s">
        <v>26</v>
      </c>
      <c r="AD33" s="11" t="s">
        <v>26</v>
      </c>
      <c r="AE33" s="10">
        <v>142279969.33000001</v>
      </c>
      <c r="AF33" s="11">
        <v>2.3044942656E-4</v>
      </c>
      <c r="AG33" s="11">
        <v>0.13500000000000001</v>
      </c>
      <c r="AH33" s="11">
        <v>0.1348</v>
      </c>
      <c r="AI33" s="10" t="s">
        <v>26</v>
      </c>
      <c r="AJ33" s="11" t="s">
        <v>26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 t="s">
        <v>26</v>
      </c>
      <c r="AR33" s="11" t="s">
        <v>26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142279969.33000001</v>
      </c>
      <c r="AZ33" s="11">
        <v>2.0294535100000001E-4</v>
      </c>
      <c r="BA33" s="11">
        <v>0.13500000000000001</v>
      </c>
      <c r="BB33" s="11">
        <v>0.1348</v>
      </c>
    </row>
    <row r="34" spans="1:54" s="7" customFormat="1">
      <c r="A34" s="3" t="s">
        <v>38</v>
      </c>
      <c r="B34" s="31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40851793.18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101428176.15000001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 t="s">
        <v>26</v>
      </c>
      <c r="AB34" s="1" t="s">
        <v>26</v>
      </c>
      <c r="AC34" s="1" t="s">
        <v>26</v>
      </c>
      <c r="AD34" s="1" t="s">
        <v>26</v>
      </c>
      <c r="AE34" s="2">
        <v>142279969.33000001</v>
      </c>
      <c r="AF34" s="1">
        <v>1</v>
      </c>
      <c r="AG34" s="1" t="s">
        <v>26</v>
      </c>
      <c r="AH34" s="1" t="s">
        <v>26</v>
      </c>
      <c r="AI34" s="2" t="s">
        <v>26</v>
      </c>
      <c r="AJ34" s="1" t="s">
        <v>26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 t="s">
        <v>26</v>
      </c>
      <c r="AR34" s="1" t="s">
        <v>26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142279969.33000001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49</v>
      </c>
      <c r="B35" s="24" t="s">
        <v>25</v>
      </c>
      <c r="C35" s="10">
        <v>8911925.0199999996</v>
      </c>
      <c r="D35" s="11">
        <v>1.5469515041200001E-3</v>
      </c>
      <c r="E35" s="11">
        <v>0.13500000000000001</v>
      </c>
      <c r="F35" s="11">
        <v>0.13350000000000001</v>
      </c>
      <c r="G35" s="10">
        <v>268923010.69999999</v>
      </c>
      <c r="H35" s="11">
        <v>1.8589094228999999E-3</v>
      </c>
      <c r="I35" s="11">
        <v>0.09</v>
      </c>
      <c r="J35" s="11">
        <v>8.8099999999999998E-2</v>
      </c>
      <c r="K35" s="10" t="s">
        <v>26</v>
      </c>
      <c r="L35" s="11" t="s">
        <v>26</v>
      </c>
      <c r="M35" s="11" t="s">
        <v>26</v>
      </c>
      <c r="N35" s="11" t="s">
        <v>26</v>
      </c>
      <c r="O35" s="10">
        <v>1154722588.8299999</v>
      </c>
      <c r="P35" s="11">
        <v>5.3338274270600004E-3</v>
      </c>
      <c r="Q35" s="11">
        <v>0.1132</v>
      </c>
      <c r="R35" s="11">
        <v>0.1079</v>
      </c>
      <c r="S35" s="10" t="s">
        <v>26</v>
      </c>
      <c r="T35" s="11" t="s">
        <v>26</v>
      </c>
      <c r="U35" s="11" t="s">
        <v>26</v>
      </c>
      <c r="V35" s="11" t="s">
        <v>26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558855147.58000004</v>
      </c>
      <c r="AB35" s="11">
        <v>4.1811215591900002E-3</v>
      </c>
      <c r="AC35" s="11">
        <v>0.09</v>
      </c>
      <c r="AD35" s="11">
        <v>8.5800000000000001E-2</v>
      </c>
      <c r="AE35" s="10">
        <v>1991412672.1300001</v>
      </c>
      <c r="AF35" s="11">
        <v>3.2254709535399998E-3</v>
      </c>
      <c r="AG35" s="11">
        <v>0.1037</v>
      </c>
      <c r="AH35" s="11">
        <v>0.10050000000000001</v>
      </c>
      <c r="AI35" s="10">
        <v>50072783.5</v>
      </c>
      <c r="AJ35" s="11">
        <v>2.9888346850800002E-3</v>
      </c>
      <c r="AK35" s="11">
        <v>0.09</v>
      </c>
      <c r="AL35" s="11">
        <v>8.6999999999999994E-2</v>
      </c>
      <c r="AM35" s="10">
        <v>1240700599.6700001</v>
      </c>
      <c r="AN35" s="11">
        <v>5.2774779574939999E-2</v>
      </c>
      <c r="AO35" s="11">
        <v>0.13500000000000001</v>
      </c>
      <c r="AP35" s="11">
        <v>8.2199999999999995E-2</v>
      </c>
      <c r="AQ35" s="10">
        <v>1290773383.1700001</v>
      </c>
      <c r="AR35" s="11">
        <v>3.2058846932359997E-2</v>
      </c>
      <c r="AS35" s="11">
        <v>0.1333</v>
      </c>
      <c r="AT35" s="11">
        <v>0.1012</v>
      </c>
      <c r="AU35" s="10">
        <v>270545368.36000001</v>
      </c>
      <c r="AV35" s="11">
        <v>6.2322542579100002E-3</v>
      </c>
      <c r="AW35" s="11">
        <v>0.13500000000000001</v>
      </c>
      <c r="AX35" s="11">
        <v>0.1288</v>
      </c>
      <c r="AY35" s="10">
        <v>3552731423.6599998</v>
      </c>
      <c r="AZ35" s="11">
        <v>5.0675462553099997E-3</v>
      </c>
      <c r="BA35" s="11">
        <v>0.1168</v>
      </c>
      <c r="BB35" s="11">
        <v>0.11169999999999999</v>
      </c>
    </row>
    <row r="36" spans="1:54" s="7" customFormat="1">
      <c r="A36" s="3" t="s">
        <v>36</v>
      </c>
      <c r="B36" s="31" t="s">
        <v>46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268923010.69999999</v>
      </c>
      <c r="H36" s="1">
        <v>1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558855147.58000004</v>
      </c>
      <c r="P36" s="1">
        <v>0.48397351276054001</v>
      </c>
      <c r="Q36" s="1" t="s">
        <v>26</v>
      </c>
      <c r="R36" s="1" t="s">
        <v>26</v>
      </c>
      <c r="S36" s="2" t="s">
        <v>26</v>
      </c>
      <c r="T36" s="1" t="s">
        <v>26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558855147.58000004</v>
      </c>
      <c r="AB36" s="1">
        <v>1</v>
      </c>
      <c r="AC36" s="1" t="s">
        <v>26</v>
      </c>
      <c r="AD36" s="1" t="s">
        <v>26</v>
      </c>
      <c r="AE36" s="2">
        <v>1386633305.8599999</v>
      </c>
      <c r="AF36" s="1">
        <v>0.69630635842889999</v>
      </c>
      <c r="AG36" s="1" t="s">
        <v>26</v>
      </c>
      <c r="AH36" s="1" t="s">
        <v>26</v>
      </c>
      <c r="AI36" s="2">
        <v>50072783.5</v>
      </c>
      <c r="AJ36" s="1">
        <v>1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50072783.5</v>
      </c>
      <c r="AR36" s="1">
        <v>3.8792854077160002E-2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1436706089.3599999</v>
      </c>
      <c r="AZ36" s="1">
        <v>0.40439479319827998</v>
      </c>
      <c r="BA36" s="1" t="s">
        <v>26</v>
      </c>
      <c r="BB36" s="1" t="s">
        <v>26</v>
      </c>
    </row>
    <row r="37" spans="1:54" s="7" customFormat="1">
      <c r="A37" s="3" t="s">
        <v>38</v>
      </c>
      <c r="B37" s="31" t="s">
        <v>43</v>
      </c>
      <c r="C37" s="2">
        <v>8911925.0199999996</v>
      </c>
      <c r="D37" s="1">
        <v>1</v>
      </c>
      <c r="E37" s="1" t="s">
        <v>26</v>
      </c>
      <c r="F37" s="1" t="s">
        <v>26</v>
      </c>
      <c r="G37" s="2" t="s">
        <v>26</v>
      </c>
      <c r="H37" s="1" t="s">
        <v>26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595867441.25</v>
      </c>
      <c r="P37" s="1">
        <v>0.51602648723945999</v>
      </c>
      <c r="Q37" s="1" t="s">
        <v>26</v>
      </c>
      <c r="R37" s="1" t="s">
        <v>26</v>
      </c>
      <c r="S37" s="2" t="s">
        <v>26</v>
      </c>
      <c r="T37" s="1" t="s">
        <v>26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604779366.26999998</v>
      </c>
      <c r="AF37" s="1">
        <v>0.30369364157110001</v>
      </c>
      <c r="AG37" s="1" t="s">
        <v>26</v>
      </c>
      <c r="AH37" s="1" t="s">
        <v>26</v>
      </c>
      <c r="AI37" s="2" t="s">
        <v>26</v>
      </c>
      <c r="AJ37" s="1" t="s">
        <v>26</v>
      </c>
      <c r="AK37" s="1" t="s">
        <v>26</v>
      </c>
      <c r="AL37" s="1" t="s">
        <v>26</v>
      </c>
      <c r="AM37" s="2">
        <v>1240700599.6700001</v>
      </c>
      <c r="AN37" s="1">
        <v>1</v>
      </c>
      <c r="AO37" s="1" t="s">
        <v>26</v>
      </c>
      <c r="AP37" s="1" t="s">
        <v>26</v>
      </c>
      <c r="AQ37" s="2">
        <v>1240700599.6700001</v>
      </c>
      <c r="AR37" s="1">
        <v>0.96120714592283996</v>
      </c>
      <c r="AS37" s="1" t="s">
        <v>26</v>
      </c>
      <c r="AT37" s="1" t="s">
        <v>26</v>
      </c>
      <c r="AU37" s="2">
        <v>270545368.36000001</v>
      </c>
      <c r="AV37" s="1">
        <v>1</v>
      </c>
      <c r="AW37" s="1" t="s">
        <v>26</v>
      </c>
      <c r="AX37" s="1" t="s">
        <v>26</v>
      </c>
      <c r="AY37" s="2">
        <v>2116025334.3</v>
      </c>
      <c r="AZ37" s="1">
        <v>0.59560520680172002</v>
      </c>
      <c r="BA37" s="1" t="s">
        <v>26</v>
      </c>
      <c r="BB37" s="1" t="s">
        <v>26</v>
      </c>
    </row>
    <row r="38" spans="1:54" s="7" customFormat="1">
      <c r="A38" s="5" t="s">
        <v>50</v>
      </c>
      <c r="B38" s="24" t="s">
        <v>25</v>
      </c>
      <c r="C38" s="10" t="s">
        <v>26</v>
      </c>
      <c r="D38" s="11" t="s">
        <v>26</v>
      </c>
      <c r="E38" s="11" t="s">
        <v>26</v>
      </c>
      <c r="F38" s="11" t="s">
        <v>26</v>
      </c>
      <c r="G38" s="10" t="s">
        <v>26</v>
      </c>
      <c r="H38" s="11" t="s">
        <v>26</v>
      </c>
      <c r="I38" s="11" t="s">
        <v>26</v>
      </c>
      <c r="J38" s="11" t="s">
        <v>26</v>
      </c>
      <c r="K38" s="10" t="s">
        <v>26</v>
      </c>
      <c r="L38" s="11" t="s">
        <v>26</v>
      </c>
      <c r="M38" s="11" t="s">
        <v>26</v>
      </c>
      <c r="N38" s="11" t="s">
        <v>26</v>
      </c>
      <c r="O38" s="10">
        <v>102130274.43000001</v>
      </c>
      <c r="P38" s="11">
        <v>4.7175422405000003E-4</v>
      </c>
      <c r="Q38" s="11">
        <v>0.13500000000000001</v>
      </c>
      <c r="R38" s="11">
        <v>0.13450000000000001</v>
      </c>
      <c r="S38" s="10">
        <v>103534863.01000001</v>
      </c>
      <c r="T38" s="11">
        <v>9.5751396571999996E-4</v>
      </c>
      <c r="U38" s="11">
        <v>0.13500000000000001</v>
      </c>
      <c r="V38" s="11">
        <v>0.13400000000000001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10">
        <v>205665137.44</v>
      </c>
      <c r="AF38" s="11">
        <v>3.3311374194E-4</v>
      </c>
      <c r="AG38" s="11">
        <v>0.13500000000000001</v>
      </c>
      <c r="AH38" s="11">
        <v>0.13469999999999999</v>
      </c>
      <c r="AI38" s="10">
        <v>262010470.55000001</v>
      </c>
      <c r="AJ38" s="11">
        <v>1.5639353906380001E-2</v>
      </c>
      <c r="AK38" s="11">
        <v>0.13500000000000001</v>
      </c>
      <c r="AL38" s="11">
        <v>0.11940000000000001</v>
      </c>
      <c r="AM38" s="10" t="s">
        <v>26</v>
      </c>
      <c r="AN38" s="11" t="s">
        <v>26</v>
      </c>
      <c r="AO38" s="11" t="s">
        <v>26</v>
      </c>
      <c r="AP38" s="11" t="s">
        <v>26</v>
      </c>
      <c r="AQ38" s="10">
        <v>262010470.55000001</v>
      </c>
      <c r="AR38" s="11">
        <v>6.5075354663799998E-3</v>
      </c>
      <c r="AS38" s="11">
        <v>0.13500000000000001</v>
      </c>
      <c r="AT38" s="11">
        <v>0.1285</v>
      </c>
      <c r="AU38" s="10">
        <v>381945338.11000001</v>
      </c>
      <c r="AV38" s="11">
        <v>8.7984520827499996E-3</v>
      </c>
      <c r="AW38" s="11">
        <v>0.13500000000000001</v>
      </c>
      <c r="AX38" s="11">
        <v>0.12620000000000001</v>
      </c>
      <c r="AY38" s="10">
        <v>849620946.10000002</v>
      </c>
      <c r="AZ38" s="11">
        <v>1.2118826138E-3</v>
      </c>
      <c r="BA38" s="11">
        <v>0.13500000000000001</v>
      </c>
      <c r="BB38" s="11">
        <v>0.1338</v>
      </c>
    </row>
    <row r="39" spans="1:54" s="7" customFormat="1">
      <c r="A39" s="3" t="s">
        <v>38</v>
      </c>
      <c r="B39" s="31" t="s">
        <v>43</v>
      </c>
      <c r="C39" s="2" t="s">
        <v>26</v>
      </c>
      <c r="D39" s="1" t="s">
        <v>26</v>
      </c>
      <c r="E39" s="1" t="s">
        <v>26</v>
      </c>
      <c r="F39" s="1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102130274.43000001</v>
      </c>
      <c r="P39" s="1">
        <v>1</v>
      </c>
      <c r="Q39" s="1" t="s">
        <v>26</v>
      </c>
      <c r="R39" s="1" t="s">
        <v>26</v>
      </c>
      <c r="S39" s="2">
        <v>103534863.01000001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205665137.44</v>
      </c>
      <c r="AF39" s="1">
        <v>1</v>
      </c>
      <c r="AG39" s="1" t="s">
        <v>26</v>
      </c>
      <c r="AH39" s="1" t="s">
        <v>26</v>
      </c>
      <c r="AI39" s="2">
        <v>262010470.55000001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262010470.55000001</v>
      </c>
      <c r="AR39" s="1">
        <v>1</v>
      </c>
      <c r="AS39" s="1" t="s">
        <v>26</v>
      </c>
      <c r="AT39" s="1" t="s">
        <v>26</v>
      </c>
      <c r="AU39" s="2">
        <v>381945338.11000001</v>
      </c>
      <c r="AV39" s="1">
        <v>1</v>
      </c>
      <c r="AW39" s="1" t="s">
        <v>26</v>
      </c>
      <c r="AX39" s="1" t="s">
        <v>26</v>
      </c>
      <c r="AY39" s="2">
        <v>849620946.10000002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51</v>
      </c>
      <c r="B40" s="24" t="s">
        <v>25</v>
      </c>
      <c r="C40" s="10">
        <v>24650015.239999998</v>
      </c>
      <c r="D40" s="11">
        <v>4.2788037451500002E-3</v>
      </c>
      <c r="E40" s="11">
        <v>0.13500000000000001</v>
      </c>
      <c r="F40" s="11">
        <v>0.13070000000000001</v>
      </c>
      <c r="G40" s="10">
        <v>5632089840.6199999</v>
      </c>
      <c r="H40" s="11">
        <v>3.8931383551340001E-2</v>
      </c>
      <c r="I40" s="11">
        <v>0.14280000000000001</v>
      </c>
      <c r="J40" s="11">
        <v>0.10390000000000001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4832653611.0699997</v>
      </c>
      <c r="P40" s="11">
        <v>2.2322712507380001E-2</v>
      </c>
      <c r="Q40" s="11">
        <v>0.05</v>
      </c>
      <c r="R40" s="11">
        <v>2.7699999999999999E-2</v>
      </c>
      <c r="S40" s="10">
        <v>8120540546.1400003</v>
      </c>
      <c r="T40" s="11">
        <v>7.5100606269920003E-2</v>
      </c>
      <c r="U40" s="11">
        <v>0.14599999999999999</v>
      </c>
      <c r="V40" s="11">
        <v>7.0900000000000005E-2</v>
      </c>
      <c r="W40" s="10">
        <v>645397681.97000003</v>
      </c>
      <c r="X40" s="11">
        <v>0.10838067696809001</v>
      </c>
      <c r="Y40" s="11">
        <v>0.15</v>
      </c>
      <c r="Z40" s="11">
        <v>4.1599999999999998E-2</v>
      </c>
      <c r="AA40" s="10">
        <v>3956003591</v>
      </c>
      <c r="AB40" s="11">
        <v>2.9597171958060001E-2</v>
      </c>
      <c r="AC40" s="11">
        <v>0.13500000000000001</v>
      </c>
      <c r="AD40" s="11">
        <v>0.10539999999999999</v>
      </c>
      <c r="AE40" s="10">
        <v>23211335286.040001</v>
      </c>
      <c r="AF40" s="11">
        <v>3.7595164882640003E-2</v>
      </c>
      <c r="AG40" s="11">
        <v>0.14119999999999999</v>
      </c>
      <c r="AH40" s="11">
        <v>0.1036</v>
      </c>
      <c r="AI40" s="10">
        <v>803433987.52999997</v>
      </c>
      <c r="AJ40" s="11">
        <v>4.7956818080669997E-2</v>
      </c>
      <c r="AK40" s="11">
        <v>0.14549999999999999</v>
      </c>
      <c r="AL40" s="11">
        <v>9.7500000000000003E-2</v>
      </c>
      <c r="AM40" s="10">
        <v>992812207.45000005</v>
      </c>
      <c r="AN40" s="11">
        <v>4.2230531218749999E-2</v>
      </c>
      <c r="AO40" s="11">
        <v>0.15</v>
      </c>
      <c r="AP40" s="11">
        <v>0.10780000000000001</v>
      </c>
      <c r="AQ40" s="10">
        <v>1796246194.98</v>
      </c>
      <c r="AR40" s="11">
        <v>4.4613239294010003E-2</v>
      </c>
      <c r="AS40" s="11">
        <v>0.14799999999999999</v>
      </c>
      <c r="AT40" s="11">
        <v>0.10340000000000001</v>
      </c>
      <c r="AU40" s="10">
        <v>1962603340.8599999</v>
      </c>
      <c r="AV40" s="11">
        <v>4.5210321292170001E-2</v>
      </c>
      <c r="AW40" s="11">
        <v>0.14149999999999999</v>
      </c>
      <c r="AX40" s="11">
        <v>9.6299999999999997E-2</v>
      </c>
      <c r="AY40" s="10">
        <v>26970184821.880001</v>
      </c>
      <c r="AZ40" s="11">
        <v>3.8469741390809997E-2</v>
      </c>
      <c r="BA40" s="11">
        <v>0.14169999999999999</v>
      </c>
      <c r="BB40" s="11">
        <v>0.1032</v>
      </c>
    </row>
    <row r="41" spans="1:54" s="7" customFormat="1">
      <c r="A41" s="3" t="s">
        <v>36</v>
      </c>
      <c r="B41" s="31" t="s">
        <v>37</v>
      </c>
      <c r="C41" s="2">
        <v>24650015.239999998</v>
      </c>
      <c r="D41" s="1">
        <v>1</v>
      </c>
      <c r="E41" s="1" t="s">
        <v>26</v>
      </c>
      <c r="F41" s="1" t="s">
        <v>26</v>
      </c>
      <c r="G41" s="2">
        <v>2705143662</v>
      </c>
      <c r="H41" s="1">
        <v>0.48030903954866999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4699671396.1400003</v>
      </c>
      <c r="P41" s="1">
        <v>0.97248256845362002</v>
      </c>
      <c r="Q41" s="1" t="s">
        <v>26</v>
      </c>
      <c r="R41" s="1" t="s">
        <v>26</v>
      </c>
      <c r="S41" s="2">
        <v>2164588644.2800002</v>
      </c>
      <c r="T41" s="1">
        <v>0.26655721155272999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3956003591</v>
      </c>
      <c r="AB41" s="1">
        <v>1</v>
      </c>
      <c r="AC41" s="1" t="s">
        <v>26</v>
      </c>
      <c r="AD41" s="1" t="s">
        <v>26</v>
      </c>
      <c r="AE41" s="2">
        <v>13550057308.66</v>
      </c>
      <c r="AF41" s="1">
        <v>0.58376897070670997</v>
      </c>
      <c r="AG41" s="1" t="s">
        <v>26</v>
      </c>
      <c r="AH41" s="1" t="s">
        <v>26</v>
      </c>
      <c r="AI41" s="2">
        <v>240125449</v>
      </c>
      <c r="AJ41" s="1">
        <v>0.29887389969425998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240125449</v>
      </c>
      <c r="AR41" s="1">
        <v>0.13368181359052</v>
      </c>
      <c r="AS41" s="1" t="s">
        <v>26</v>
      </c>
      <c r="AT41" s="1" t="s">
        <v>26</v>
      </c>
      <c r="AU41" s="2">
        <v>1110298147.72</v>
      </c>
      <c r="AV41" s="1">
        <v>0.56572722801617004</v>
      </c>
      <c r="AW41" s="1" t="s">
        <v>26</v>
      </c>
      <c r="AX41" s="1" t="s">
        <v>26</v>
      </c>
      <c r="AY41" s="2">
        <v>14900480905.379999</v>
      </c>
      <c r="AZ41" s="1">
        <v>0.55247974768387997</v>
      </c>
      <c r="BA41" s="1" t="s">
        <v>26</v>
      </c>
      <c r="BB41" s="1" t="s">
        <v>26</v>
      </c>
    </row>
    <row r="42" spans="1:54" s="7" customFormat="1">
      <c r="A42" s="3" t="s">
        <v>38</v>
      </c>
      <c r="B42" s="31" t="s">
        <v>39</v>
      </c>
      <c r="C42" s="2" t="s">
        <v>26</v>
      </c>
      <c r="D42" s="1" t="s">
        <v>26</v>
      </c>
      <c r="E42" s="1" t="s">
        <v>26</v>
      </c>
      <c r="F42" s="1" t="s">
        <v>26</v>
      </c>
      <c r="G42" s="2">
        <v>2926946178.6199999</v>
      </c>
      <c r="H42" s="1">
        <v>0.51969096045133001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132982214.93000001</v>
      </c>
      <c r="P42" s="1">
        <v>2.7517431546379999E-2</v>
      </c>
      <c r="Q42" s="1" t="s">
        <v>26</v>
      </c>
      <c r="R42" s="1" t="s">
        <v>26</v>
      </c>
      <c r="S42" s="2">
        <v>5955951901.8599997</v>
      </c>
      <c r="T42" s="1">
        <v>0.73344278844726996</v>
      </c>
      <c r="U42" s="1" t="s">
        <v>26</v>
      </c>
      <c r="V42" s="1" t="s">
        <v>26</v>
      </c>
      <c r="W42" s="2">
        <v>645397681.97000003</v>
      </c>
      <c r="X42" s="1">
        <v>1</v>
      </c>
      <c r="Y42" s="1" t="s">
        <v>26</v>
      </c>
      <c r="Z42" s="1" t="s">
        <v>26</v>
      </c>
      <c r="AA42" s="2" t="s">
        <v>26</v>
      </c>
      <c r="AB42" s="1" t="s">
        <v>26</v>
      </c>
      <c r="AC42" s="1" t="s">
        <v>26</v>
      </c>
      <c r="AD42" s="1" t="s">
        <v>26</v>
      </c>
      <c r="AE42" s="2">
        <v>9661277977.3799992</v>
      </c>
      <c r="AF42" s="1">
        <v>0.41623102929328998</v>
      </c>
      <c r="AG42" s="1" t="s">
        <v>26</v>
      </c>
      <c r="AH42" s="1" t="s">
        <v>26</v>
      </c>
      <c r="AI42" s="2">
        <v>563308538.52999997</v>
      </c>
      <c r="AJ42" s="1">
        <v>0.70112610030573996</v>
      </c>
      <c r="AK42" s="1" t="s">
        <v>26</v>
      </c>
      <c r="AL42" s="1" t="s">
        <v>26</v>
      </c>
      <c r="AM42" s="2">
        <v>992812207.45000005</v>
      </c>
      <c r="AN42" s="1">
        <v>1</v>
      </c>
      <c r="AO42" s="1" t="s">
        <v>26</v>
      </c>
      <c r="AP42" s="1" t="s">
        <v>26</v>
      </c>
      <c r="AQ42" s="2">
        <v>1556120745.98</v>
      </c>
      <c r="AR42" s="1">
        <v>0.86631818640948</v>
      </c>
      <c r="AS42" s="1" t="s">
        <v>26</v>
      </c>
      <c r="AT42" s="1" t="s">
        <v>26</v>
      </c>
      <c r="AU42" s="2">
        <v>852305193.13999999</v>
      </c>
      <c r="AV42" s="1">
        <v>0.43427277198383002</v>
      </c>
      <c r="AW42" s="1" t="s">
        <v>26</v>
      </c>
      <c r="AX42" s="1" t="s">
        <v>26</v>
      </c>
      <c r="AY42" s="2">
        <v>12069703916.5</v>
      </c>
      <c r="AZ42" s="1">
        <v>0.44752025231612003</v>
      </c>
      <c r="BA42" s="1" t="s">
        <v>26</v>
      </c>
      <c r="BB42" s="1" t="s">
        <v>26</v>
      </c>
    </row>
    <row r="43" spans="1:54" s="7" customFormat="1">
      <c r="A43" s="5" t="s">
        <v>52</v>
      </c>
      <c r="B43" s="24" t="s">
        <v>25</v>
      </c>
      <c r="C43" s="10" t="s">
        <v>26</v>
      </c>
      <c r="D43" s="11" t="s">
        <v>26</v>
      </c>
      <c r="E43" s="11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>
        <v>71420304.930000007</v>
      </c>
      <c r="L43" s="11">
        <v>2.6081201722910001E-2</v>
      </c>
      <c r="M43" s="11">
        <v>0.15</v>
      </c>
      <c r="N43" s="11">
        <v>0.1239</v>
      </c>
      <c r="O43" s="10" t="s">
        <v>26</v>
      </c>
      <c r="P43" s="11" t="s">
        <v>26</v>
      </c>
      <c r="Q43" s="11" t="s">
        <v>26</v>
      </c>
      <c r="R43" s="11" t="s">
        <v>26</v>
      </c>
      <c r="S43" s="10" t="s">
        <v>26</v>
      </c>
      <c r="T43" s="11" t="s">
        <v>26</v>
      </c>
      <c r="U43" s="11" t="s">
        <v>26</v>
      </c>
      <c r="V43" s="11" t="s">
        <v>26</v>
      </c>
      <c r="W43" s="10" t="s">
        <v>26</v>
      </c>
      <c r="X43" s="11" t="s">
        <v>26</v>
      </c>
      <c r="Y43" s="11" t="s">
        <v>26</v>
      </c>
      <c r="Z43" s="11" t="s">
        <v>26</v>
      </c>
      <c r="AA43" s="10">
        <v>184401545.84</v>
      </c>
      <c r="AB43" s="11">
        <v>1.37961559842E-3</v>
      </c>
      <c r="AC43" s="11">
        <v>0.15</v>
      </c>
      <c r="AD43" s="11">
        <v>0.14860000000000001</v>
      </c>
      <c r="AE43" s="10">
        <v>255821850.77000001</v>
      </c>
      <c r="AF43" s="11">
        <v>4.1435206298000001E-4</v>
      </c>
      <c r="AG43" s="11">
        <v>0.15</v>
      </c>
      <c r="AH43" s="11">
        <v>0.14960000000000001</v>
      </c>
      <c r="AI43" s="10" t="s">
        <v>26</v>
      </c>
      <c r="AJ43" s="11" t="s">
        <v>26</v>
      </c>
      <c r="AK43" s="11" t="s">
        <v>26</v>
      </c>
      <c r="AL43" s="11" t="s">
        <v>26</v>
      </c>
      <c r="AM43" s="10">
        <v>23584921.530000001</v>
      </c>
      <c r="AN43" s="11">
        <v>1.00321466385E-3</v>
      </c>
      <c r="AO43" s="11">
        <v>0.15</v>
      </c>
      <c r="AP43" s="11">
        <v>0.14899999999999999</v>
      </c>
      <c r="AQ43" s="10">
        <v>23584921.530000001</v>
      </c>
      <c r="AR43" s="11">
        <v>5.857770226E-4</v>
      </c>
      <c r="AS43" s="11">
        <v>0.15</v>
      </c>
      <c r="AT43" s="11">
        <v>0.14940000000000001</v>
      </c>
      <c r="AU43" s="10" t="s">
        <v>26</v>
      </c>
      <c r="AV43" s="11" t="s">
        <v>26</v>
      </c>
      <c r="AW43" s="11" t="s">
        <v>26</v>
      </c>
      <c r="AX43" s="11" t="s">
        <v>26</v>
      </c>
      <c r="AY43" s="10">
        <v>279406772.30000001</v>
      </c>
      <c r="AZ43" s="11">
        <v>3.9854032682000001E-4</v>
      </c>
      <c r="BA43" s="11">
        <v>0.15</v>
      </c>
      <c r="BB43" s="11">
        <v>0.14960000000000001</v>
      </c>
    </row>
    <row r="44" spans="1:54" s="7" customFormat="1">
      <c r="A44" s="3" t="s">
        <v>38</v>
      </c>
      <c r="B44" s="31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71420304.930000007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184401545.84</v>
      </c>
      <c r="AB44" s="1">
        <v>1</v>
      </c>
      <c r="AC44" s="1" t="s">
        <v>26</v>
      </c>
      <c r="AD44" s="1" t="s">
        <v>26</v>
      </c>
      <c r="AE44" s="2">
        <v>255821850.77000001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23584921.530000001</v>
      </c>
      <c r="AN44" s="1">
        <v>1</v>
      </c>
      <c r="AO44" s="1" t="s">
        <v>26</v>
      </c>
      <c r="AP44" s="1" t="s">
        <v>26</v>
      </c>
      <c r="AQ44" s="2">
        <v>23584921.530000001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279406772.30000001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53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>
        <v>1940420385.47</v>
      </c>
      <c r="P45" s="11">
        <v>8.9630769954399999E-3</v>
      </c>
      <c r="Q45" s="11">
        <v>0.15</v>
      </c>
      <c r="R45" s="11">
        <v>0.14099999999999999</v>
      </c>
      <c r="S45" s="10">
        <v>135439473.13</v>
      </c>
      <c r="T45" s="11">
        <v>1.2525750579200001E-3</v>
      </c>
      <c r="U45" s="11">
        <v>0.15</v>
      </c>
      <c r="V45" s="11">
        <v>0.1487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 t="s">
        <v>26</v>
      </c>
      <c r="AB45" s="11" t="s">
        <v>26</v>
      </c>
      <c r="AC45" s="11" t="s">
        <v>26</v>
      </c>
      <c r="AD45" s="11" t="s">
        <v>26</v>
      </c>
      <c r="AE45" s="10">
        <v>2075859858.5999999</v>
      </c>
      <c r="AF45" s="11">
        <v>3.3622492069299999E-3</v>
      </c>
      <c r="AG45" s="11">
        <v>0.15</v>
      </c>
      <c r="AH45" s="11">
        <v>0.14660000000000001</v>
      </c>
      <c r="AI45" s="10">
        <v>386774257.5</v>
      </c>
      <c r="AJ45" s="11">
        <v>2.308648002587E-2</v>
      </c>
      <c r="AK45" s="11">
        <v>0.15</v>
      </c>
      <c r="AL45" s="11">
        <v>0.12690000000000001</v>
      </c>
      <c r="AM45" s="10" t="s">
        <v>26</v>
      </c>
      <c r="AN45" s="11" t="s">
        <v>26</v>
      </c>
      <c r="AO45" s="11" t="s">
        <v>26</v>
      </c>
      <c r="AP45" s="11" t="s">
        <v>26</v>
      </c>
      <c r="AQ45" s="10">
        <v>386774257.5</v>
      </c>
      <c r="AR45" s="11">
        <v>9.6062847903800007E-3</v>
      </c>
      <c r="AS45" s="11">
        <v>0.15</v>
      </c>
      <c r="AT45" s="11">
        <v>0.1404</v>
      </c>
      <c r="AU45" s="10">
        <v>235544412.86000001</v>
      </c>
      <c r="AV45" s="11">
        <v>5.4259759790799998E-3</v>
      </c>
      <c r="AW45" s="11">
        <v>0.15</v>
      </c>
      <c r="AX45" s="11">
        <v>0.14460000000000001</v>
      </c>
      <c r="AY45" s="10">
        <v>2698178528.96</v>
      </c>
      <c r="AZ45" s="11">
        <v>3.8486288069900002E-3</v>
      </c>
      <c r="BA45" s="11">
        <v>0.15</v>
      </c>
      <c r="BB45" s="11">
        <v>0.1462</v>
      </c>
    </row>
    <row r="46" spans="1:54" s="7" customFormat="1">
      <c r="A46" s="3" t="s">
        <v>38</v>
      </c>
      <c r="B46" s="31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1940420385.47</v>
      </c>
      <c r="P46" s="1">
        <v>1</v>
      </c>
      <c r="Q46" s="1" t="s">
        <v>26</v>
      </c>
      <c r="R46" s="1" t="s">
        <v>26</v>
      </c>
      <c r="S46" s="2">
        <v>135439473.13</v>
      </c>
      <c r="T46" s="1">
        <v>1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2075859858.5999999</v>
      </c>
      <c r="AF46" s="1">
        <v>1</v>
      </c>
      <c r="AG46" s="1" t="s">
        <v>26</v>
      </c>
      <c r="AH46" s="1" t="s">
        <v>26</v>
      </c>
      <c r="AI46" s="2">
        <v>386774257.5</v>
      </c>
      <c r="AJ46" s="1">
        <v>1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>
        <v>386774257.5</v>
      </c>
      <c r="AR46" s="1">
        <v>1</v>
      </c>
      <c r="AS46" s="1" t="s">
        <v>26</v>
      </c>
      <c r="AT46" s="1" t="s">
        <v>26</v>
      </c>
      <c r="AU46" s="2">
        <v>235544412.86000001</v>
      </c>
      <c r="AV46" s="1">
        <v>1</v>
      </c>
      <c r="AW46" s="1" t="s">
        <v>26</v>
      </c>
      <c r="AX46" s="1" t="s">
        <v>26</v>
      </c>
      <c r="AY46" s="2">
        <v>2698178528.96</v>
      </c>
      <c r="AZ46" s="1">
        <v>1</v>
      </c>
      <c r="BA46" s="1" t="s">
        <v>26</v>
      </c>
      <c r="BB46" s="1" t="s">
        <v>26</v>
      </c>
    </row>
    <row r="47" spans="1:54" s="7" customFormat="1">
      <c r="A47" s="13" t="s">
        <v>54</v>
      </c>
      <c r="B47" s="25" t="s">
        <v>25</v>
      </c>
      <c r="C47" s="55">
        <v>74791960.689999998</v>
      </c>
      <c r="D47" s="56">
        <v>1.2982552683700001E-2</v>
      </c>
      <c r="E47" s="56" t="s">
        <v>26</v>
      </c>
      <c r="F47" s="56" t="s">
        <v>26</v>
      </c>
      <c r="G47" s="55">
        <v>393692786.80000001</v>
      </c>
      <c r="H47" s="56">
        <v>2.7213708087099999E-3</v>
      </c>
      <c r="I47" s="56" t="s">
        <v>26</v>
      </c>
      <c r="J47" s="56" t="s">
        <v>26</v>
      </c>
      <c r="K47" s="55">
        <v>99238011.359999999</v>
      </c>
      <c r="L47" s="56">
        <v>3.6239646349829999E-2</v>
      </c>
      <c r="M47" s="56" t="s">
        <v>26</v>
      </c>
      <c r="N47" s="56" t="s">
        <v>26</v>
      </c>
      <c r="O47" s="55">
        <v>3761729413.52</v>
      </c>
      <c r="P47" s="56">
        <v>1.7375961735850001E-2</v>
      </c>
      <c r="Q47" s="56" t="s">
        <v>26</v>
      </c>
      <c r="R47" s="56" t="s">
        <v>26</v>
      </c>
      <c r="S47" s="55">
        <v>1506216482.74</v>
      </c>
      <c r="T47" s="56">
        <v>1.392983267368E-2</v>
      </c>
      <c r="U47" s="56" t="s">
        <v>26</v>
      </c>
      <c r="V47" s="56" t="s">
        <v>26</v>
      </c>
      <c r="W47" s="55">
        <v>108146719.37</v>
      </c>
      <c r="X47" s="56">
        <v>1.8160918430050001E-2</v>
      </c>
      <c r="Y47" s="56" t="s">
        <v>26</v>
      </c>
      <c r="Z47" s="56" t="s">
        <v>26</v>
      </c>
      <c r="AA47" s="55">
        <v>3118367264.3299999</v>
      </c>
      <c r="AB47" s="56">
        <v>2.333032567532E-2</v>
      </c>
      <c r="AC47" s="56" t="s">
        <v>26</v>
      </c>
      <c r="AD47" s="56" t="s">
        <v>26</v>
      </c>
      <c r="AE47" s="55">
        <v>9062182638.8099995</v>
      </c>
      <c r="AF47" s="56">
        <v>1.4677925518039999E-2</v>
      </c>
      <c r="AG47" s="56" t="s">
        <v>26</v>
      </c>
      <c r="AH47" s="56" t="s">
        <v>26</v>
      </c>
      <c r="AI47" s="55">
        <v>208609165.62</v>
      </c>
      <c r="AJ47" s="56">
        <v>1.245184042606E-2</v>
      </c>
      <c r="AK47" s="56" t="s">
        <v>26</v>
      </c>
      <c r="AL47" s="56" t="s">
        <v>26</v>
      </c>
      <c r="AM47" s="55">
        <v>236108235.34</v>
      </c>
      <c r="AN47" s="56">
        <v>1.004316438568E-2</v>
      </c>
      <c r="AO47" s="56" t="s">
        <v>26</v>
      </c>
      <c r="AP47" s="56" t="s">
        <v>26</v>
      </c>
      <c r="AQ47" s="55">
        <v>444717400.95999998</v>
      </c>
      <c r="AR47" s="56">
        <v>1.10454145332E-2</v>
      </c>
      <c r="AS47" s="56" t="s">
        <v>26</v>
      </c>
      <c r="AT47" s="56" t="s">
        <v>26</v>
      </c>
      <c r="AU47" s="55">
        <v>731555995.01999998</v>
      </c>
      <c r="AV47" s="56">
        <v>1.685204589715E-2</v>
      </c>
      <c r="AW47" s="56" t="s">
        <v>26</v>
      </c>
      <c r="AX47" s="56" t="s">
        <v>26</v>
      </c>
      <c r="AY47" s="55">
        <v>10238456034.790001</v>
      </c>
      <c r="AZ47" s="56">
        <v>1.4603932397970001E-2</v>
      </c>
      <c r="BA47" s="56" t="s">
        <v>26</v>
      </c>
      <c r="BB47" s="56" t="s">
        <v>26</v>
      </c>
    </row>
    <row r="48" spans="1:54" s="7" customFormat="1">
      <c r="A48" s="5" t="s">
        <v>55</v>
      </c>
      <c r="B48" s="24" t="s">
        <v>25</v>
      </c>
      <c r="C48" s="10">
        <v>36057381.5</v>
      </c>
      <c r="D48" s="11">
        <v>6.2589194164900004E-3</v>
      </c>
      <c r="E48" s="11">
        <v>0.12</v>
      </c>
      <c r="F48" s="11">
        <v>0.1137</v>
      </c>
      <c r="G48" s="10" t="s">
        <v>26</v>
      </c>
      <c r="H48" s="11" t="s">
        <v>26</v>
      </c>
      <c r="I48" s="11" t="s">
        <v>26</v>
      </c>
      <c r="J48" s="11" t="s">
        <v>26</v>
      </c>
      <c r="K48" s="10">
        <v>30906327</v>
      </c>
      <c r="L48" s="11">
        <v>1.12863442657E-2</v>
      </c>
      <c r="M48" s="11">
        <v>0.12</v>
      </c>
      <c r="N48" s="11">
        <v>0.1087</v>
      </c>
      <c r="O48" s="10">
        <v>827259352.70000005</v>
      </c>
      <c r="P48" s="11">
        <v>3.8212282910299999E-3</v>
      </c>
      <c r="Q48" s="11">
        <v>0.12</v>
      </c>
      <c r="R48" s="11">
        <v>0.1162</v>
      </c>
      <c r="S48" s="10">
        <v>309063270</v>
      </c>
      <c r="T48" s="11">
        <v>2.8582874281400002E-3</v>
      </c>
      <c r="U48" s="11">
        <v>0.12</v>
      </c>
      <c r="V48" s="11">
        <v>0.1171</v>
      </c>
      <c r="W48" s="10" t="s">
        <v>26</v>
      </c>
      <c r="X48" s="11" t="s">
        <v>26</v>
      </c>
      <c r="Y48" s="11" t="s">
        <v>26</v>
      </c>
      <c r="Z48" s="11" t="s">
        <v>26</v>
      </c>
      <c r="AA48" s="10">
        <v>906585592</v>
      </c>
      <c r="AB48" s="11">
        <v>6.7826959819200002E-3</v>
      </c>
      <c r="AC48" s="11">
        <v>0.12</v>
      </c>
      <c r="AD48" s="11">
        <v>0.1132</v>
      </c>
      <c r="AE48" s="10">
        <v>2109871923.2</v>
      </c>
      <c r="AF48" s="11">
        <v>3.4173382037899999E-3</v>
      </c>
      <c r="AG48" s="11">
        <v>0.12</v>
      </c>
      <c r="AH48" s="11">
        <v>0.1166</v>
      </c>
      <c r="AI48" s="10" t="s">
        <v>26</v>
      </c>
      <c r="AJ48" s="11" t="s">
        <v>26</v>
      </c>
      <c r="AK48" s="11" t="s">
        <v>26</v>
      </c>
      <c r="AL48" s="11" t="s">
        <v>26</v>
      </c>
      <c r="AM48" s="10" t="s">
        <v>26</v>
      </c>
      <c r="AN48" s="11" t="s">
        <v>26</v>
      </c>
      <c r="AO48" s="11" t="s">
        <v>26</v>
      </c>
      <c r="AP48" s="11" t="s">
        <v>26</v>
      </c>
      <c r="AQ48" s="10" t="s">
        <v>26</v>
      </c>
      <c r="AR48" s="11" t="s">
        <v>26</v>
      </c>
      <c r="AS48" s="11" t="s">
        <v>26</v>
      </c>
      <c r="AT48" s="11" t="s">
        <v>26</v>
      </c>
      <c r="AU48" s="10">
        <v>206042180</v>
      </c>
      <c r="AV48" s="11">
        <v>4.74636568868E-3</v>
      </c>
      <c r="AW48" s="11">
        <v>0.12</v>
      </c>
      <c r="AX48" s="11">
        <v>0.1153</v>
      </c>
      <c r="AY48" s="10">
        <v>2315914103.1999998</v>
      </c>
      <c r="AZ48" s="11">
        <v>3.3033743454800001E-3</v>
      </c>
      <c r="BA48" s="11">
        <v>0.12</v>
      </c>
      <c r="BB48" s="11">
        <v>0.1167</v>
      </c>
    </row>
    <row r="49" spans="1:54" s="7" customFormat="1">
      <c r="A49" s="3" t="s">
        <v>36</v>
      </c>
      <c r="B49" s="31" t="s">
        <v>56</v>
      </c>
      <c r="C49" s="2">
        <v>36057381.5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30906327</v>
      </c>
      <c r="L49" s="1">
        <v>1</v>
      </c>
      <c r="M49" s="1" t="s">
        <v>26</v>
      </c>
      <c r="N49" s="1" t="s">
        <v>26</v>
      </c>
      <c r="O49" s="2">
        <v>827259352.70000005</v>
      </c>
      <c r="P49" s="1">
        <v>1</v>
      </c>
      <c r="Q49" s="1" t="s">
        <v>26</v>
      </c>
      <c r="R49" s="1" t="s">
        <v>26</v>
      </c>
      <c r="S49" s="2">
        <v>309063270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906585592</v>
      </c>
      <c r="AB49" s="1">
        <v>1</v>
      </c>
      <c r="AC49" s="1" t="s">
        <v>26</v>
      </c>
      <c r="AD49" s="1" t="s">
        <v>26</v>
      </c>
      <c r="AE49" s="2">
        <v>2109871923.2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206042180</v>
      </c>
      <c r="AV49" s="1">
        <v>1</v>
      </c>
      <c r="AW49" s="1" t="s">
        <v>26</v>
      </c>
      <c r="AX49" s="1" t="s">
        <v>26</v>
      </c>
      <c r="AY49" s="2">
        <v>2315914103.1999998</v>
      </c>
      <c r="AZ49" s="1">
        <v>1</v>
      </c>
      <c r="BA49" s="1" t="s">
        <v>26</v>
      </c>
      <c r="BB49" s="1" t="s">
        <v>26</v>
      </c>
    </row>
    <row r="50" spans="1:54" s="7" customFormat="1">
      <c r="A50" s="5" t="s">
        <v>57</v>
      </c>
      <c r="B50" s="24" t="s">
        <v>25</v>
      </c>
      <c r="C50" s="10">
        <v>33724213.840000004</v>
      </c>
      <c r="D50" s="11">
        <v>5.8539230534299996E-3</v>
      </c>
      <c r="E50" s="11">
        <v>0.09</v>
      </c>
      <c r="F50" s="11">
        <v>8.4099999999999994E-2</v>
      </c>
      <c r="G50" s="10" t="s">
        <v>26</v>
      </c>
      <c r="H50" s="11" t="s">
        <v>26</v>
      </c>
      <c r="I50" s="11" t="s">
        <v>26</v>
      </c>
      <c r="J50" s="11" t="s">
        <v>26</v>
      </c>
      <c r="K50" s="10">
        <v>16729464.359999999</v>
      </c>
      <c r="L50" s="11">
        <v>6.1092505151999999E-3</v>
      </c>
      <c r="M50" s="11">
        <v>0.09</v>
      </c>
      <c r="N50" s="11">
        <v>8.3900000000000002E-2</v>
      </c>
      <c r="O50" s="10">
        <v>390249829.22000003</v>
      </c>
      <c r="P50" s="11">
        <v>1.8026193153499999E-3</v>
      </c>
      <c r="Q50" s="11">
        <v>0.09</v>
      </c>
      <c r="R50" s="11">
        <v>8.8200000000000001E-2</v>
      </c>
      <c r="S50" s="10">
        <v>295404098.56999999</v>
      </c>
      <c r="T50" s="11">
        <v>2.73196430351E-3</v>
      </c>
      <c r="U50" s="11">
        <v>0.09</v>
      </c>
      <c r="V50" s="11">
        <v>8.7300000000000003E-2</v>
      </c>
      <c r="W50" s="10" t="s">
        <v>26</v>
      </c>
      <c r="X50" s="11" t="s">
        <v>26</v>
      </c>
      <c r="Y50" s="11" t="s">
        <v>26</v>
      </c>
      <c r="Z50" s="11" t="s">
        <v>26</v>
      </c>
      <c r="AA50" s="10">
        <v>106732229.72</v>
      </c>
      <c r="AB50" s="11">
        <v>7.9852610944999998E-4</v>
      </c>
      <c r="AC50" s="11">
        <v>0.09</v>
      </c>
      <c r="AD50" s="11">
        <v>8.9200000000000002E-2</v>
      </c>
      <c r="AE50" s="10">
        <v>842839835.71000004</v>
      </c>
      <c r="AF50" s="11">
        <v>1.3651391530299999E-3</v>
      </c>
      <c r="AG50" s="11">
        <v>0.09</v>
      </c>
      <c r="AH50" s="11">
        <v>8.8599999999999998E-2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10" t="s">
        <v>26</v>
      </c>
      <c r="AV50" s="11" t="s">
        <v>26</v>
      </c>
      <c r="AW50" s="11" t="s">
        <v>26</v>
      </c>
      <c r="AX50" s="11" t="s">
        <v>26</v>
      </c>
      <c r="AY50" s="10">
        <v>842839835.71000004</v>
      </c>
      <c r="AZ50" s="11">
        <v>1.2022101712600001E-3</v>
      </c>
      <c r="BA50" s="11">
        <v>0.09</v>
      </c>
      <c r="BB50" s="11">
        <v>8.8800000000000004E-2</v>
      </c>
    </row>
    <row r="51" spans="1:54" s="7" customFormat="1">
      <c r="A51" s="3" t="s">
        <v>36</v>
      </c>
      <c r="B51" s="31" t="s">
        <v>46</v>
      </c>
      <c r="C51" s="2">
        <v>33724213.840000004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16729464.359999999</v>
      </c>
      <c r="L51" s="1">
        <v>1</v>
      </c>
      <c r="M51" s="1" t="s">
        <v>26</v>
      </c>
      <c r="N51" s="1" t="s">
        <v>26</v>
      </c>
      <c r="O51" s="2">
        <v>390249829.22000003</v>
      </c>
      <c r="P51" s="1">
        <v>1</v>
      </c>
      <c r="Q51" s="1" t="s">
        <v>26</v>
      </c>
      <c r="R51" s="1" t="s">
        <v>26</v>
      </c>
      <c r="S51" s="2">
        <v>295404098.56999999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106732229.72</v>
      </c>
      <c r="AB51" s="1">
        <v>1</v>
      </c>
      <c r="AC51" s="1" t="s">
        <v>26</v>
      </c>
      <c r="AD51" s="1" t="s">
        <v>26</v>
      </c>
      <c r="AE51" s="2">
        <v>842839835.71000004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842839835.71000004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4" t="s">
        <v>25</v>
      </c>
      <c r="C52" s="10">
        <v>5010365.3499999996</v>
      </c>
      <c r="D52" s="11">
        <v>8.6971021377999999E-4</v>
      </c>
      <c r="E52" s="11">
        <v>0.12</v>
      </c>
      <c r="F52" s="11">
        <v>0.1191</v>
      </c>
      <c r="G52" s="10">
        <v>80165828.799999997</v>
      </c>
      <c r="H52" s="11">
        <v>5.5414006471E-4</v>
      </c>
      <c r="I52" s="11">
        <v>0.12</v>
      </c>
      <c r="J52" s="11">
        <v>0.11940000000000001</v>
      </c>
      <c r="K52" s="10" t="s">
        <v>26</v>
      </c>
      <c r="L52" s="11" t="s">
        <v>26</v>
      </c>
      <c r="M52" s="11" t="s">
        <v>26</v>
      </c>
      <c r="N52" s="11" t="s">
        <v>26</v>
      </c>
      <c r="O52" s="10">
        <v>260538943.59999999</v>
      </c>
      <c r="P52" s="11">
        <v>1.2034663361000001E-3</v>
      </c>
      <c r="Q52" s="11">
        <v>0.12</v>
      </c>
      <c r="R52" s="11">
        <v>0.1188</v>
      </c>
      <c r="S52" s="10">
        <v>139288139.09</v>
      </c>
      <c r="T52" s="11">
        <v>1.2881683962300001E-3</v>
      </c>
      <c r="U52" s="11">
        <v>0.12</v>
      </c>
      <c r="V52" s="11">
        <v>0.1187</v>
      </c>
      <c r="W52" s="10" t="s">
        <v>26</v>
      </c>
      <c r="X52" s="11" t="s">
        <v>26</v>
      </c>
      <c r="Y52" s="11" t="s">
        <v>26</v>
      </c>
      <c r="Z52" s="11" t="s">
        <v>26</v>
      </c>
      <c r="AA52" s="10">
        <v>133576322.73999999</v>
      </c>
      <c r="AB52" s="11">
        <v>9.993624380599999E-4</v>
      </c>
      <c r="AC52" s="11">
        <v>0.12</v>
      </c>
      <c r="AD52" s="11">
        <v>0.11899999999999999</v>
      </c>
      <c r="AE52" s="10">
        <v>618579599.58000004</v>
      </c>
      <c r="AF52" s="11">
        <v>1.0019071179099999E-3</v>
      </c>
      <c r="AG52" s="11">
        <v>0.12</v>
      </c>
      <c r="AH52" s="11">
        <v>0.11899999999999999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10">
        <v>618579599.58000004</v>
      </c>
      <c r="AZ52" s="11">
        <v>8.8232977944000001E-4</v>
      </c>
      <c r="BA52" s="11">
        <v>0.12</v>
      </c>
      <c r="BB52" s="11">
        <v>0.1191</v>
      </c>
    </row>
    <row r="53" spans="1:54" s="7" customFormat="1">
      <c r="A53" s="3" t="s">
        <v>36</v>
      </c>
      <c r="B53" s="31" t="s">
        <v>56</v>
      </c>
      <c r="C53" s="2">
        <v>5010365.3499999996</v>
      </c>
      <c r="D53" s="1">
        <v>1</v>
      </c>
      <c r="E53" s="1" t="s">
        <v>26</v>
      </c>
      <c r="F53" s="1" t="s">
        <v>26</v>
      </c>
      <c r="G53" s="2">
        <v>80165828.799999997</v>
      </c>
      <c r="H53" s="1">
        <v>1</v>
      </c>
      <c r="I53" s="1" t="s">
        <v>26</v>
      </c>
      <c r="J53" s="1" t="s">
        <v>26</v>
      </c>
      <c r="K53" s="2" t="s">
        <v>26</v>
      </c>
      <c r="L53" s="1" t="s">
        <v>26</v>
      </c>
      <c r="M53" s="1" t="s">
        <v>26</v>
      </c>
      <c r="N53" s="1" t="s">
        <v>26</v>
      </c>
      <c r="O53" s="2">
        <v>260538943.59999999</v>
      </c>
      <c r="P53" s="1">
        <v>1</v>
      </c>
      <c r="Q53" s="1" t="s">
        <v>26</v>
      </c>
      <c r="R53" s="1" t="s">
        <v>26</v>
      </c>
      <c r="S53" s="2">
        <v>139288139.09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133576322.73999999</v>
      </c>
      <c r="AB53" s="1">
        <v>1</v>
      </c>
      <c r="AC53" s="1" t="s">
        <v>26</v>
      </c>
      <c r="AD53" s="1" t="s">
        <v>26</v>
      </c>
      <c r="AE53" s="2">
        <v>618579599.58000004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618579599.58000004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59</v>
      </c>
      <c r="B54" s="24" t="s">
        <v>25</v>
      </c>
      <c r="C54" s="10" t="s">
        <v>26</v>
      </c>
      <c r="D54" s="11" t="s">
        <v>26</v>
      </c>
      <c r="E54" s="11" t="s">
        <v>26</v>
      </c>
      <c r="F54" s="11" t="s">
        <v>26</v>
      </c>
      <c r="G54" s="10">
        <v>313526958</v>
      </c>
      <c r="H54" s="11">
        <v>2.1672307440000001E-3</v>
      </c>
      <c r="I54" s="11">
        <v>0.12</v>
      </c>
      <c r="J54" s="11">
        <v>0.1178</v>
      </c>
      <c r="K54" s="10">
        <v>51602220</v>
      </c>
      <c r="L54" s="11">
        <v>1.8844051568930001E-2</v>
      </c>
      <c r="M54" s="11">
        <v>0.12</v>
      </c>
      <c r="N54" s="11">
        <v>0.1012</v>
      </c>
      <c r="O54" s="10">
        <v>2283681288</v>
      </c>
      <c r="P54" s="11">
        <v>1.054864779336E-2</v>
      </c>
      <c r="Q54" s="11">
        <v>0.12</v>
      </c>
      <c r="R54" s="11">
        <v>0.1095</v>
      </c>
      <c r="S54" s="10">
        <v>762460975.08000004</v>
      </c>
      <c r="T54" s="11">
        <v>7.05141254579E-3</v>
      </c>
      <c r="U54" s="11">
        <v>0.12809999999999999</v>
      </c>
      <c r="V54" s="11">
        <v>0.121</v>
      </c>
      <c r="W54" s="10">
        <v>108146719.37</v>
      </c>
      <c r="X54" s="11">
        <v>1.8160918430050001E-2</v>
      </c>
      <c r="Y54" s="11">
        <v>0.13669999999999999</v>
      </c>
      <c r="Z54" s="11">
        <v>0.11849999999999999</v>
      </c>
      <c r="AA54" s="10">
        <v>1971473119.8699999</v>
      </c>
      <c r="AB54" s="11">
        <v>1.474974114589E-2</v>
      </c>
      <c r="AC54" s="11">
        <v>0.1275</v>
      </c>
      <c r="AD54" s="11">
        <v>0.1128</v>
      </c>
      <c r="AE54" s="10">
        <v>5490891280.3199997</v>
      </c>
      <c r="AF54" s="11">
        <v>8.8935410433000003E-3</v>
      </c>
      <c r="AG54" s="11">
        <v>0.1241</v>
      </c>
      <c r="AH54" s="11">
        <v>0.1152</v>
      </c>
      <c r="AI54" s="10">
        <v>208609165.62</v>
      </c>
      <c r="AJ54" s="11">
        <v>1.245184042606E-2</v>
      </c>
      <c r="AK54" s="11">
        <v>0.1203</v>
      </c>
      <c r="AL54" s="11">
        <v>0.10780000000000001</v>
      </c>
      <c r="AM54" s="10">
        <v>236108235.34</v>
      </c>
      <c r="AN54" s="11">
        <v>1.004316438568E-2</v>
      </c>
      <c r="AO54" s="11">
        <v>0.1216</v>
      </c>
      <c r="AP54" s="11">
        <v>0.1116</v>
      </c>
      <c r="AQ54" s="10">
        <v>444717400.95999998</v>
      </c>
      <c r="AR54" s="11">
        <v>1.10454145332E-2</v>
      </c>
      <c r="AS54" s="11">
        <v>0.121</v>
      </c>
      <c r="AT54" s="11">
        <v>0.11</v>
      </c>
      <c r="AU54" s="10">
        <v>525513815.01999998</v>
      </c>
      <c r="AV54" s="11">
        <v>1.2105680208470001E-2</v>
      </c>
      <c r="AW54" s="11">
        <v>0.1323</v>
      </c>
      <c r="AX54" s="11">
        <v>0.1202</v>
      </c>
      <c r="AY54" s="10">
        <v>6461122496.3000002</v>
      </c>
      <c r="AZ54" s="11">
        <v>9.2160181017899995E-3</v>
      </c>
      <c r="BA54" s="11">
        <v>0.1246</v>
      </c>
      <c r="BB54" s="11">
        <v>0.1154</v>
      </c>
    </row>
    <row r="55" spans="1:54" s="7" customFormat="1">
      <c r="A55" s="3" t="s">
        <v>36</v>
      </c>
      <c r="B55" s="31" t="s">
        <v>56</v>
      </c>
      <c r="C55" s="2" t="s">
        <v>26</v>
      </c>
      <c r="D55" s="1" t="s">
        <v>26</v>
      </c>
      <c r="E55" s="1" t="s">
        <v>26</v>
      </c>
      <c r="F55" s="1" t="s">
        <v>26</v>
      </c>
      <c r="G55" s="2">
        <v>313526958</v>
      </c>
      <c r="H55" s="1">
        <v>1</v>
      </c>
      <c r="I55" s="1" t="s">
        <v>26</v>
      </c>
      <c r="J55" s="1" t="s">
        <v>26</v>
      </c>
      <c r="K55" s="2">
        <v>51602220</v>
      </c>
      <c r="L55" s="1">
        <v>1</v>
      </c>
      <c r="M55" s="1" t="s">
        <v>26</v>
      </c>
      <c r="N55" s="1" t="s">
        <v>26</v>
      </c>
      <c r="O55" s="2">
        <v>2283681288</v>
      </c>
      <c r="P55" s="1">
        <v>1</v>
      </c>
      <c r="Q55" s="1" t="s">
        <v>26</v>
      </c>
      <c r="R55" s="1" t="s">
        <v>26</v>
      </c>
      <c r="S55" s="2">
        <v>557303976</v>
      </c>
      <c r="T55" s="1">
        <v>0.73092786937917997</v>
      </c>
      <c r="U55" s="1" t="s">
        <v>26</v>
      </c>
      <c r="V55" s="1" t="s">
        <v>26</v>
      </c>
      <c r="W55" s="2">
        <v>48100651.25</v>
      </c>
      <c r="X55" s="1">
        <v>0.44477217182551998</v>
      </c>
      <c r="Y55" s="1" t="s">
        <v>26</v>
      </c>
      <c r="Z55" s="1" t="s">
        <v>26</v>
      </c>
      <c r="AA55" s="2">
        <v>1478525214.3299999</v>
      </c>
      <c r="AB55" s="1">
        <v>0.74995961112952003</v>
      </c>
      <c r="AC55" s="1" t="s">
        <v>26</v>
      </c>
      <c r="AD55" s="1" t="s">
        <v>26</v>
      </c>
      <c r="AE55" s="2">
        <v>4732740307.5799999</v>
      </c>
      <c r="AF55" s="1">
        <v>0.86192569948391995</v>
      </c>
      <c r="AG55" s="1" t="s">
        <v>26</v>
      </c>
      <c r="AH55" s="1" t="s">
        <v>26</v>
      </c>
      <c r="AI55" s="2">
        <v>206408880</v>
      </c>
      <c r="AJ55" s="1">
        <v>0.98945259373689998</v>
      </c>
      <c r="AK55" s="1" t="s">
        <v>26</v>
      </c>
      <c r="AL55" s="1" t="s">
        <v>26</v>
      </c>
      <c r="AM55" s="2">
        <v>223644021.47999999</v>
      </c>
      <c r="AN55" s="1">
        <v>0.94720974538626002</v>
      </c>
      <c r="AO55" s="1" t="s">
        <v>26</v>
      </c>
      <c r="AP55" s="1" t="s">
        <v>26</v>
      </c>
      <c r="AQ55" s="2">
        <v>430052901.48000002</v>
      </c>
      <c r="AR55" s="1">
        <v>0.96702512775900995</v>
      </c>
      <c r="AS55" s="1" t="s">
        <v>26</v>
      </c>
      <c r="AT55" s="1" t="s">
        <v>26</v>
      </c>
      <c r="AU55" s="2">
        <v>309613320</v>
      </c>
      <c r="AV55" s="1">
        <v>0.58916304605278003</v>
      </c>
      <c r="AW55" s="1" t="s">
        <v>26</v>
      </c>
      <c r="AX55" s="1" t="s">
        <v>26</v>
      </c>
      <c r="AY55" s="2">
        <v>5472406529.0600004</v>
      </c>
      <c r="AZ55" s="1">
        <v>0.84697458254254998</v>
      </c>
      <c r="BA55" s="1" t="s">
        <v>26</v>
      </c>
      <c r="BB55" s="1" t="s">
        <v>26</v>
      </c>
    </row>
    <row r="56" spans="1:54" s="7" customFormat="1">
      <c r="A56" s="3" t="s">
        <v>38</v>
      </c>
      <c r="B56" s="31" t="s">
        <v>39</v>
      </c>
      <c r="C56" s="2" t="s">
        <v>26</v>
      </c>
      <c r="D56" s="1" t="s">
        <v>26</v>
      </c>
      <c r="E56" s="1" t="s">
        <v>26</v>
      </c>
      <c r="F56" s="1" t="s">
        <v>26</v>
      </c>
      <c r="G56" s="2" t="s">
        <v>26</v>
      </c>
      <c r="H56" s="1" t="s">
        <v>26</v>
      </c>
      <c r="I56" s="1" t="s">
        <v>26</v>
      </c>
      <c r="J56" s="1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>
        <v>205156999.08000001</v>
      </c>
      <c r="T56" s="1">
        <v>0.26907213062082003</v>
      </c>
      <c r="U56" s="1" t="s">
        <v>26</v>
      </c>
      <c r="V56" s="1" t="s">
        <v>26</v>
      </c>
      <c r="W56" s="2">
        <v>60046068.119999997</v>
      </c>
      <c r="X56" s="1">
        <v>0.55522782817448002</v>
      </c>
      <c r="Y56" s="1" t="s">
        <v>26</v>
      </c>
      <c r="Z56" s="1" t="s">
        <v>26</v>
      </c>
      <c r="AA56" s="2">
        <v>492947905.54000002</v>
      </c>
      <c r="AB56" s="1">
        <v>0.25004038887048002</v>
      </c>
      <c r="AC56" s="1" t="s">
        <v>26</v>
      </c>
      <c r="AD56" s="1" t="s">
        <v>26</v>
      </c>
      <c r="AE56" s="2">
        <v>758150972.74000001</v>
      </c>
      <c r="AF56" s="1">
        <v>0.13807430051608</v>
      </c>
      <c r="AG56" s="1" t="s">
        <v>26</v>
      </c>
      <c r="AH56" s="1" t="s">
        <v>26</v>
      </c>
      <c r="AI56" s="2">
        <v>2200285.62</v>
      </c>
      <c r="AJ56" s="1">
        <v>1.0547406263100001E-2</v>
      </c>
      <c r="AK56" s="1" t="s">
        <v>26</v>
      </c>
      <c r="AL56" s="1" t="s">
        <v>26</v>
      </c>
      <c r="AM56" s="2">
        <v>12464213.859999999</v>
      </c>
      <c r="AN56" s="1">
        <v>5.2790254613739998E-2</v>
      </c>
      <c r="AO56" s="1" t="s">
        <v>26</v>
      </c>
      <c r="AP56" s="1" t="s">
        <v>26</v>
      </c>
      <c r="AQ56" s="2">
        <v>14664499.48</v>
      </c>
      <c r="AR56" s="1">
        <v>3.2974872240990001E-2</v>
      </c>
      <c r="AS56" s="1" t="s">
        <v>26</v>
      </c>
      <c r="AT56" s="1" t="s">
        <v>26</v>
      </c>
      <c r="AU56" s="2">
        <v>215900495.02000001</v>
      </c>
      <c r="AV56" s="1">
        <v>0.41083695394721997</v>
      </c>
      <c r="AW56" s="1" t="s">
        <v>26</v>
      </c>
      <c r="AX56" s="1" t="s">
        <v>26</v>
      </c>
      <c r="AY56" s="2">
        <v>988715967.24000001</v>
      </c>
      <c r="AZ56" s="1">
        <v>0.15302541745744999</v>
      </c>
      <c r="BA56" s="1" t="s">
        <v>26</v>
      </c>
      <c r="BB56" s="1" t="s">
        <v>26</v>
      </c>
    </row>
    <row r="57" spans="1:54" s="7" customFormat="1">
      <c r="A57" s="13" t="s">
        <v>60</v>
      </c>
      <c r="B57" s="25" t="s">
        <v>25</v>
      </c>
      <c r="C57" s="55">
        <v>89232113.090000004</v>
      </c>
      <c r="D57" s="56">
        <v>1.5489106029329999E-2</v>
      </c>
      <c r="E57" s="56" t="s">
        <v>26</v>
      </c>
      <c r="F57" s="56" t="s">
        <v>26</v>
      </c>
      <c r="G57" s="55" t="s">
        <v>26</v>
      </c>
      <c r="H57" s="56" t="s">
        <v>26</v>
      </c>
      <c r="I57" s="56" t="s">
        <v>26</v>
      </c>
      <c r="J57" s="56" t="s">
        <v>26</v>
      </c>
      <c r="K57" s="55">
        <v>81574936.709999993</v>
      </c>
      <c r="L57" s="56">
        <v>2.9789460881640001E-2</v>
      </c>
      <c r="M57" s="56" t="s">
        <v>26</v>
      </c>
      <c r="N57" s="56" t="s">
        <v>26</v>
      </c>
      <c r="O57" s="55">
        <v>58290639.920000002</v>
      </c>
      <c r="P57" s="56">
        <v>2.6925273390999998E-4</v>
      </c>
      <c r="Q57" s="56" t="s">
        <v>26</v>
      </c>
      <c r="R57" s="56" t="s">
        <v>26</v>
      </c>
      <c r="S57" s="55">
        <v>141155346.41</v>
      </c>
      <c r="T57" s="56">
        <v>1.3054367542899999E-3</v>
      </c>
      <c r="U57" s="56" t="s">
        <v>26</v>
      </c>
      <c r="V57" s="56" t="s">
        <v>26</v>
      </c>
      <c r="W57" s="55" t="s">
        <v>26</v>
      </c>
      <c r="X57" s="56" t="s">
        <v>26</v>
      </c>
      <c r="Y57" s="56" t="s">
        <v>26</v>
      </c>
      <c r="Z57" s="56" t="s">
        <v>26</v>
      </c>
      <c r="AA57" s="55">
        <v>120451213.77</v>
      </c>
      <c r="AB57" s="56">
        <v>9.0116583680999998E-4</v>
      </c>
      <c r="AC57" s="56" t="s">
        <v>26</v>
      </c>
      <c r="AD57" s="56" t="s">
        <v>26</v>
      </c>
      <c r="AE57" s="55">
        <v>490704249.89999998</v>
      </c>
      <c r="AF57" s="56">
        <v>7.9478870803000002E-4</v>
      </c>
      <c r="AG57" s="56" t="s">
        <v>26</v>
      </c>
      <c r="AH57" s="56" t="s">
        <v>26</v>
      </c>
      <c r="AI57" s="55">
        <v>61184382.689999998</v>
      </c>
      <c r="AJ57" s="56">
        <v>3.6520838744499998E-3</v>
      </c>
      <c r="AK57" s="56" t="s">
        <v>26</v>
      </c>
      <c r="AL57" s="56" t="s">
        <v>26</v>
      </c>
      <c r="AM57" s="55" t="s">
        <v>26</v>
      </c>
      <c r="AN57" s="56" t="s">
        <v>26</v>
      </c>
      <c r="AO57" s="56" t="s">
        <v>26</v>
      </c>
      <c r="AP57" s="56" t="s">
        <v>26</v>
      </c>
      <c r="AQ57" s="55">
        <v>61184382.689999998</v>
      </c>
      <c r="AR57" s="56">
        <v>1.5196321716E-3</v>
      </c>
      <c r="AS57" s="56" t="s">
        <v>26</v>
      </c>
      <c r="AT57" s="56" t="s">
        <v>26</v>
      </c>
      <c r="AU57" s="55">
        <v>5037941.7699999996</v>
      </c>
      <c r="AV57" s="56">
        <v>1.1605348943E-4</v>
      </c>
      <c r="AW57" s="56" t="s">
        <v>26</v>
      </c>
      <c r="AX57" s="56" t="s">
        <v>26</v>
      </c>
      <c r="AY57" s="55">
        <v>556926574.36000001</v>
      </c>
      <c r="AZ57" s="56">
        <v>7.9438911637999998E-4</v>
      </c>
      <c r="BA57" s="56" t="s">
        <v>26</v>
      </c>
      <c r="BB57" s="56" t="s">
        <v>26</v>
      </c>
    </row>
    <row r="58" spans="1:54" s="7" customFormat="1">
      <c r="A58" s="5" t="s">
        <v>61</v>
      </c>
      <c r="B58" s="24" t="s">
        <v>25</v>
      </c>
      <c r="C58" s="10">
        <v>49285250.149999999</v>
      </c>
      <c r="D58" s="11">
        <v>8.5550418881799994E-3</v>
      </c>
      <c r="E58" s="11">
        <v>0.09</v>
      </c>
      <c r="F58" s="11">
        <v>8.14E-2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10" t="s">
        <v>26</v>
      </c>
      <c r="P58" s="11" t="s">
        <v>26</v>
      </c>
      <c r="Q58" s="11" t="s">
        <v>26</v>
      </c>
      <c r="R58" s="11" t="s">
        <v>26</v>
      </c>
      <c r="S58" s="10" t="s">
        <v>26</v>
      </c>
      <c r="T58" s="11" t="s">
        <v>26</v>
      </c>
      <c r="U58" s="11" t="s">
        <v>26</v>
      </c>
      <c r="V58" s="11" t="s">
        <v>26</v>
      </c>
      <c r="W58" s="10" t="s">
        <v>26</v>
      </c>
      <c r="X58" s="11" t="s">
        <v>26</v>
      </c>
      <c r="Y58" s="11" t="s">
        <v>26</v>
      </c>
      <c r="Z58" s="11" t="s">
        <v>26</v>
      </c>
      <c r="AA58" s="10" t="s">
        <v>26</v>
      </c>
      <c r="AB58" s="11" t="s">
        <v>26</v>
      </c>
      <c r="AC58" s="11" t="s">
        <v>26</v>
      </c>
      <c r="AD58" s="11" t="s">
        <v>26</v>
      </c>
      <c r="AE58" s="10">
        <v>49285250.149999999</v>
      </c>
      <c r="AF58" s="11">
        <v>7.9826820939999998E-5</v>
      </c>
      <c r="AG58" s="11">
        <v>0.09</v>
      </c>
      <c r="AH58" s="11">
        <v>8.9899999999999994E-2</v>
      </c>
      <c r="AI58" s="10" t="s">
        <v>26</v>
      </c>
      <c r="AJ58" s="11" t="s">
        <v>26</v>
      </c>
      <c r="AK58" s="11" t="s">
        <v>26</v>
      </c>
      <c r="AL58" s="11" t="s">
        <v>26</v>
      </c>
      <c r="AM58" s="10" t="s">
        <v>26</v>
      </c>
      <c r="AN58" s="11" t="s">
        <v>26</v>
      </c>
      <c r="AO58" s="11" t="s">
        <v>26</v>
      </c>
      <c r="AP58" s="11" t="s">
        <v>26</v>
      </c>
      <c r="AQ58" s="10" t="s">
        <v>26</v>
      </c>
      <c r="AR58" s="11" t="s">
        <v>26</v>
      </c>
      <c r="AS58" s="11" t="s">
        <v>26</v>
      </c>
      <c r="AT58" s="11" t="s">
        <v>26</v>
      </c>
      <c r="AU58" s="10" t="s">
        <v>26</v>
      </c>
      <c r="AV58" s="11" t="s">
        <v>26</v>
      </c>
      <c r="AW58" s="11" t="s">
        <v>26</v>
      </c>
      <c r="AX58" s="11" t="s">
        <v>26</v>
      </c>
      <c r="AY58" s="10">
        <v>49285250.149999999</v>
      </c>
      <c r="AZ58" s="11">
        <v>7.0299511859999995E-5</v>
      </c>
      <c r="BA58" s="11">
        <v>0.09</v>
      </c>
      <c r="BB58" s="11">
        <v>8.9899999999999994E-2</v>
      </c>
    </row>
    <row r="59" spans="1:54" s="7" customFormat="1">
      <c r="A59" s="3" t="s">
        <v>36</v>
      </c>
      <c r="B59" s="31" t="s">
        <v>46</v>
      </c>
      <c r="C59" s="2">
        <v>49285250.149999999</v>
      </c>
      <c r="D59" s="1">
        <v>1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49285250.149999999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49285250.149999999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62</v>
      </c>
      <c r="B60" s="24" t="s">
        <v>25</v>
      </c>
      <c r="C60" s="10">
        <v>17867415.66</v>
      </c>
      <c r="D60" s="11">
        <v>3.1014652241700001E-3</v>
      </c>
      <c r="E60" s="11">
        <v>0.12</v>
      </c>
      <c r="F60" s="11">
        <v>0.1169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>
        <v>90251034.870000005</v>
      </c>
      <c r="AB60" s="11">
        <v>6.7522067081000003E-4</v>
      </c>
      <c r="AC60" s="11">
        <v>0.13500000000000001</v>
      </c>
      <c r="AD60" s="11">
        <v>0.1343</v>
      </c>
      <c r="AE60" s="10">
        <v>108118450.53</v>
      </c>
      <c r="AF60" s="11">
        <v>1.7511836025000001E-4</v>
      </c>
      <c r="AG60" s="11">
        <v>0.13250000000000001</v>
      </c>
      <c r="AH60" s="11">
        <v>0.1323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108118450.53</v>
      </c>
      <c r="AZ60" s="11">
        <v>1.5421803220999999E-4</v>
      </c>
      <c r="BA60" s="11">
        <v>0.13250000000000001</v>
      </c>
      <c r="BB60" s="11">
        <v>0.1323</v>
      </c>
    </row>
    <row r="61" spans="1:54" s="7" customFormat="1">
      <c r="A61" s="3" t="s">
        <v>36</v>
      </c>
      <c r="B61" s="31" t="s">
        <v>56</v>
      </c>
      <c r="C61" s="2">
        <v>17867415.66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17867415.66</v>
      </c>
      <c r="AF61" s="1">
        <v>0.16525778507196001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17867415.66</v>
      </c>
      <c r="AZ61" s="1">
        <v>0.16525778507196001</v>
      </c>
      <c r="BA61" s="1" t="s">
        <v>26</v>
      </c>
      <c r="BB61" s="1" t="s">
        <v>26</v>
      </c>
    </row>
    <row r="62" spans="1:54" s="7" customFormat="1">
      <c r="A62" s="3" t="s">
        <v>38</v>
      </c>
      <c r="B62" s="31" t="s">
        <v>43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90251034.870000005</v>
      </c>
      <c r="AB62" s="1">
        <v>1</v>
      </c>
      <c r="AC62" s="1" t="s">
        <v>26</v>
      </c>
      <c r="AD62" s="1" t="s">
        <v>26</v>
      </c>
      <c r="AE62" s="2">
        <v>90251034.870000005</v>
      </c>
      <c r="AF62" s="1">
        <v>0.83474221492804002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90251034.870000005</v>
      </c>
      <c r="AZ62" s="1">
        <v>0.83474221492804002</v>
      </c>
      <c r="BA62" s="1" t="s">
        <v>26</v>
      </c>
      <c r="BB62" s="1" t="s">
        <v>26</v>
      </c>
    </row>
    <row r="63" spans="1:54" s="7" customFormat="1">
      <c r="A63" s="5" t="s">
        <v>63</v>
      </c>
      <c r="B63" s="24" t="s">
        <v>25</v>
      </c>
      <c r="C63" s="10">
        <v>22079447.280000001</v>
      </c>
      <c r="D63" s="11">
        <v>3.8325989169800002E-3</v>
      </c>
      <c r="E63" s="11">
        <v>0.12</v>
      </c>
      <c r="F63" s="11">
        <v>0.1162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10">
        <v>22079447.280000001</v>
      </c>
      <c r="AF63" s="11">
        <v>3.5761857330000001E-5</v>
      </c>
      <c r="AG63" s="11">
        <v>0.12</v>
      </c>
      <c r="AH63" s="11">
        <v>0.12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10">
        <v>22079447.280000001</v>
      </c>
      <c r="AZ63" s="11">
        <v>3.1493689509999997E-5</v>
      </c>
      <c r="BA63" s="11">
        <v>0.12</v>
      </c>
      <c r="BB63" s="11">
        <v>0.12</v>
      </c>
    </row>
    <row r="64" spans="1:54" s="7" customFormat="1">
      <c r="A64" s="3" t="s">
        <v>36</v>
      </c>
      <c r="B64" s="31" t="s">
        <v>56</v>
      </c>
      <c r="C64" s="2">
        <v>22079447.280000001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22079447.280000001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22079447.280000001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64</v>
      </c>
      <c r="B65" s="24" t="s">
        <v>25</v>
      </c>
      <c r="C65" s="10" t="s">
        <v>26</v>
      </c>
      <c r="D65" s="11" t="s">
        <v>26</v>
      </c>
      <c r="E65" s="11" t="s">
        <v>26</v>
      </c>
      <c r="F65" s="11" t="s">
        <v>26</v>
      </c>
      <c r="G65" s="10" t="s">
        <v>26</v>
      </c>
      <c r="H65" s="11" t="s">
        <v>26</v>
      </c>
      <c r="I65" s="11" t="s">
        <v>26</v>
      </c>
      <c r="J65" s="11" t="s">
        <v>26</v>
      </c>
      <c r="K65" s="10">
        <v>81574936.709999993</v>
      </c>
      <c r="L65" s="11">
        <v>2.9789460881640001E-2</v>
      </c>
      <c r="M65" s="11">
        <v>0.13500000000000001</v>
      </c>
      <c r="N65" s="11">
        <v>0.1052</v>
      </c>
      <c r="O65" s="10">
        <v>58290639.920000002</v>
      </c>
      <c r="P65" s="11">
        <v>2.6925273390999998E-4</v>
      </c>
      <c r="Q65" s="11">
        <v>0.13289999999999999</v>
      </c>
      <c r="R65" s="11">
        <v>0.1326</v>
      </c>
      <c r="S65" s="10">
        <v>141155346.41</v>
      </c>
      <c r="T65" s="11">
        <v>1.3054367542899999E-3</v>
      </c>
      <c r="U65" s="11">
        <v>0.13500000000000001</v>
      </c>
      <c r="V65" s="11">
        <v>0.13370000000000001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>
        <v>30200178.899999999</v>
      </c>
      <c r="AB65" s="11">
        <v>2.2594516600000001E-4</v>
      </c>
      <c r="AC65" s="11">
        <v>0.12</v>
      </c>
      <c r="AD65" s="11">
        <v>0.1198</v>
      </c>
      <c r="AE65" s="10">
        <v>311221101.94</v>
      </c>
      <c r="AF65" s="11">
        <v>5.0408166950000001E-4</v>
      </c>
      <c r="AG65" s="11">
        <v>0.1331</v>
      </c>
      <c r="AH65" s="11">
        <v>0.1326</v>
      </c>
      <c r="AI65" s="10">
        <v>61184382.689999998</v>
      </c>
      <c r="AJ65" s="11">
        <v>3.6520838744499998E-3</v>
      </c>
      <c r="AK65" s="11">
        <v>0.13500000000000001</v>
      </c>
      <c r="AL65" s="11">
        <v>0.1313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>
        <v>61184382.689999998</v>
      </c>
      <c r="AR65" s="11">
        <v>1.5196321716E-3</v>
      </c>
      <c r="AS65" s="11">
        <v>0.13500000000000001</v>
      </c>
      <c r="AT65" s="11">
        <v>0.13350000000000001</v>
      </c>
      <c r="AU65" s="10">
        <v>5037941.7699999996</v>
      </c>
      <c r="AV65" s="11">
        <v>1.1605348943E-4</v>
      </c>
      <c r="AW65" s="11">
        <v>0.13500000000000001</v>
      </c>
      <c r="AX65" s="11">
        <v>0.13489999999999999</v>
      </c>
      <c r="AY65" s="10">
        <v>377443426.39999998</v>
      </c>
      <c r="AZ65" s="11">
        <v>5.3837788280999995E-4</v>
      </c>
      <c r="BA65" s="11">
        <v>0.13350000000000001</v>
      </c>
      <c r="BB65" s="11">
        <v>0.13300000000000001</v>
      </c>
    </row>
    <row r="66" spans="1:54" s="7" customFormat="1">
      <c r="A66" s="3" t="s">
        <v>36</v>
      </c>
      <c r="B66" s="31" t="s">
        <v>56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8195561.4699999997</v>
      </c>
      <c r="P66" s="1">
        <v>0.14059824152295999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30200178.899999999</v>
      </c>
      <c r="AB66" s="1">
        <v>1</v>
      </c>
      <c r="AC66" s="1" t="s">
        <v>26</v>
      </c>
      <c r="AD66" s="1" t="s">
        <v>26</v>
      </c>
      <c r="AE66" s="2">
        <v>38395740.369999997</v>
      </c>
      <c r="AF66" s="1">
        <v>0.12337126284387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38395740.369999997</v>
      </c>
      <c r="AZ66" s="1">
        <v>0.10172581553800999</v>
      </c>
      <c r="BA66" s="1" t="s">
        <v>26</v>
      </c>
      <c r="BB66" s="1" t="s">
        <v>26</v>
      </c>
    </row>
    <row r="67" spans="1:54" s="7" customFormat="1">
      <c r="A67" s="3" t="s">
        <v>38</v>
      </c>
      <c r="B67" s="31" t="s">
        <v>43</v>
      </c>
      <c r="C67" s="2" t="s">
        <v>26</v>
      </c>
      <c r="D67" s="1" t="s">
        <v>26</v>
      </c>
      <c r="E67" s="1" t="s">
        <v>26</v>
      </c>
      <c r="F67" s="1" t="s">
        <v>26</v>
      </c>
      <c r="G67" s="2" t="s">
        <v>26</v>
      </c>
      <c r="H67" s="1" t="s">
        <v>26</v>
      </c>
      <c r="I67" s="1" t="s">
        <v>26</v>
      </c>
      <c r="J67" s="1" t="s">
        <v>26</v>
      </c>
      <c r="K67" s="2">
        <v>81574936.709999993</v>
      </c>
      <c r="L67" s="1">
        <v>1</v>
      </c>
      <c r="M67" s="1" t="s">
        <v>26</v>
      </c>
      <c r="N67" s="1" t="s">
        <v>26</v>
      </c>
      <c r="O67" s="2">
        <v>50095078.450000003</v>
      </c>
      <c r="P67" s="1">
        <v>0.85940175847704003</v>
      </c>
      <c r="Q67" s="1" t="s">
        <v>26</v>
      </c>
      <c r="R67" s="1" t="s">
        <v>26</v>
      </c>
      <c r="S67" s="2">
        <v>141155346.41</v>
      </c>
      <c r="T67" s="1">
        <v>1</v>
      </c>
      <c r="U67" s="1" t="s">
        <v>26</v>
      </c>
      <c r="V67" s="1" t="s">
        <v>26</v>
      </c>
      <c r="W67" s="2" t="s">
        <v>26</v>
      </c>
      <c r="X67" s="1" t="s">
        <v>26</v>
      </c>
      <c r="Y67" s="1" t="s">
        <v>26</v>
      </c>
      <c r="Z67" s="1" t="s">
        <v>26</v>
      </c>
      <c r="AA67" s="2" t="s">
        <v>26</v>
      </c>
      <c r="AB67" s="1" t="s">
        <v>26</v>
      </c>
      <c r="AC67" s="1" t="s">
        <v>26</v>
      </c>
      <c r="AD67" s="1" t="s">
        <v>26</v>
      </c>
      <c r="AE67" s="2">
        <v>272825361.56999999</v>
      </c>
      <c r="AF67" s="1">
        <v>0.87662873715612999</v>
      </c>
      <c r="AG67" s="1" t="s">
        <v>26</v>
      </c>
      <c r="AH67" s="1" t="s">
        <v>26</v>
      </c>
      <c r="AI67" s="2">
        <v>61184382.689999998</v>
      </c>
      <c r="AJ67" s="1">
        <v>1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>
        <v>61184382.689999998</v>
      </c>
      <c r="AR67" s="1">
        <v>1</v>
      </c>
      <c r="AS67" s="1" t="s">
        <v>26</v>
      </c>
      <c r="AT67" s="1" t="s">
        <v>26</v>
      </c>
      <c r="AU67" s="2">
        <v>5037941.7699999996</v>
      </c>
      <c r="AV67" s="1">
        <v>1</v>
      </c>
      <c r="AW67" s="1" t="s">
        <v>26</v>
      </c>
      <c r="AX67" s="1" t="s">
        <v>26</v>
      </c>
      <c r="AY67" s="2">
        <v>339047686.02999997</v>
      </c>
      <c r="AZ67" s="1">
        <v>0.89827418446199003</v>
      </c>
      <c r="BA67" s="1" t="s">
        <v>26</v>
      </c>
      <c r="BB67" s="1" t="s">
        <v>26</v>
      </c>
    </row>
    <row r="68" spans="1:54" s="7" customFormat="1">
      <c r="A68" s="13" t="s">
        <v>65</v>
      </c>
      <c r="B68" s="25" t="s">
        <v>25</v>
      </c>
      <c r="C68" s="55">
        <v>677511202.80999994</v>
      </c>
      <c r="D68" s="56">
        <v>0.11760388152862999</v>
      </c>
      <c r="E68" s="56" t="s">
        <v>26</v>
      </c>
      <c r="F68" s="56" t="s">
        <v>26</v>
      </c>
      <c r="G68" s="55">
        <v>5740415949.3699999</v>
      </c>
      <c r="H68" s="56">
        <v>3.9680179363860001E-2</v>
      </c>
      <c r="I68" s="56" t="s">
        <v>26</v>
      </c>
      <c r="J68" s="56" t="s">
        <v>26</v>
      </c>
      <c r="K68" s="55">
        <v>544438411.70000005</v>
      </c>
      <c r="L68" s="56">
        <v>0.19881752192412999</v>
      </c>
      <c r="M68" s="56" t="s">
        <v>26</v>
      </c>
      <c r="N68" s="56" t="s">
        <v>26</v>
      </c>
      <c r="O68" s="55">
        <v>10436069661.1</v>
      </c>
      <c r="P68" s="56">
        <v>4.8205686047529998E-2</v>
      </c>
      <c r="Q68" s="56" t="s">
        <v>26</v>
      </c>
      <c r="R68" s="56" t="s">
        <v>26</v>
      </c>
      <c r="S68" s="55">
        <v>5481374020.8999996</v>
      </c>
      <c r="T68" s="56">
        <v>5.0692993874340002E-2</v>
      </c>
      <c r="U68" s="56" t="s">
        <v>26</v>
      </c>
      <c r="V68" s="56" t="s">
        <v>26</v>
      </c>
      <c r="W68" s="55" t="s">
        <v>26</v>
      </c>
      <c r="X68" s="56" t="s">
        <v>26</v>
      </c>
      <c r="Y68" s="56" t="s">
        <v>26</v>
      </c>
      <c r="Z68" s="56" t="s">
        <v>26</v>
      </c>
      <c r="AA68" s="55">
        <v>5472096293.0799999</v>
      </c>
      <c r="AB68" s="56">
        <v>4.0939946395850003E-2</v>
      </c>
      <c r="AC68" s="56" t="s">
        <v>26</v>
      </c>
      <c r="AD68" s="56" t="s">
        <v>26</v>
      </c>
      <c r="AE68" s="55">
        <v>28351905538.959999</v>
      </c>
      <c r="AF68" s="56">
        <v>4.592129450284E-2</v>
      </c>
      <c r="AG68" s="56" t="s">
        <v>26</v>
      </c>
      <c r="AH68" s="56" t="s">
        <v>26</v>
      </c>
      <c r="AI68" s="55">
        <v>1124189163.9300001</v>
      </c>
      <c r="AJ68" s="56">
        <v>6.7102632026549994E-2</v>
      </c>
      <c r="AK68" s="56" t="s">
        <v>26</v>
      </c>
      <c r="AL68" s="56" t="s">
        <v>26</v>
      </c>
      <c r="AM68" s="55">
        <v>2201148255.5900002</v>
      </c>
      <c r="AN68" s="56">
        <v>9.3628643390210001E-2</v>
      </c>
      <c r="AO68" s="56" t="s">
        <v>26</v>
      </c>
      <c r="AP68" s="56" t="s">
        <v>26</v>
      </c>
      <c r="AQ68" s="55">
        <v>3325337419.52</v>
      </c>
      <c r="AR68" s="56">
        <v>8.2591169542890003E-2</v>
      </c>
      <c r="AS68" s="56" t="s">
        <v>26</v>
      </c>
      <c r="AT68" s="56" t="s">
        <v>26</v>
      </c>
      <c r="AU68" s="55">
        <v>1395696450.0699999</v>
      </c>
      <c r="AV68" s="56">
        <v>3.215111460391E-2</v>
      </c>
      <c r="AW68" s="56" t="s">
        <v>26</v>
      </c>
      <c r="AX68" s="56" t="s">
        <v>26</v>
      </c>
      <c r="AY68" s="55">
        <v>33072939408.549999</v>
      </c>
      <c r="AZ68" s="56">
        <v>4.7174590551880002E-2</v>
      </c>
      <c r="BA68" s="56" t="s">
        <v>26</v>
      </c>
      <c r="BB68" s="56" t="s">
        <v>26</v>
      </c>
    </row>
    <row r="69" spans="1:54" s="7" customFormat="1">
      <c r="A69" s="5" t="s">
        <v>105</v>
      </c>
      <c r="B69" s="24" t="s">
        <v>25</v>
      </c>
      <c r="C69" s="10">
        <v>84181746.930000007</v>
      </c>
      <c r="D69" s="11">
        <v>1.461245238716E-2</v>
      </c>
      <c r="E69" s="11">
        <v>0.08</v>
      </c>
      <c r="F69" s="11">
        <v>6.54E-2</v>
      </c>
      <c r="G69" s="10" t="s">
        <v>26</v>
      </c>
      <c r="H69" s="11" t="s">
        <v>26</v>
      </c>
      <c r="I69" s="11" t="s">
        <v>26</v>
      </c>
      <c r="J69" s="11" t="s">
        <v>26</v>
      </c>
      <c r="K69" s="10">
        <v>52398247.490000002</v>
      </c>
      <c r="L69" s="11">
        <v>1.9134744160679999E-2</v>
      </c>
      <c r="M69" s="11">
        <v>0.08</v>
      </c>
      <c r="N69" s="11">
        <v>6.0900000000000003E-2</v>
      </c>
      <c r="O69" s="10" t="s">
        <v>26</v>
      </c>
      <c r="P69" s="11" t="s">
        <v>26</v>
      </c>
      <c r="Q69" s="11" t="s">
        <v>26</v>
      </c>
      <c r="R69" s="11" t="s">
        <v>26</v>
      </c>
      <c r="S69" s="10">
        <v>87177273.480000004</v>
      </c>
      <c r="T69" s="11">
        <v>8.0623525664000003E-4</v>
      </c>
      <c r="U69" s="11">
        <v>0.08</v>
      </c>
      <c r="V69" s="11">
        <v>7.9200000000000007E-2</v>
      </c>
      <c r="W69" s="10" t="s">
        <v>26</v>
      </c>
      <c r="X69" s="11" t="s">
        <v>26</v>
      </c>
      <c r="Y69" s="11" t="s">
        <v>26</v>
      </c>
      <c r="Z69" s="11" t="s">
        <v>26</v>
      </c>
      <c r="AA69" s="10" t="s">
        <v>26</v>
      </c>
      <c r="AB69" s="11" t="s">
        <v>26</v>
      </c>
      <c r="AC69" s="11" t="s">
        <v>26</v>
      </c>
      <c r="AD69" s="11" t="s">
        <v>26</v>
      </c>
      <c r="AE69" s="10">
        <v>223757267.90000001</v>
      </c>
      <c r="AF69" s="11">
        <v>3.6241738257000001E-4</v>
      </c>
      <c r="AG69" s="11">
        <v>0.08</v>
      </c>
      <c r="AH69" s="11">
        <v>7.9600000000000004E-2</v>
      </c>
      <c r="AI69" s="10" t="s">
        <v>26</v>
      </c>
      <c r="AJ69" s="11" t="s">
        <v>26</v>
      </c>
      <c r="AK69" s="11" t="s">
        <v>26</v>
      </c>
      <c r="AL69" s="11" t="s">
        <v>26</v>
      </c>
      <c r="AM69" s="10" t="s">
        <v>26</v>
      </c>
      <c r="AN69" s="11" t="s">
        <v>26</v>
      </c>
      <c r="AO69" s="11" t="s">
        <v>26</v>
      </c>
      <c r="AP69" s="11" t="s">
        <v>26</v>
      </c>
      <c r="AQ69" s="10" t="s">
        <v>26</v>
      </c>
      <c r="AR69" s="11" t="s">
        <v>26</v>
      </c>
      <c r="AS69" s="11" t="s">
        <v>26</v>
      </c>
      <c r="AT69" s="11" t="s">
        <v>26</v>
      </c>
      <c r="AU69" s="10" t="s">
        <v>26</v>
      </c>
      <c r="AV69" s="11" t="s">
        <v>26</v>
      </c>
      <c r="AW69" s="11" t="s">
        <v>26</v>
      </c>
      <c r="AX69" s="11" t="s">
        <v>26</v>
      </c>
      <c r="AY69" s="10">
        <v>223757267.90000001</v>
      </c>
      <c r="AZ69" s="11">
        <v>3.1916296781999998E-4</v>
      </c>
      <c r="BA69" s="11">
        <v>0.08</v>
      </c>
      <c r="BB69" s="11">
        <v>7.9699999999999993E-2</v>
      </c>
    </row>
    <row r="70" spans="1:54" s="7" customFormat="1">
      <c r="A70" s="3" t="s">
        <v>67</v>
      </c>
      <c r="B70" s="31" t="s">
        <v>56</v>
      </c>
      <c r="C70" s="2">
        <v>84181746.930000007</v>
      </c>
      <c r="D70" s="1">
        <v>1</v>
      </c>
      <c r="E70" s="1" t="s">
        <v>26</v>
      </c>
      <c r="F70" s="1" t="s">
        <v>26</v>
      </c>
      <c r="G70" s="2" t="s">
        <v>26</v>
      </c>
      <c r="H70" s="1" t="s">
        <v>26</v>
      </c>
      <c r="I70" s="1" t="s">
        <v>26</v>
      </c>
      <c r="J70" s="1" t="s">
        <v>26</v>
      </c>
      <c r="K70" s="2">
        <v>52398247.490000002</v>
      </c>
      <c r="L70" s="1">
        <v>1</v>
      </c>
      <c r="M70" s="1" t="s">
        <v>26</v>
      </c>
      <c r="N70" s="1" t="s">
        <v>26</v>
      </c>
      <c r="O70" s="2" t="s">
        <v>26</v>
      </c>
      <c r="P70" s="1" t="s">
        <v>26</v>
      </c>
      <c r="Q70" s="1" t="s">
        <v>26</v>
      </c>
      <c r="R70" s="1" t="s">
        <v>26</v>
      </c>
      <c r="S70" s="2">
        <v>87177273.480000004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223757267.90000001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223757267.90000001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66</v>
      </c>
      <c r="B71" s="24" t="s">
        <v>25</v>
      </c>
      <c r="C71" s="10" t="s">
        <v>26</v>
      </c>
      <c r="D71" s="11" t="s">
        <v>26</v>
      </c>
      <c r="E71" s="11" t="s">
        <v>26</v>
      </c>
      <c r="F71" s="11" t="s">
        <v>26</v>
      </c>
      <c r="G71" s="10">
        <v>200225650.84</v>
      </c>
      <c r="H71" s="11">
        <v>1.3840442589299999E-3</v>
      </c>
      <c r="I71" s="11">
        <v>0.08</v>
      </c>
      <c r="J71" s="11">
        <v>7.8600000000000003E-2</v>
      </c>
      <c r="K71" s="10">
        <v>81311474.890000001</v>
      </c>
      <c r="L71" s="11">
        <v>2.9693250134840001E-2</v>
      </c>
      <c r="M71" s="11">
        <v>0.08</v>
      </c>
      <c r="N71" s="11">
        <v>5.0299999999999997E-2</v>
      </c>
      <c r="O71" s="10">
        <v>164913194.13999999</v>
      </c>
      <c r="P71" s="11">
        <v>7.6175743550999998E-4</v>
      </c>
      <c r="Q71" s="11">
        <v>0.08</v>
      </c>
      <c r="R71" s="11">
        <v>7.9200000000000007E-2</v>
      </c>
      <c r="S71" s="10" t="s">
        <v>26</v>
      </c>
      <c r="T71" s="11" t="s">
        <v>26</v>
      </c>
      <c r="U71" s="11" t="s">
        <v>26</v>
      </c>
      <c r="V71" s="11" t="s">
        <v>26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>
        <v>41912071.920000002</v>
      </c>
      <c r="AB71" s="11">
        <v>3.1356867383999998E-4</v>
      </c>
      <c r="AC71" s="11">
        <v>0.08</v>
      </c>
      <c r="AD71" s="11">
        <v>7.9699999999999993E-2</v>
      </c>
      <c r="AE71" s="10">
        <v>488362391.79000002</v>
      </c>
      <c r="AF71" s="11">
        <v>7.9099562414999998E-4</v>
      </c>
      <c r="AG71" s="11">
        <v>0.08</v>
      </c>
      <c r="AH71" s="11">
        <v>7.9200000000000007E-2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10">
        <v>488362391.79000002</v>
      </c>
      <c r="AZ71" s="11">
        <v>6.9659051434999995E-4</v>
      </c>
      <c r="BA71" s="11">
        <v>0.08</v>
      </c>
      <c r="BB71" s="11">
        <v>7.9299999999999995E-2</v>
      </c>
    </row>
    <row r="72" spans="1:54" s="7" customFormat="1">
      <c r="A72" s="3" t="s">
        <v>67</v>
      </c>
      <c r="B72" s="31" t="s">
        <v>56</v>
      </c>
      <c r="C72" s="2" t="s">
        <v>26</v>
      </c>
      <c r="D72" s="1" t="s">
        <v>26</v>
      </c>
      <c r="E72" s="1" t="s">
        <v>26</v>
      </c>
      <c r="F72" s="1" t="s">
        <v>26</v>
      </c>
      <c r="G72" s="2">
        <v>200225650.84</v>
      </c>
      <c r="H72" s="1">
        <v>1</v>
      </c>
      <c r="I72" s="1" t="s">
        <v>26</v>
      </c>
      <c r="J72" s="1" t="s">
        <v>26</v>
      </c>
      <c r="K72" s="2">
        <v>81311474.890000001</v>
      </c>
      <c r="L72" s="1">
        <v>1</v>
      </c>
      <c r="M72" s="1" t="s">
        <v>26</v>
      </c>
      <c r="N72" s="1" t="s">
        <v>26</v>
      </c>
      <c r="O72" s="2">
        <v>164913194.13999999</v>
      </c>
      <c r="P72" s="1">
        <v>1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41912071.920000002</v>
      </c>
      <c r="AB72" s="1">
        <v>1</v>
      </c>
      <c r="AC72" s="1" t="s">
        <v>26</v>
      </c>
      <c r="AD72" s="1" t="s">
        <v>26</v>
      </c>
      <c r="AE72" s="2">
        <v>488362391.79000002</v>
      </c>
      <c r="AF72" s="1">
        <v>1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488362391.79000002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68</v>
      </c>
      <c r="B73" s="24" t="s">
        <v>25</v>
      </c>
      <c r="C73" s="10" t="s">
        <v>26</v>
      </c>
      <c r="D73" s="11" t="s">
        <v>26</v>
      </c>
      <c r="E73" s="11" t="s">
        <v>26</v>
      </c>
      <c r="F73" s="11" t="s">
        <v>26</v>
      </c>
      <c r="G73" s="10">
        <v>526722773.88</v>
      </c>
      <c r="H73" s="11">
        <v>3.6409302613099998E-3</v>
      </c>
      <c r="I73" s="11">
        <v>0.09</v>
      </c>
      <c r="J73" s="11">
        <v>8.6400000000000005E-2</v>
      </c>
      <c r="K73" s="10" t="s">
        <v>26</v>
      </c>
      <c r="L73" s="11" t="s">
        <v>26</v>
      </c>
      <c r="M73" s="11" t="s">
        <v>26</v>
      </c>
      <c r="N73" s="11" t="s">
        <v>26</v>
      </c>
      <c r="O73" s="10">
        <v>1157602005.6600001</v>
      </c>
      <c r="P73" s="11">
        <v>5.3471278618299999E-3</v>
      </c>
      <c r="Q73" s="11">
        <v>0.09</v>
      </c>
      <c r="R73" s="11">
        <v>8.4699999999999998E-2</v>
      </c>
      <c r="S73" s="10">
        <v>530187876.27999997</v>
      </c>
      <c r="T73" s="11">
        <v>4.9032980894999998E-3</v>
      </c>
      <c r="U73" s="11">
        <v>0.09</v>
      </c>
      <c r="V73" s="11">
        <v>8.5099999999999995E-2</v>
      </c>
      <c r="W73" s="10" t="s">
        <v>26</v>
      </c>
      <c r="X73" s="11" t="s">
        <v>26</v>
      </c>
      <c r="Y73" s="11" t="s">
        <v>26</v>
      </c>
      <c r="Z73" s="11" t="s">
        <v>26</v>
      </c>
      <c r="AA73" s="10">
        <v>1409363643.48</v>
      </c>
      <c r="AB73" s="11">
        <v>1.0544272053339999E-2</v>
      </c>
      <c r="AC73" s="11">
        <v>0.09</v>
      </c>
      <c r="AD73" s="11">
        <v>7.9500000000000001E-2</v>
      </c>
      <c r="AE73" s="10">
        <v>3623876299.3000002</v>
      </c>
      <c r="AF73" s="11">
        <v>5.8695557712499999E-3</v>
      </c>
      <c r="AG73" s="11">
        <v>0.09</v>
      </c>
      <c r="AH73" s="11">
        <v>8.4099999999999994E-2</v>
      </c>
      <c r="AI73" s="10">
        <v>98303036.780000001</v>
      </c>
      <c r="AJ73" s="11">
        <v>5.8676891005399997E-3</v>
      </c>
      <c r="AK73" s="11">
        <v>0.09</v>
      </c>
      <c r="AL73" s="11">
        <v>8.4099999999999994E-2</v>
      </c>
      <c r="AM73" s="10">
        <v>13820892.02</v>
      </c>
      <c r="AN73" s="11">
        <v>5.8788923780999996E-4</v>
      </c>
      <c r="AO73" s="11">
        <v>0.09</v>
      </c>
      <c r="AP73" s="11">
        <v>8.9399999999999993E-2</v>
      </c>
      <c r="AQ73" s="10">
        <v>112123928.8</v>
      </c>
      <c r="AR73" s="11">
        <v>2.7848140639699999E-3</v>
      </c>
      <c r="AS73" s="11">
        <v>0.09</v>
      </c>
      <c r="AT73" s="11">
        <v>8.72E-2</v>
      </c>
      <c r="AU73" s="10">
        <v>190678404.53</v>
      </c>
      <c r="AV73" s="11">
        <v>4.3924473951500002E-3</v>
      </c>
      <c r="AW73" s="11">
        <v>0.09</v>
      </c>
      <c r="AX73" s="11">
        <v>8.5599999999999996E-2</v>
      </c>
      <c r="AY73" s="10">
        <v>3926678632.6300001</v>
      </c>
      <c r="AZ73" s="11">
        <v>5.6009372023099998E-3</v>
      </c>
      <c r="BA73" s="11">
        <v>0.09</v>
      </c>
      <c r="BB73" s="11">
        <v>8.4400000000000003E-2</v>
      </c>
    </row>
    <row r="74" spans="1:54" s="7" customFormat="1">
      <c r="A74" s="3" t="s">
        <v>67</v>
      </c>
      <c r="B74" s="31" t="s">
        <v>37</v>
      </c>
      <c r="C74" s="2" t="s">
        <v>26</v>
      </c>
      <c r="D74" s="1" t="s">
        <v>26</v>
      </c>
      <c r="E74" s="1" t="s">
        <v>26</v>
      </c>
      <c r="F74" s="1" t="s">
        <v>26</v>
      </c>
      <c r="G74" s="2">
        <v>526722773.88</v>
      </c>
      <c r="H74" s="1">
        <v>1</v>
      </c>
      <c r="I74" s="1" t="s">
        <v>26</v>
      </c>
      <c r="J74" s="1" t="s">
        <v>26</v>
      </c>
      <c r="K74" s="2" t="s">
        <v>26</v>
      </c>
      <c r="L74" s="1" t="s">
        <v>26</v>
      </c>
      <c r="M74" s="1" t="s">
        <v>26</v>
      </c>
      <c r="N74" s="1" t="s">
        <v>26</v>
      </c>
      <c r="O74" s="2">
        <v>1157602005.6600001</v>
      </c>
      <c r="P74" s="1">
        <v>1</v>
      </c>
      <c r="Q74" s="1" t="s">
        <v>26</v>
      </c>
      <c r="R74" s="1" t="s">
        <v>26</v>
      </c>
      <c r="S74" s="2">
        <v>530187876.27999997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1409363643.48</v>
      </c>
      <c r="AB74" s="1">
        <v>1</v>
      </c>
      <c r="AC74" s="1" t="s">
        <v>26</v>
      </c>
      <c r="AD74" s="1" t="s">
        <v>26</v>
      </c>
      <c r="AE74" s="2">
        <v>3623876299.3000002</v>
      </c>
      <c r="AF74" s="1">
        <v>1</v>
      </c>
      <c r="AG74" s="1" t="s">
        <v>26</v>
      </c>
      <c r="AH74" s="1" t="s">
        <v>26</v>
      </c>
      <c r="AI74" s="2">
        <v>98303036.780000001</v>
      </c>
      <c r="AJ74" s="1">
        <v>1</v>
      </c>
      <c r="AK74" s="1" t="s">
        <v>26</v>
      </c>
      <c r="AL74" s="1" t="s">
        <v>26</v>
      </c>
      <c r="AM74" s="2">
        <v>13820892.02</v>
      </c>
      <c r="AN74" s="1">
        <v>1</v>
      </c>
      <c r="AO74" s="1" t="s">
        <v>26</v>
      </c>
      <c r="AP74" s="1" t="s">
        <v>26</v>
      </c>
      <c r="AQ74" s="2">
        <v>112123928.8</v>
      </c>
      <c r="AR74" s="1">
        <v>1</v>
      </c>
      <c r="AS74" s="1" t="s">
        <v>26</v>
      </c>
      <c r="AT74" s="1" t="s">
        <v>26</v>
      </c>
      <c r="AU74" s="2">
        <v>190678404.53</v>
      </c>
      <c r="AV74" s="1">
        <v>1</v>
      </c>
      <c r="AW74" s="1" t="s">
        <v>26</v>
      </c>
      <c r="AX74" s="1" t="s">
        <v>26</v>
      </c>
      <c r="AY74" s="2">
        <v>3926678632.6300001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69</v>
      </c>
      <c r="B75" s="24" t="s">
        <v>25</v>
      </c>
      <c r="C75" s="10">
        <v>310886554.88</v>
      </c>
      <c r="D75" s="11">
        <v>5.3964370503850001E-2</v>
      </c>
      <c r="E75" s="11">
        <v>0.08</v>
      </c>
      <c r="F75" s="11">
        <v>2.5999999999999999E-2</v>
      </c>
      <c r="G75" s="10">
        <v>464782729.60000002</v>
      </c>
      <c r="H75" s="11">
        <v>3.2127745164100001E-3</v>
      </c>
      <c r="I75" s="11">
        <v>0.08</v>
      </c>
      <c r="J75" s="11">
        <v>7.6799999999999993E-2</v>
      </c>
      <c r="K75" s="10">
        <v>164099408.97999999</v>
      </c>
      <c r="L75" s="11">
        <v>5.9925672291829997E-2</v>
      </c>
      <c r="M75" s="11">
        <v>0.08</v>
      </c>
      <c r="N75" s="11">
        <v>2.01E-2</v>
      </c>
      <c r="O75" s="10">
        <v>1445099716.25</v>
      </c>
      <c r="P75" s="11">
        <v>6.6751205665699998E-3</v>
      </c>
      <c r="Q75" s="11">
        <v>0.08</v>
      </c>
      <c r="R75" s="11">
        <v>7.3300000000000004E-2</v>
      </c>
      <c r="S75" s="10">
        <v>315527783.85000002</v>
      </c>
      <c r="T75" s="11">
        <v>2.9180727228100001E-3</v>
      </c>
      <c r="U75" s="11">
        <v>0.08</v>
      </c>
      <c r="V75" s="11">
        <v>7.7100000000000002E-2</v>
      </c>
      <c r="W75" s="10" t="s">
        <v>26</v>
      </c>
      <c r="X75" s="11" t="s">
        <v>26</v>
      </c>
      <c r="Y75" s="11" t="s">
        <v>26</v>
      </c>
      <c r="Z75" s="11" t="s">
        <v>26</v>
      </c>
      <c r="AA75" s="10" t="s">
        <v>26</v>
      </c>
      <c r="AB75" s="11" t="s">
        <v>26</v>
      </c>
      <c r="AC75" s="11" t="s">
        <v>26</v>
      </c>
      <c r="AD75" s="11" t="s">
        <v>26</v>
      </c>
      <c r="AE75" s="10">
        <v>2700396193.5599999</v>
      </c>
      <c r="AF75" s="11">
        <v>4.37380438886E-3</v>
      </c>
      <c r="AG75" s="11">
        <v>0.08</v>
      </c>
      <c r="AH75" s="11">
        <v>7.5600000000000001E-2</v>
      </c>
      <c r="AI75" s="10" t="s">
        <v>26</v>
      </c>
      <c r="AJ75" s="11" t="s">
        <v>26</v>
      </c>
      <c r="AK75" s="11" t="s">
        <v>26</v>
      </c>
      <c r="AL75" s="11" t="s">
        <v>26</v>
      </c>
      <c r="AM75" s="10" t="s">
        <v>26</v>
      </c>
      <c r="AN75" s="11" t="s">
        <v>26</v>
      </c>
      <c r="AO75" s="11" t="s">
        <v>26</v>
      </c>
      <c r="AP75" s="11" t="s">
        <v>26</v>
      </c>
      <c r="AQ75" s="10" t="s">
        <v>26</v>
      </c>
      <c r="AR75" s="11" t="s">
        <v>26</v>
      </c>
      <c r="AS75" s="11" t="s">
        <v>26</v>
      </c>
      <c r="AT75" s="11" t="s">
        <v>26</v>
      </c>
      <c r="AU75" s="10" t="s">
        <v>26</v>
      </c>
      <c r="AV75" s="11" t="s">
        <v>26</v>
      </c>
      <c r="AW75" s="11" t="s">
        <v>26</v>
      </c>
      <c r="AX75" s="11" t="s">
        <v>26</v>
      </c>
      <c r="AY75" s="10">
        <v>2700396193.5599999</v>
      </c>
      <c r="AZ75" s="11">
        <v>3.8517920401800001E-3</v>
      </c>
      <c r="BA75" s="11">
        <v>0.08</v>
      </c>
      <c r="BB75" s="11">
        <v>7.6100000000000001E-2</v>
      </c>
    </row>
    <row r="76" spans="1:54" s="7" customFormat="1">
      <c r="A76" s="3" t="s">
        <v>67</v>
      </c>
      <c r="B76" s="31" t="s">
        <v>56</v>
      </c>
      <c r="C76" s="2">
        <v>310886554.88</v>
      </c>
      <c r="D76" s="1">
        <v>1</v>
      </c>
      <c r="E76" s="1" t="s">
        <v>26</v>
      </c>
      <c r="F76" s="1" t="s">
        <v>26</v>
      </c>
      <c r="G76" s="2">
        <v>464782729.60000002</v>
      </c>
      <c r="H76" s="1">
        <v>1</v>
      </c>
      <c r="I76" s="1" t="s">
        <v>26</v>
      </c>
      <c r="J76" s="1" t="s">
        <v>26</v>
      </c>
      <c r="K76" s="2">
        <v>164099408.97999999</v>
      </c>
      <c r="L76" s="1">
        <v>1</v>
      </c>
      <c r="M76" s="1" t="s">
        <v>26</v>
      </c>
      <c r="N76" s="1" t="s">
        <v>26</v>
      </c>
      <c r="O76" s="2">
        <v>1445099716.25</v>
      </c>
      <c r="P76" s="1">
        <v>1</v>
      </c>
      <c r="Q76" s="1" t="s">
        <v>26</v>
      </c>
      <c r="R76" s="1" t="s">
        <v>26</v>
      </c>
      <c r="S76" s="2">
        <v>315527783.85000002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2700396193.5599999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 t="s">
        <v>26</v>
      </c>
      <c r="AR76" s="1" t="s">
        <v>26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2700396193.5599999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70</v>
      </c>
      <c r="B77" s="24" t="s">
        <v>25</v>
      </c>
      <c r="C77" s="10" t="s">
        <v>26</v>
      </c>
      <c r="D77" s="11" t="s">
        <v>26</v>
      </c>
      <c r="E77" s="11" t="s">
        <v>26</v>
      </c>
      <c r="F77" s="11" t="s">
        <v>26</v>
      </c>
      <c r="G77" s="10">
        <v>2396700916.4299998</v>
      </c>
      <c r="H77" s="11">
        <v>1.6567008921350001E-2</v>
      </c>
      <c r="I77" s="11">
        <v>0.09</v>
      </c>
      <c r="J77" s="11">
        <v>7.3400000000000007E-2</v>
      </c>
      <c r="K77" s="10" t="s">
        <v>26</v>
      </c>
      <c r="L77" s="11" t="s">
        <v>26</v>
      </c>
      <c r="M77" s="11" t="s">
        <v>26</v>
      </c>
      <c r="N77" s="11" t="s">
        <v>26</v>
      </c>
      <c r="O77" s="10">
        <v>2252210169.5999999</v>
      </c>
      <c r="P77" s="11">
        <v>1.040327823352E-2</v>
      </c>
      <c r="Q77" s="11">
        <v>0.09</v>
      </c>
      <c r="R77" s="11">
        <v>7.9600000000000004E-2</v>
      </c>
      <c r="S77" s="10">
        <v>1407731020.27</v>
      </c>
      <c r="T77" s="11">
        <v>1.301901671281E-2</v>
      </c>
      <c r="U77" s="11">
        <v>0.09</v>
      </c>
      <c r="V77" s="11">
        <v>7.6999999999999999E-2</v>
      </c>
      <c r="W77" s="10" t="s">
        <v>26</v>
      </c>
      <c r="X77" s="11" t="s">
        <v>26</v>
      </c>
      <c r="Y77" s="11" t="s">
        <v>26</v>
      </c>
      <c r="Z77" s="11" t="s">
        <v>26</v>
      </c>
      <c r="AA77" s="10">
        <v>1871999765.8299999</v>
      </c>
      <c r="AB77" s="11">
        <v>1.4005522922369999E-2</v>
      </c>
      <c r="AC77" s="11">
        <v>0.09</v>
      </c>
      <c r="AD77" s="11">
        <v>7.5999999999999998E-2</v>
      </c>
      <c r="AE77" s="10">
        <v>7928641872.1300001</v>
      </c>
      <c r="AF77" s="11">
        <v>1.2841941008769999E-2</v>
      </c>
      <c r="AG77" s="11">
        <v>0.09</v>
      </c>
      <c r="AH77" s="11">
        <v>7.7200000000000005E-2</v>
      </c>
      <c r="AI77" s="10">
        <v>16583649.43</v>
      </c>
      <c r="AJ77" s="11">
        <v>9.8987480138000008E-4</v>
      </c>
      <c r="AK77" s="11">
        <v>0.09</v>
      </c>
      <c r="AL77" s="11">
        <v>8.8999999999999996E-2</v>
      </c>
      <c r="AM77" s="10">
        <v>118674074.41</v>
      </c>
      <c r="AN77" s="11">
        <v>5.0479528420600004E-3</v>
      </c>
      <c r="AO77" s="11">
        <v>0.09</v>
      </c>
      <c r="AP77" s="11">
        <v>8.5000000000000006E-2</v>
      </c>
      <c r="AQ77" s="10">
        <v>135257723.84</v>
      </c>
      <c r="AR77" s="11">
        <v>3.3593864899500001E-3</v>
      </c>
      <c r="AS77" s="11">
        <v>0.09</v>
      </c>
      <c r="AT77" s="11">
        <v>8.6599999999999996E-2</v>
      </c>
      <c r="AU77" s="10">
        <v>490362002.85000002</v>
      </c>
      <c r="AV77" s="11">
        <v>1.1295926811480001E-2</v>
      </c>
      <c r="AW77" s="11">
        <v>0.09</v>
      </c>
      <c r="AX77" s="11">
        <v>7.8700000000000006E-2</v>
      </c>
      <c r="AY77" s="10">
        <v>8554261598.8199997</v>
      </c>
      <c r="AZ77" s="11">
        <v>1.22016305661E-2</v>
      </c>
      <c r="BA77" s="11">
        <v>0.09</v>
      </c>
      <c r="BB77" s="11">
        <v>7.7799999999999994E-2</v>
      </c>
    </row>
    <row r="78" spans="1:54" s="7" customFormat="1">
      <c r="A78" s="3" t="s">
        <v>67</v>
      </c>
      <c r="B78" s="31" t="s">
        <v>37</v>
      </c>
      <c r="C78" s="2" t="s">
        <v>26</v>
      </c>
      <c r="D78" s="1" t="s">
        <v>26</v>
      </c>
      <c r="E78" s="1" t="s">
        <v>26</v>
      </c>
      <c r="F78" s="1" t="s">
        <v>26</v>
      </c>
      <c r="G78" s="2">
        <v>2396700916.4299998</v>
      </c>
      <c r="H78" s="1">
        <v>1</v>
      </c>
      <c r="I78" s="1" t="s">
        <v>26</v>
      </c>
      <c r="J78" s="1" t="s">
        <v>26</v>
      </c>
      <c r="K78" s="2" t="s">
        <v>26</v>
      </c>
      <c r="L78" s="1" t="s">
        <v>26</v>
      </c>
      <c r="M78" s="1" t="s">
        <v>26</v>
      </c>
      <c r="N78" s="1" t="s">
        <v>26</v>
      </c>
      <c r="O78" s="2">
        <v>2252210169.5999999</v>
      </c>
      <c r="P78" s="1">
        <v>1</v>
      </c>
      <c r="Q78" s="1" t="s">
        <v>26</v>
      </c>
      <c r="R78" s="1" t="s">
        <v>26</v>
      </c>
      <c r="S78" s="2">
        <v>1407731020.27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>
        <v>1871999765.8299999</v>
      </c>
      <c r="AB78" s="1">
        <v>1</v>
      </c>
      <c r="AC78" s="1" t="s">
        <v>26</v>
      </c>
      <c r="AD78" s="1" t="s">
        <v>26</v>
      </c>
      <c r="AE78" s="2">
        <v>7928641872.1300001</v>
      </c>
      <c r="AF78" s="1">
        <v>1</v>
      </c>
      <c r="AG78" s="1" t="s">
        <v>26</v>
      </c>
      <c r="AH78" s="1" t="s">
        <v>26</v>
      </c>
      <c r="AI78" s="2">
        <v>16583649.43</v>
      </c>
      <c r="AJ78" s="1">
        <v>1</v>
      </c>
      <c r="AK78" s="1" t="s">
        <v>26</v>
      </c>
      <c r="AL78" s="1" t="s">
        <v>26</v>
      </c>
      <c r="AM78" s="2">
        <v>118674074.41</v>
      </c>
      <c r="AN78" s="1">
        <v>1</v>
      </c>
      <c r="AO78" s="1" t="s">
        <v>26</v>
      </c>
      <c r="AP78" s="1" t="s">
        <v>26</v>
      </c>
      <c r="AQ78" s="2">
        <v>135257723.84</v>
      </c>
      <c r="AR78" s="1">
        <v>1</v>
      </c>
      <c r="AS78" s="1" t="s">
        <v>26</v>
      </c>
      <c r="AT78" s="1" t="s">
        <v>26</v>
      </c>
      <c r="AU78" s="2">
        <v>490362002.85000002</v>
      </c>
      <c r="AV78" s="1">
        <v>1</v>
      </c>
      <c r="AW78" s="1" t="s">
        <v>26</v>
      </c>
      <c r="AX78" s="1" t="s">
        <v>26</v>
      </c>
      <c r="AY78" s="2">
        <v>8554261598.8199997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71</v>
      </c>
      <c r="B79" s="24" t="s">
        <v>25</v>
      </c>
      <c r="C79" s="10">
        <v>87761859.890000001</v>
      </c>
      <c r="D79" s="11">
        <v>1.523389625209E-2</v>
      </c>
      <c r="E79" s="11">
        <v>0.08</v>
      </c>
      <c r="F79" s="11">
        <v>6.4799999999999996E-2</v>
      </c>
      <c r="G79" s="10">
        <v>223229337.93000001</v>
      </c>
      <c r="H79" s="11">
        <v>1.5430554591300001E-3</v>
      </c>
      <c r="I79" s="11">
        <v>0.08</v>
      </c>
      <c r="J79" s="11">
        <v>7.85E-2</v>
      </c>
      <c r="K79" s="10">
        <v>105638037.02</v>
      </c>
      <c r="L79" s="11">
        <v>3.8576801874919998E-2</v>
      </c>
      <c r="M79" s="11">
        <v>0.08</v>
      </c>
      <c r="N79" s="11">
        <v>4.1399999999999999E-2</v>
      </c>
      <c r="O79" s="10">
        <v>2753218834.5500002</v>
      </c>
      <c r="P79" s="11">
        <v>1.2717508321470001E-2</v>
      </c>
      <c r="Q79" s="11">
        <v>0.08</v>
      </c>
      <c r="R79" s="11">
        <v>6.7299999999999999E-2</v>
      </c>
      <c r="S79" s="10">
        <v>2904454935.8000002</v>
      </c>
      <c r="T79" s="11">
        <v>2.6861059965510001E-2</v>
      </c>
      <c r="U79" s="11">
        <v>0.08</v>
      </c>
      <c r="V79" s="11">
        <v>5.3100000000000001E-2</v>
      </c>
      <c r="W79" s="10" t="s">
        <v>26</v>
      </c>
      <c r="X79" s="11" t="s">
        <v>26</v>
      </c>
      <c r="Y79" s="11" t="s">
        <v>26</v>
      </c>
      <c r="Z79" s="11" t="s">
        <v>26</v>
      </c>
      <c r="AA79" s="10">
        <v>1892375924.25</v>
      </c>
      <c r="AB79" s="11">
        <v>1.415796885694E-2</v>
      </c>
      <c r="AC79" s="11">
        <v>0.08</v>
      </c>
      <c r="AD79" s="11">
        <v>6.5799999999999997E-2</v>
      </c>
      <c r="AE79" s="10">
        <v>7966678929.4399996</v>
      </c>
      <c r="AF79" s="11">
        <v>1.290354924559E-2</v>
      </c>
      <c r="AG79" s="11">
        <v>0.08</v>
      </c>
      <c r="AH79" s="11">
        <v>6.7100000000000007E-2</v>
      </c>
      <c r="AI79" s="10">
        <v>619063951.47000003</v>
      </c>
      <c r="AJ79" s="11">
        <v>3.695180657246E-2</v>
      </c>
      <c r="AK79" s="11">
        <v>0.08</v>
      </c>
      <c r="AL79" s="11">
        <v>4.2999999999999997E-2</v>
      </c>
      <c r="AM79" s="10">
        <v>1696888316.0699999</v>
      </c>
      <c r="AN79" s="11">
        <v>7.2179304876379996E-2</v>
      </c>
      <c r="AO79" s="11">
        <v>0.08</v>
      </c>
      <c r="AP79" s="11">
        <v>7.7999999999999996E-3</v>
      </c>
      <c r="AQ79" s="10">
        <v>2315952267.54</v>
      </c>
      <c r="AR79" s="11">
        <v>5.7521142142999998E-2</v>
      </c>
      <c r="AS79" s="11">
        <v>0.08</v>
      </c>
      <c r="AT79" s="11">
        <v>2.2499999999999999E-2</v>
      </c>
      <c r="AU79" s="10">
        <v>714656042.69000006</v>
      </c>
      <c r="AV79" s="11">
        <v>1.6462740397280001E-2</v>
      </c>
      <c r="AW79" s="11">
        <v>0.08</v>
      </c>
      <c r="AX79" s="11">
        <v>6.3500000000000001E-2</v>
      </c>
      <c r="AY79" s="10">
        <v>10997287239.67</v>
      </c>
      <c r="AZ79" s="11">
        <v>1.5686314309840001E-2</v>
      </c>
      <c r="BA79" s="11">
        <v>0.08</v>
      </c>
      <c r="BB79" s="11">
        <v>6.4299999999999996E-2</v>
      </c>
    </row>
    <row r="80" spans="1:54" s="7" customFormat="1">
      <c r="A80" s="3" t="s">
        <v>67</v>
      </c>
      <c r="B80" s="31" t="s">
        <v>56</v>
      </c>
      <c r="C80" s="2">
        <v>87761859.890000001</v>
      </c>
      <c r="D80" s="1">
        <v>1</v>
      </c>
      <c r="E80" s="1" t="s">
        <v>26</v>
      </c>
      <c r="F80" s="1" t="s">
        <v>26</v>
      </c>
      <c r="G80" s="2">
        <v>223229337.93000001</v>
      </c>
      <c r="H80" s="1">
        <v>1</v>
      </c>
      <c r="I80" s="1" t="s">
        <v>26</v>
      </c>
      <c r="J80" s="1" t="s">
        <v>26</v>
      </c>
      <c r="K80" s="2">
        <v>105638037.02</v>
      </c>
      <c r="L80" s="1">
        <v>1</v>
      </c>
      <c r="M80" s="1" t="s">
        <v>26</v>
      </c>
      <c r="N80" s="1" t="s">
        <v>26</v>
      </c>
      <c r="O80" s="2">
        <v>2753218834.5500002</v>
      </c>
      <c r="P80" s="1">
        <v>1</v>
      </c>
      <c r="Q80" s="1" t="s">
        <v>26</v>
      </c>
      <c r="R80" s="1" t="s">
        <v>26</v>
      </c>
      <c r="S80" s="2">
        <v>2904454935.8000002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>
        <v>1892375924.25</v>
      </c>
      <c r="AB80" s="1">
        <v>1</v>
      </c>
      <c r="AC80" s="1" t="s">
        <v>26</v>
      </c>
      <c r="AD80" s="1" t="s">
        <v>26</v>
      </c>
      <c r="AE80" s="2">
        <v>7966678929.4399996</v>
      </c>
      <c r="AF80" s="1">
        <v>1</v>
      </c>
      <c r="AG80" s="1" t="s">
        <v>26</v>
      </c>
      <c r="AH80" s="1" t="s">
        <v>26</v>
      </c>
      <c r="AI80" s="2">
        <v>619063951.47000003</v>
      </c>
      <c r="AJ80" s="1">
        <v>1</v>
      </c>
      <c r="AK80" s="1" t="s">
        <v>26</v>
      </c>
      <c r="AL80" s="1" t="s">
        <v>26</v>
      </c>
      <c r="AM80" s="2">
        <v>1696888316.0699999</v>
      </c>
      <c r="AN80" s="1">
        <v>1</v>
      </c>
      <c r="AO80" s="1" t="s">
        <v>26</v>
      </c>
      <c r="AP80" s="1" t="s">
        <v>26</v>
      </c>
      <c r="AQ80" s="2">
        <v>2315952267.54</v>
      </c>
      <c r="AR80" s="1">
        <v>1</v>
      </c>
      <c r="AS80" s="1" t="s">
        <v>26</v>
      </c>
      <c r="AT80" s="1" t="s">
        <v>26</v>
      </c>
      <c r="AU80" s="2">
        <v>714656042.69000006</v>
      </c>
      <c r="AV80" s="1">
        <v>1</v>
      </c>
      <c r="AW80" s="1" t="s">
        <v>26</v>
      </c>
      <c r="AX80" s="1" t="s">
        <v>26</v>
      </c>
      <c r="AY80" s="2">
        <v>10997287239.67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72</v>
      </c>
      <c r="B81" s="24" t="s">
        <v>25</v>
      </c>
      <c r="C81" s="10">
        <v>91528762.849999994</v>
      </c>
      <c r="D81" s="11">
        <v>1.5887763535170001E-2</v>
      </c>
      <c r="E81" s="11">
        <v>0.08</v>
      </c>
      <c r="F81" s="11">
        <v>6.4100000000000004E-2</v>
      </c>
      <c r="G81" s="10">
        <v>876326148.5</v>
      </c>
      <c r="H81" s="11">
        <v>6.0575364329699998E-3</v>
      </c>
      <c r="I81" s="11">
        <v>0.08</v>
      </c>
      <c r="J81" s="11">
        <v>7.3899999999999993E-2</v>
      </c>
      <c r="K81" s="10">
        <v>107271789.04000001</v>
      </c>
      <c r="L81" s="11">
        <v>3.9173413945399999E-2</v>
      </c>
      <c r="M81" s="11">
        <v>0.08</v>
      </c>
      <c r="N81" s="11">
        <v>4.0800000000000003E-2</v>
      </c>
      <c r="O81" s="10">
        <v>1867601346.1400001</v>
      </c>
      <c r="P81" s="11">
        <v>8.6267155239100005E-3</v>
      </c>
      <c r="Q81" s="11">
        <v>0.08</v>
      </c>
      <c r="R81" s="11">
        <v>7.1400000000000005E-2</v>
      </c>
      <c r="S81" s="10" t="s">
        <v>26</v>
      </c>
      <c r="T81" s="11" t="s">
        <v>26</v>
      </c>
      <c r="U81" s="11" t="s">
        <v>26</v>
      </c>
      <c r="V81" s="11" t="s">
        <v>26</v>
      </c>
      <c r="W81" s="10" t="s">
        <v>26</v>
      </c>
      <c r="X81" s="11" t="s">
        <v>26</v>
      </c>
      <c r="Y81" s="11" t="s">
        <v>26</v>
      </c>
      <c r="Z81" s="11" t="s">
        <v>26</v>
      </c>
      <c r="AA81" s="10" t="s">
        <v>26</v>
      </c>
      <c r="AB81" s="11" t="s">
        <v>26</v>
      </c>
      <c r="AC81" s="11" t="s">
        <v>26</v>
      </c>
      <c r="AD81" s="11" t="s">
        <v>26</v>
      </c>
      <c r="AE81" s="10">
        <v>2942728046.5300002</v>
      </c>
      <c r="AF81" s="11">
        <v>4.7663068389100002E-3</v>
      </c>
      <c r="AG81" s="11">
        <v>0.08</v>
      </c>
      <c r="AH81" s="11">
        <v>7.5200000000000003E-2</v>
      </c>
      <c r="AI81" s="10" t="s">
        <v>26</v>
      </c>
      <c r="AJ81" s="11" t="s">
        <v>26</v>
      </c>
      <c r="AK81" s="11" t="s">
        <v>26</v>
      </c>
      <c r="AL81" s="11" t="s">
        <v>26</v>
      </c>
      <c r="AM81" s="10">
        <v>371764973.08999997</v>
      </c>
      <c r="AN81" s="11">
        <v>1.5813496433969999E-2</v>
      </c>
      <c r="AO81" s="11">
        <v>0.08</v>
      </c>
      <c r="AP81" s="11">
        <v>6.4199999999999993E-2</v>
      </c>
      <c r="AQ81" s="10">
        <v>371764973.08999997</v>
      </c>
      <c r="AR81" s="11">
        <v>9.2335002584499996E-3</v>
      </c>
      <c r="AS81" s="11">
        <v>0.08</v>
      </c>
      <c r="AT81" s="11">
        <v>7.0800000000000002E-2</v>
      </c>
      <c r="AU81" s="10" t="s">
        <v>26</v>
      </c>
      <c r="AV81" s="11" t="s">
        <v>26</v>
      </c>
      <c r="AW81" s="11" t="s">
        <v>26</v>
      </c>
      <c r="AX81" s="11" t="s">
        <v>26</v>
      </c>
      <c r="AY81" s="10">
        <v>3314493019.6199999</v>
      </c>
      <c r="AZ81" s="11">
        <v>4.7277276795999997E-3</v>
      </c>
      <c r="BA81" s="11">
        <v>0.08</v>
      </c>
      <c r="BB81" s="11">
        <v>7.5300000000000006E-2</v>
      </c>
    </row>
    <row r="82" spans="1:54" s="7" customFormat="1">
      <c r="A82" s="3" t="s">
        <v>67</v>
      </c>
      <c r="B82" s="31" t="s">
        <v>56</v>
      </c>
      <c r="C82" s="2">
        <v>91528762.849999994</v>
      </c>
      <c r="D82" s="1">
        <v>1</v>
      </c>
      <c r="E82" s="1" t="s">
        <v>26</v>
      </c>
      <c r="F82" s="1" t="s">
        <v>26</v>
      </c>
      <c r="G82" s="2">
        <v>876326148.5</v>
      </c>
      <c r="H82" s="1">
        <v>1</v>
      </c>
      <c r="I82" s="1" t="s">
        <v>26</v>
      </c>
      <c r="J82" s="1" t="s">
        <v>26</v>
      </c>
      <c r="K82" s="2">
        <v>107271789.04000001</v>
      </c>
      <c r="L82" s="1">
        <v>1</v>
      </c>
      <c r="M82" s="1" t="s">
        <v>26</v>
      </c>
      <c r="N82" s="1" t="s">
        <v>26</v>
      </c>
      <c r="O82" s="2">
        <v>1867601346.1400001</v>
      </c>
      <c r="P82" s="1">
        <v>1</v>
      </c>
      <c r="Q82" s="1" t="s">
        <v>26</v>
      </c>
      <c r="R82" s="1" t="s">
        <v>26</v>
      </c>
      <c r="S82" s="2" t="s">
        <v>26</v>
      </c>
      <c r="T82" s="1" t="s">
        <v>26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2942728046.5300002</v>
      </c>
      <c r="AF82" s="1">
        <v>1</v>
      </c>
      <c r="AG82" s="1" t="s">
        <v>26</v>
      </c>
      <c r="AH82" s="1" t="s">
        <v>26</v>
      </c>
      <c r="AI82" s="2" t="s">
        <v>26</v>
      </c>
      <c r="AJ82" s="1" t="s">
        <v>26</v>
      </c>
      <c r="AK82" s="1" t="s">
        <v>26</v>
      </c>
      <c r="AL82" s="1" t="s">
        <v>26</v>
      </c>
      <c r="AM82" s="2">
        <v>371764973.08999997</v>
      </c>
      <c r="AN82" s="1">
        <v>1</v>
      </c>
      <c r="AO82" s="1" t="s">
        <v>26</v>
      </c>
      <c r="AP82" s="1" t="s">
        <v>26</v>
      </c>
      <c r="AQ82" s="2">
        <v>371764973.08999997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3314493019.6199999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73</v>
      </c>
      <c r="B83" s="24" t="s">
        <v>25</v>
      </c>
      <c r="C83" s="10">
        <v>90279440.730000004</v>
      </c>
      <c r="D83" s="11">
        <v>1.567090345967E-2</v>
      </c>
      <c r="E83" s="11">
        <v>0.06</v>
      </c>
      <c r="F83" s="11">
        <v>4.4299999999999999E-2</v>
      </c>
      <c r="G83" s="10">
        <v>417040958.38999999</v>
      </c>
      <c r="H83" s="11">
        <v>2.8827632312599999E-3</v>
      </c>
      <c r="I83" s="11">
        <v>0.06</v>
      </c>
      <c r="J83" s="11">
        <v>5.7099999999999998E-2</v>
      </c>
      <c r="K83" s="10">
        <v>33719454.280000001</v>
      </c>
      <c r="L83" s="11">
        <v>1.231363951645E-2</v>
      </c>
      <c r="M83" s="11">
        <v>0.06</v>
      </c>
      <c r="N83" s="11">
        <v>4.7699999999999999E-2</v>
      </c>
      <c r="O83" s="10">
        <v>406932796.26999998</v>
      </c>
      <c r="P83" s="11">
        <v>1.87968030652E-3</v>
      </c>
      <c r="Q83" s="11">
        <v>0.06</v>
      </c>
      <c r="R83" s="11">
        <v>5.8099999999999999E-2</v>
      </c>
      <c r="S83" s="10">
        <v>129703059.94</v>
      </c>
      <c r="T83" s="11">
        <v>1.19952340379E-3</v>
      </c>
      <c r="U83" s="11">
        <v>0.06</v>
      </c>
      <c r="V83" s="11">
        <v>5.8799999999999998E-2</v>
      </c>
      <c r="W83" s="10" t="s">
        <v>26</v>
      </c>
      <c r="X83" s="11" t="s">
        <v>26</v>
      </c>
      <c r="Y83" s="11" t="s">
        <v>26</v>
      </c>
      <c r="Z83" s="11" t="s">
        <v>26</v>
      </c>
      <c r="AA83" s="10">
        <v>103832307.59999999</v>
      </c>
      <c r="AB83" s="11">
        <v>7.768300994E-4</v>
      </c>
      <c r="AC83" s="11">
        <v>0.06</v>
      </c>
      <c r="AD83" s="11">
        <v>5.9200000000000003E-2</v>
      </c>
      <c r="AE83" s="10">
        <v>1181508017.21</v>
      </c>
      <c r="AF83" s="11">
        <v>1.91367657956E-3</v>
      </c>
      <c r="AG83" s="11">
        <v>0.06</v>
      </c>
      <c r="AH83" s="11">
        <v>5.8099999999999999E-2</v>
      </c>
      <c r="AI83" s="10">
        <v>270955937.25</v>
      </c>
      <c r="AJ83" s="11">
        <v>1.6173307069719998E-2</v>
      </c>
      <c r="AK83" s="11">
        <v>0.06</v>
      </c>
      <c r="AL83" s="11">
        <v>4.3799999999999999E-2</v>
      </c>
      <c r="AM83" s="10" t="s">
        <v>26</v>
      </c>
      <c r="AN83" s="11" t="s">
        <v>26</v>
      </c>
      <c r="AO83" s="11" t="s">
        <v>26</v>
      </c>
      <c r="AP83" s="11" t="s">
        <v>26</v>
      </c>
      <c r="AQ83" s="10">
        <v>270955937.25</v>
      </c>
      <c r="AR83" s="11">
        <v>6.7297133880900003E-3</v>
      </c>
      <c r="AS83" s="11">
        <v>0.06</v>
      </c>
      <c r="AT83" s="11">
        <v>5.33E-2</v>
      </c>
      <c r="AU83" s="10" t="s">
        <v>26</v>
      </c>
      <c r="AV83" s="11" t="s">
        <v>26</v>
      </c>
      <c r="AW83" s="11" t="s">
        <v>26</v>
      </c>
      <c r="AX83" s="11" t="s">
        <v>26</v>
      </c>
      <c r="AY83" s="10">
        <v>1452463954.46</v>
      </c>
      <c r="AZ83" s="11">
        <v>2.0717660289200001E-3</v>
      </c>
      <c r="BA83" s="11">
        <v>0.06</v>
      </c>
      <c r="BB83" s="11">
        <v>5.79E-2</v>
      </c>
    </row>
    <row r="84" spans="1:54" s="7" customFormat="1">
      <c r="A84" s="3" t="s">
        <v>67</v>
      </c>
      <c r="B84" s="31" t="s">
        <v>46</v>
      </c>
      <c r="C84" s="2">
        <v>90279440.730000004</v>
      </c>
      <c r="D84" s="1">
        <v>1</v>
      </c>
      <c r="E84" s="1" t="s">
        <v>26</v>
      </c>
      <c r="F84" s="1" t="s">
        <v>26</v>
      </c>
      <c r="G84" s="2">
        <v>417040958.38999999</v>
      </c>
      <c r="H84" s="1">
        <v>1</v>
      </c>
      <c r="I84" s="1" t="s">
        <v>26</v>
      </c>
      <c r="J84" s="1" t="s">
        <v>26</v>
      </c>
      <c r="K84" s="2">
        <v>33719454.280000001</v>
      </c>
      <c r="L84" s="1">
        <v>1</v>
      </c>
      <c r="M84" s="1" t="s">
        <v>26</v>
      </c>
      <c r="N84" s="1" t="s">
        <v>26</v>
      </c>
      <c r="O84" s="2">
        <v>406932796.26999998</v>
      </c>
      <c r="P84" s="1">
        <v>1</v>
      </c>
      <c r="Q84" s="1" t="s">
        <v>26</v>
      </c>
      <c r="R84" s="1" t="s">
        <v>26</v>
      </c>
      <c r="S84" s="2">
        <v>129703059.94</v>
      </c>
      <c r="T84" s="1">
        <v>1</v>
      </c>
      <c r="U84" s="1" t="s">
        <v>26</v>
      </c>
      <c r="V84" s="1" t="s">
        <v>26</v>
      </c>
      <c r="W84" s="2" t="s">
        <v>26</v>
      </c>
      <c r="X84" s="1" t="s">
        <v>26</v>
      </c>
      <c r="Y84" s="1" t="s">
        <v>26</v>
      </c>
      <c r="Z84" s="1" t="s">
        <v>26</v>
      </c>
      <c r="AA84" s="2">
        <v>103832307.59999999</v>
      </c>
      <c r="AB84" s="1">
        <v>1</v>
      </c>
      <c r="AC84" s="1" t="s">
        <v>26</v>
      </c>
      <c r="AD84" s="1" t="s">
        <v>26</v>
      </c>
      <c r="AE84" s="2">
        <v>1181508017.21</v>
      </c>
      <c r="AF84" s="1">
        <v>1</v>
      </c>
      <c r="AG84" s="1" t="s">
        <v>26</v>
      </c>
      <c r="AH84" s="1" t="s">
        <v>26</v>
      </c>
      <c r="AI84" s="2">
        <v>270955937.25</v>
      </c>
      <c r="AJ84" s="1">
        <v>1</v>
      </c>
      <c r="AK84" s="1" t="s">
        <v>26</v>
      </c>
      <c r="AL84" s="1" t="s">
        <v>26</v>
      </c>
      <c r="AM84" s="2" t="s">
        <v>26</v>
      </c>
      <c r="AN84" s="1" t="s">
        <v>26</v>
      </c>
      <c r="AO84" s="1" t="s">
        <v>26</v>
      </c>
      <c r="AP84" s="1" t="s">
        <v>26</v>
      </c>
      <c r="AQ84" s="2">
        <v>270955937.25</v>
      </c>
      <c r="AR84" s="1">
        <v>1</v>
      </c>
      <c r="AS84" s="1" t="s">
        <v>26</v>
      </c>
      <c r="AT84" s="1" t="s">
        <v>26</v>
      </c>
      <c r="AU84" s="2" t="s">
        <v>26</v>
      </c>
      <c r="AV84" s="1" t="s">
        <v>26</v>
      </c>
      <c r="AW84" s="1" t="s">
        <v>26</v>
      </c>
      <c r="AX84" s="1" t="s">
        <v>26</v>
      </c>
      <c r="AY84" s="2">
        <v>1452463954.46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74</v>
      </c>
      <c r="B85" s="24" t="s">
        <v>25</v>
      </c>
      <c r="C85" s="10">
        <v>12872837.529999999</v>
      </c>
      <c r="D85" s="11">
        <v>2.23449539068E-3</v>
      </c>
      <c r="E85" s="11">
        <v>0.06</v>
      </c>
      <c r="F85" s="11">
        <v>5.7799999999999997E-2</v>
      </c>
      <c r="G85" s="10">
        <v>635387433.79999995</v>
      </c>
      <c r="H85" s="11">
        <v>4.3920662825E-3</v>
      </c>
      <c r="I85" s="11">
        <v>0.06</v>
      </c>
      <c r="J85" s="11">
        <v>5.5599999999999997E-2</v>
      </c>
      <c r="K85" s="10" t="s">
        <v>26</v>
      </c>
      <c r="L85" s="11" t="s">
        <v>26</v>
      </c>
      <c r="M85" s="11" t="s">
        <v>26</v>
      </c>
      <c r="N85" s="11" t="s">
        <v>26</v>
      </c>
      <c r="O85" s="10">
        <v>388491598.49000001</v>
      </c>
      <c r="P85" s="11">
        <v>1.79449779822E-3</v>
      </c>
      <c r="Q85" s="11">
        <v>0.06</v>
      </c>
      <c r="R85" s="11">
        <v>5.8200000000000002E-2</v>
      </c>
      <c r="S85" s="10">
        <v>106592071.28</v>
      </c>
      <c r="T85" s="11">
        <v>9.8578772327E-4</v>
      </c>
      <c r="U85" s="11">
        <v>0.06</v>
      </c>
      <c r="V85" s="11">
        <v>5.8999999999999997E-2</v>
      </c>
      <c r="W85" s="10" t="s">
        <v>26</v>
      </c>
      <c r="X85" s="11" t="s">
        <v>26</v>
      </c>
      <c r="Y85" s="11" t="s">
        <v>26</v>
      </c>
      <c r="Z85" s="11" t="s">
        <v>26</v>
      </c>
      <c r="AA85" s="10">
        <v>152612580</v>
      </c>
      <c r="AB85" s="11">
        <v>1.1417837899599999E-3</v>
      </c>
      <c r="AC85" s="11">
        <v>0.06</v>
      </c>
      <c r="AD85" s="11">
        <v>5.8900000000000001E-2</v>
      </c>
      <c r="AE85" s="10">
        <v>1295956521.0999999</v>
      </c>
      <c r="AF85" s="11">
        <v>2.0990476631799998E-3</v>
      </c>
      <c r="AG85" s="11">
        <v>0.06</v>
      </c>
      <c r="AH85" s="11">
        <v>5.79E-2</v>
      </c>
      <c r="AI85" s="10">
        <v>119282589</v>
      </c>
      <c r="AJ85" s="11">
        <v>7.1199544824499996E-3</v>
      </c>
      <c r="AK85" s="11">
        <v>0.06</v>
      </c>
      <c r="AL85" s="11">
        <v>5.2900000000000003E-2</v>
      </c>
      <c r="AM85" s="10" t="s">
        <v>26</v>
      </c>
      <c r="AN85" s="11" t="s">
        <v>26</v>
      </c>
      <c r="AO85" s="11" t="s">
        <v>26</v>
      </c>
      <c r="AP85" s="11" t="s">
        <v>26</v>
      </c>
      <c r="AQ85" s="10">
        <v>119282589</v>
      </c>
      <c r="AR85" s="11">
        <v>2.9626131994300001E-3</v>
      </c>
      <c r="AS85" s="11">
        <v>0.06</v>
      </c>
      <c r="AT85" s="11">
        <v>5.7000000000000002E-2</v>
      </c>
      <c r="AU85" s="10" t="s">
        <v>26</v>
      </c>
      <c r="AV85" s="11" t="s">
        <v>26</v>
      </c>
      <c r="AW85" s="11" t="s">
        <v>26</v>
      </c>
      <c r="AX85" s="11" t="s">
        <v>26</v>
      </c>
      <c r="AY85" s="10">
        <v>1415239110.0999999</v>
      </c>
      <c r="AZ85" s="11">
        <v>2.0186692427700001E-3</v>
      </c>
      <c r="BA85" s="11">
        <v>0.06</v>
      </c>
      <c r="BB85" s="11">
        <v>5.8000000000000003E-2</v>
      </c>
    </row>
    <row r="86" spans="1:54" s="7" customFormat="1">
      <c r="A86" s="3" t="s">
        <v>67</v>
      </c>
      <c r="B86" s="31" t="s">
        <v>46</v>
      </c>
      <c r="C86" s="2">
        <v>12872837.529999999</v>
      </c>
      <c r="D86" s="1">
        <v>1</v>
      </c>
      <c r="E86" s="1" t="s">
        <v>26</v>
      </c>
      <c r="F86" s="1" t="s">
        <v>26</v>
      </c>
      <c r="G86" s="2">
        <v>635387433.79999995</v>
      </c>
      <c r="H86" s="1">
        <v>1</v>
      </c>
      <c r="I86" s="1" t="s">
        <v>26</v>
      </c>
      <c r="J86" s="1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2">
        <v>388491598.49000001</v>
      </c>
      <c r="P86" s="1">
        <v>1</v>
      </c>
      <c r="Q86" s="1" t="s">
        <v>26</v>
      </c>
      <c r="R86" s="1" t="s">
        <v>26</v>
      </c>
      <c r="S86" s="2">
        <v>106592071.28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>
        <v>152612580</v>
      </c>
      <c r="AB86" s="1">
        <v>1</v>
      </c>
      <c r="AC86" s="1" t="s">
        <v>26</v>
      </c>
      <c r="AD86" s="1" t="s">
        <v>26</v>
      </c>
      <c r="AE86" s="2">
        <v>1295956521.0999999</v>
      </c>
      <c r="AF86" s="1">
        <v>1</v>
      </c>
      <c r="AG86" s="1" t="s">
        <v>26</v>
      </c>
      <c r="AH86" s="1" t="s">
        <v>26</v>
      </c>
      <c r="AI86" s="2">
        <v>119282589</v>
      </c>
      <c r="AJ86" s="1">
        <v>1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>
        <v>119282589</v>
      </c>
      <c r="AR86" s="1">
        <v>1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2">
        <v>1415239110.0999999</v>
      </c>
      <c r="AZ86" s="1">
        <v>1</v>
      </c>
      <c r="BA86" s="1" t="s">
        <v>26</v>
      </c>
      <c r="BB86" s="1" t="s">
        <v>26</v>
      </c>
    </row>
    <row r="87" spans="1:54" s="7" customFormat="1">
      <c r="A87" s="13" t="s">
        <v>75</v>
      </c>
      <c r="B87" s="25" t="s">
        <v>25</v>
      </c>
      <c r="C87" s="55" t="s">
        <v>26</v>
      </c>
      <c r="D87" s="56" t="s">
        <v>26</v>
      </c>
      <c r="E87" s="56" t="s">
        <v>26</v>
      </c>
      <c r="F87" s="56" t="s">
        <v>26</v>
      </c>
      <c r="G87" s="55" t="s">
        <v>26</v>
      </c>
      <c r="H87" s="56" t="s">
        <v>26</v>
      </c>
      <c r="I87" s="56" t="s">
        <v>26</v>
      </c>
      <c r="J87" s="56" t="s">
        <v>26</v>
      </c>
      <c r="K87" s="55" t="s">
        <v>26</v>
      </c>
      <c r="L87" s="56" t="s">
        <v>26</v>
      </c>
      <c r="M87" s="56" t="s">
        <v>26</v>
      </c>
      <c r="N87" s="56" t="s">
        <v>26</v>
      </c>
      <c r="O87" s="55">
        <v>129632428.75</v>
      </c>
      <c r="P87" s="56">
        <v>5.9879057584000001E-4</v>
      </c>
      <c r="Q87" s="56" t="s">
        <v>26</v>
      </c>
      <c r="R87" s="56" t="s">
        <v>26</v>
      </c>
      <c r="S87" s="55">
        <v>242112858.05000001</v>
      </c>
      <c r="T87" s="56">
        <v>2.2391147882299999E-3</v>
      </c>
      <c r="U87" s="56" t="s">
        <v>26</v>
      </c>
      <c r="V87" s="56" t="s">
        <v>26</v>
      </c>
      <c r="W87" s="55" t="s">
        <v>26</v>
      </c>
      <c r="X87" s="56" t="s">
        <v>26</v>
      </c>
      <c r="Y87" s="56" t="s">
        <v>26</v>
      </c>
      <c r="Z87" s="56" t="s">
        <v>26</v>
      </c>
      <c r="AA87" s="55">
        <v>144151260.77000001</v>
      </c>
      <c r="AB87" s="56">
        <v>1.0784797219799999E-3</v>
      </c>
      <c r="AC87" s="56" t="s">
        <v>26</v>
      </c>
      <c r="AD87" s="56" t="s">
        <v>26</v>
      </c>
      <c r="AE87" s="55">
        <v>515896547.56999999</v>
      </c>
      <c r="AF87" s="56">
        <v>8.3559241763999997E-4</v>
      </c>
      <c r="AG87" s="56" t="s">
        <v>26</v>
      </c>
      <c r="AH87" s="56" t="s">
        <v>26</v>
      </c>
      <c r="AI87" s="55">
        <v>10819242.939999999</v>
      </c>
      <c r="AJ87" s="56">
        <v>6.4579850180000004E-4</v>
      </c>
      <c r="AK87" s="56" t="s">
        <v>26</v>
      </c>
      <c r="AL87" s="56" t="s">
        <v>26</v>
      </c>
      <c r="AM87" s="55" t="s">
        <v>26</v>
      </c>
      <c r="AN87" s="56" t="s">
        <v>26</v>
      </c>
      <c r="AO87" s="56" t="s">
        <v>26</v>
      </c>
      <c r="AP87" s="56" t="s">
        <v>26</v>
      </c>
      <c r="AQ87" s="55">
        <v>10819242.939999999</v>
      </c>
      <c r="AR87" s="56">
        <v>2.6871676923000002E-4</v>
      </c>
      <c r="AS87" s="56" t="s">
        <v>26</v>
      </c>
      <c r="AT87" s="56" t="s">
        <v>26</v>
      </c>
      <c r="AU87" s="55">
        <v>32457728.829999998</v>
      </c>
      <c r="AV87" s="56">
        <v>7.4769278043000003E-4</v>
      </c>
      <c r="AW87" s="56" t="s">
        <v>26</v>
      </c>
      <c r="AX87" s="56" t="s">
        <v>26</v>
      </c>
      <c r="AY87" s="55">
        <v>559173519.34000003</v>
      </c>
      <c r="AZ87" s="56">
        <v>7.9759411452999995E-4</v>
      </c>
      <c r="BA87" s="56" t="s">
        <v>26</v>
      </c>
      <c r="BB87" s="56" t="s">
        <v>26</v>
      </c>
    </row>
    <row r="88" spans="1:54" s="7" customFormat="1">
      <c r="A88" s="5" t="s">
        <v>76</v>
      </c>
      <c r="B88" s="24" t="s">
        <v>25</v>
      </c>
      <c r="C88" s="10" t="s">
        <v>26</v>
      </c>
      <c r="D88" s="11" t="s">
        <v>26</v>
      </c>
      <c r="E88" s="11" t="s">
        <v>26</v>
      </c>
      <c r="F88" s="11" t="s">
        <v>26</v>
      </c>
      <c r="G88" s="10" t="s">
        <v>26</v>
      </c>
      <c r="H88" s="11" t="s">
        <v>26</v>
      </c>
      <c r="I88" s="11" t="s">
        <v>26</v>
      </c>
      <c r="J88" s="11" t="s">
        <v>26</v>
      </c>
      <c r="K88" s="10" t="s">
        <v>26</v>
      </c>
      <c r="L88" s="11" t="s">
        <v>26</v>
      </c>
      <c r="M88" s="11" t="s">
        <v>26</v>
      </c>
      <c r="N88" s="11" t="s">
        <v>26</v>
      </c>
      <c r="O88" s="10" t="s">
        <v>26</v>
      </c>
      <c r="P88" s="11" t="s">
        <v>26</v>
      </c>
      <c r="Q88" s="11" t="s">
        <v>26</v>
      </c>
      <c r="R88" s="11" t="s">
        <v>26</v>
      </c>
      <c r="S88" s="10">
        <v>86553943.549999997</v>
      </c>
      <c r="T88" s="11">
        <v>8.0047055965000002E-4</v>
      </c>
      <c r="U88" s="11">
        <v>0.1</v>
      </c>
      <c r="V88" s="11">
        <v>9.9199999999999997E-2</v>
      </c>
      <c r="W88" s="10" t="s">
        <v>26</v>
      </c>
      <c r="X88" s="11" t="s">
        <v>26</v>
      </c>
      <c r="Y88" s="11" t="s">
        <v>26</v>
      </c>
      <c r="Z88" s="11" t="s">
        <v>26</v>
      </c>
      <c r="AA88" s="10" t="s">
        <v>26</v>
      </c>
      <c r="AB88" s="11" t="s">
        <v>26</v>
      </c>
      <c r="AC88" s="11" t="s">
        <v>26</v>
      </c>
      <c r="AD88" s="11" t="s">
        <v>26</v>
      </c>
      <c r="AE88" s="10">
        <v>86553943.549999997</v>
      </c>
      <c r="AF88" s="11">
        <v>1.4019054651000001E-4</v>
      </c>
      <c r="AG88" s="11">
        <v>0.1</v>
      </c>
      <c r="AH88" s="11">
        <v>9.9900000000000003E-2</v>
      </c>
      <c r="AI88" s="10">
        <v>10819242.939999999</v>
      </c>
      <c r="AJ88" s="11">
        <v>6.4579850180000004E-4</v>
      </c>
      <c r="AK88" s="11">
        <v>0.1</v>
      </c>
      <c r="AL88" s="11">
        <v>9.9400000000000002E-2</v>
      </c>
      <c r="AM88" s="10" t="s">
        <v>26</v>
      </c>
      <c r="AN88" s="11" t="s">
        <v>26</v>
      </c>
      <c r="AO88" s="11" t="s">
        <v>26</v>
      </c>
      <c r="AP88" s="11" t="s">
        <v>26</v>
      </c>
      <c r="AQ88" s="10">
        <v>10819242.939999999</v>
      </c>
      <c r="AR88" s="11">
        <v>2.6871676923000002E-4</v>
      </c>
      <c r="AS88" s="11">
        <v>0.1</v>
      </c>
      <c r="AT88" s="11">
        <v>9.9699999999999997E-2</v>
      </c>
      <c r="AU88" s="10">
        <v>32457728.829999998</v>
      </c>
      <c r="AV88" s="11">
        <v>7.4769278043000003E-4</v>
      </c>
      <c r="AW88" s="11">
        <v>0.1</v>
      </c>
      <c r="AX88" s="11">
        <v>9.9299999999999999E-2</v>
      </c>
      <c r="AY88" s="10">
        <v>129830915.31999999</v>
      </c>
      <c r="AZ88" s="11">
        <v>1.8518826511000001E-4</v>
      </c>
      <c r="BA88" s="11">
        <v>0.1</v>
      </c>
      <c r="BB88" s="11">
        <v>9.98E-2</v>
      </c>
    </row>
    <row r="89" spans="1:54" s="7" customFormat="1">
      <c r="A89" s="3" t="s">
        <v>77</v>
      </c>
      <c r="B89" s="31" t="s">
        <v>29</v>
      </c>
      <c r="C89" s="2" t="s">
        <v>26</v>
      </c>
      <c r="D89" s="1" t="s">
        <v>26</v>
      </c>
      <c r="E89" s="1" t="s">
        <v>26</v>
      </c>
      <c r="F89" s="1" t="s">
        <v>26</v>
      </c>
      <c r="G89" s="2" t="s">
        <v>26</v>
      </c>
      <c r="H89" s="1" t="s">
        <v>26</v>
      </c>
      <c r="I89" s="1" t="s">
        <v>26</v>
      </c>
      <c r="J89" s="1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2">
        <v>86553943.549999997</v>
      </c>
      <c r="T89" s="1">
        <v>1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2">
        <v>86553943.549999997</v>
      </c>
      <c r="AF89" s="1">
        <v>1</v>
      </c>
      <c r="AG89" s="1" t="s">
        <v>26</v>
      </c>
      <c r="AH89" s="1" t="s">
        <v>26</v>
      </c>
      <c r="AI89" s="2">
        <v>10819242.939999999</v>
      </c>
      <c r="AJ89" s="1">
        <v>1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>
        <v>10819242.939999999</v>
      </c>
      <c r="AR89" s="1">
        <v>1</v>
      </c>
      <c r="AS89" s="1" t="s">
        <v>26</v>
      </c>
      <c r="AT89" s="1" t="s">
        <v>26</v>
      </c>
      <c r="AU89" s="2">
        <v>32457728.829999998</v>
      </c>
      <c r="AV89" s="1">
        <v>1</v>
      </c>
      <c r="AW89" s="1" t="s">
        <v>26</v>
      </c>
      <c r="AX89" s="1" t="s">
        <v>26</v>
      </c>
      <c r="AY89" s="2">
        <v>129830915.31999999</v>
      </c>
      <c r="AZ89" s="1">
        <v>1</v>
      </c>
      <c r="BA89" s="1" t="s">
        <v>26</v>
      </c>
      <c r="BB89" s="1" t="s">
        <v>26</v>
      </c>
    </row>
    <row r="90" spans="1:54" s="7" customFormat="1">
      <c r="A90" s="5" t="s">
        <v>78</v>
      </c>
      <c r="B90" s="24" t="s">
        <v>25</v>
      </c>
      <c r="C90" s="10" t="s">
        <v>26</v>
      </c>
      <c r="D90" s="11" t="s">
        <v>26</v>
      </c>
      <c r="E90" s="11" t="s">
        <v>26</v>
      </c>
      <c r="F90" s="11" t="s">
        <v>26</v>
      </c>
      <c r="G90" s="10" t="s">
        <v>26</v>
      </c>
      <c r="H90" s="11" t="s">
        <v>26</v>
      </c>
      <c r="I90" s="11" t="s">
        <v>26</v>
      </c>
      <c r="J90" s="11" t="s">
        <v>26</v>
      </c>
      <c r="K90" s="10" t="s">
        <v>26</v>
      </c>
      <c r="L90" s="11" t="s">
        <v>26</v>
      </c>
      <c r="M90" s="11" t="s">
        <v>26</v>
      </c>
      <c r="N90" s="11" t="s">
        <v>26</v>
      </c>
      <c r="O90" s="10">
        <v>129632428.75</v>
      </c>
      <c r="P90" s="11">
        <v>5.9879057584000001E-4</v>
      </c>
      <c r="Q90" s="11">
        <v>0.09</v>
      </c>
      <c r="R90" s="11">
        <v>8.9399999999999993E-2</v>
      </c>
      <c r="S90" s="10">
        <v>155558914.5</v>
      </c>
      <c r="T90" s="11">
        <v>1.43864422858E-3</v>
      </c>
      <c r="U90" s="11">
        <v>0.09</v>
      </c>
      <c r="V90" s="11">
        <v>8.8599999999999998E-2</v>
      </c>
      <c r="W90" s="10" t="s">
        <v>26</v>
      </c>
      <c r="X90" s="11" t="s">
        <v>26</v>
      </c>
      <c r="Y90" s="11" t="s">
        <v>26</v>
      </c>
      <c r="Z90" s="11" t="s">
        <v>26</v>
      </c>
      <c r="AA90" s="10">
        <v>144151260.77000001</v>
      </c>
      <c r="AB90" s="11">
        <v>1.0784797219799999E-3</v>
      </c>
      <c r="AC90" s="11">
        <v>0.09</v>
      </c>
      <c r="AD90" s="11">
        <v>8.8900000000000007E-2</v>
      </c>
      <c r="AE90" s="10">
        <v>429342604.01999998</v>
      </c>
      <c r="AF90" s="11">
        <v>6.9540187112999995E-4</v>
      </c>
      <c r="AG90" s="11">
        <v>0.09</v>
      </c>
      <c r="AH90" s="11">
        <v>8.9300000000000004E-2</v>
      </c>
      <c r="AI90" s="10" t="s">
        <v>26</v>
      </c>
      <c r="AJ90" s="11" t="s">
        <v>26</v>
      </c>
      <c r="AK90" s="11" t="s">
        <v>26</v>
      </c>
      <c r="AL90" s="11" t="s">
        <v>26</v>
      </c>
      <c r="AM90" s="10" t="s">
        <v>26</v>
      </c>
      <c r="AN90" s="11" t="s">
        <v>26</v>
      </c>
      <c r="AO90" s="11" t="s">
        <v>26</v>
      </c>
      <c r="AP90" s="11" t="s">
        <v>26</v>
      </c>
      <c r="AQ90" s="10" t="s">
        <v>26</v>
      </c>
      <c r="AR90" s="11" t="s">
        <v>26</v>
      </c>
      <c r="AS90" s="11" t="s">
        <v>26</v>
      </c>
      <c r="AT90" s="11" t="s">
        <v>26</v>
      </c>
      <c r="AU90" s="10" t="s">
        <v>26</v>
      </c>
      <c r="AV90" s="11" t="s">
        <v>26</v>
      </c>
      <c r="AW90" s="11" t="s">
        <v>26</v>
      </c>
      <c r="AX90" s="11" t="s">
        <v>26</v>
      </c>
      <c r="AY90" s="10">
        <v>429342604.01999998</v>
      </c>
      <c r="AZ90" s="11">
        <v>6.1240584941000002E-4</v>
      </c>
      <c r="BA90" s="11">
        <v>0.09</v>
      </c>
      <c r="BB90" s="11">
        <v>8.9399999999999993E-2</v>
      </c>
    </row>
    <row r="91" spans="1:54" s="7" customFormat="1">
      <c r="A91" s="3" t="s">
        <v>77</v>
      </c>
      <c r="B91" s="31" t="s">
        <v>37</v>
      </c>
      <c r="C91" s="2" t="s">
        <v>26</v>
      </c>
      <c r="D91" s="1" t="s">
        <v>26</v>
      </c>
      <c r="E91" s="1" t="s">
        <v>26</v>
      </c>
      <c r="F91" s="1" t="s">
        <v>26</v>
      </c>
      <c r="G91" s="2" t="s">
        <v>26</v>
      </c>
      <c r="H91" s="1" t="s">
        <v>26</v>
      </c>
      <c r="I91" s="1" t="s">
        <v>26</v>
      </c>
      <c r="J91" s="1" t="s">
        <v>26</v>
      </c>
      <c r="K91" s="2" t="s">
        <v>26</v>
      </c>
      <c r="L91" s="1" t="s">
        <v>26</v>
      </c>
      <c r="M91" s="1" t="s">
        <v>26</v>
      </c>
      <c r="N91" s="1" t="s">
        <v>26</v>
      </c>
      <c r="O91" s="2">
        <v>129632428.75</v>
      </c>
      <c r="P91" s="1">
        <v>1</v>
      </c>
      <c r="Q91" s="1" t="s">
        <v>26</v>
      </c>
      <c r="R91" s="1" t="s">
        <v>26</v>
      </c>
      <c r="S91" s="2">
        <v>155558914.5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>
        <v>144151260.77000001</v>
      </c>
      <c r="AB91" s="1">
        <v>1</v>
      </c>
      <c r="AC91" s="1" t="s">
        <v>26</v>
      </c>
      <c r="AD91" s="1" t="s">
        <v>26</v>
      </c>
      <c r="AE91" s="2">
        <v>429342604.01999998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2">
        <v>429342604.01999998</v>
      </c>
      <c r="AZ91" s="1">
        <v>1</v>
      </c>
      <c r="BA91" s="1" t="s">
        <v>26</v>
      </c>
      <c r="BB91" s="1" t="s">
        <v>26</v>
      </c>
    </row>
    <row r="92" spans="1:54" s="7" customFormat="1">
      <c r="A92" s="13" t="s">
        <v>108</v>
      </c>
      <c r="B92" s="25" t="s">
        <v>25</v>
      </c>
      <c r="C92" s="55" t="s">
        <v>26</v>
      </c>
      <c r="D92" s="56" t="s">
        <v>26</v>
      </c>
      <c r="E92" s="56" t="s">
        <v>26</v>
      </c>
      <c r="F92" s="56" t="s">
        <v>26</v>
      </c>
      <c r="G92" s="55">
        <v>685177916.86000001</v>
      </c>
      <c r="H92" s="56">
        <v>4.7362391291799998E-3</v>
      </c>
      <c r="I92" s="56">
        <v>0.05</v>
      </c>
      <c r="J92" s="56">
        <f>+I92-H92</f>
        <v>4.526376087082E-2</v>
      </c>
      <c r="K92" s="55">
        <v>23039198.050000001</v>
      </c>
      <c r="L92" s="56">
        <v>8.4134333011500004E-3</v>
      </c>
      <c r="M92" s="56">
        <v>0.05</v>
      </c>
      <c r="N92" s="56">
        <f>+M92-L92</f>
        <v>4.1586566698850004E-2</v>
      </c>
      <c r="O92" s="55">
        <v>1987130832.3299999</v>
      </c>
      <c r="P92" s="56">
        <v>9.1788391750300003E-3</v>
      </c>
      <c r="Q92" s="56">
        <v>0.05</v>
      </c>
      <c r="R92" s="56">
        <f>+Q92-P92</f>
        <v>4.0821160824970004E-2</v>
      </c>
      <c r="S92" s="55">
        <v>1274660735.9300001</v>
      </c>
      <c r="T92" s="56">
        <v>1.178835245177E-2</v>
      </c>
      <c r="U92" s="56">
        <v>0.05</v>
      </c>
      <c r="V92" s="56">
        <f>+U92-T92</f>
        <v>3.8211647548230004E-2</v>
      </c>
      <c r="W92" s="55" t="s">
        <v>26</v>
      </c>
      <c r="X92" s="56" t="s">
        <v>26</v>
      </c>
      <c r="Y92" s="56" t="s">
        <v>26</v>
      </c>
      <c r="Z92" s="56" t="s">
        <v>26</v>
      </c>
      <c r="AA92" s="55">
        <v>362876354.66000003</v>
      </c>
      <c r="AB92" s="56">
        <v>2.7148898177999999E-3</v>
      </c>
      <c r="AC92" s="56">
        <v>0.05</v>
      </c>
      <c r="AD92" s="56">
        <f>+AC92-AB92</f>
        <v>4.7285110182200003E-2</v>
      </c>
      <c r="AE92" s="55">
        <v>4332885037.8299999</v>
      </c>
      <c r="AF92" s="56">
        <v>7.0179300504399997E-3</v>
      </c>
      <c r="AG92" s="56">
        <v>0.05</v>
      </c>
      <c r="AH92" s="56">
        <f>+AG92-AF92</f>
        <v>4.2982069949560005E-2</v>
      </c>
      <c r="AI92" s="55" t="s">
        <v>26</v>
      </c>
      <c r="AJ92" s="56" t="s">
        <v>26</v>
      </c>
      <c r="AK92" s="56" t="s">
        <v>26</v>
      </c>
      <c r="AL92" s="56" t="s">
        <v>26</v>
      </c>
      <c r="AM92" s="55" t="s">
        <v>26</v>
      </c>
      <c r="AN92" s="56" t="s">
        <v>26</v>
      </c>
      <c r="AO92" s="56" t="s">
        <v>26</v>
      </c>
      <c r="AP92" s="56" t="s">
        <v>26</v>
      </c>
      <c r="AQ92" s="55" t="s">
        <v>26</v>
      </c>
      <c r="AR92" s="56" t="s">
        <v>26</v>
      </c>
      <c r="AS92" s="56" t="s">
        <v>26</v>
      </c>
      <c r="AT92" s="56" t="s">
        <v>26</v>
      </c>
      <c r="AU92" s="55">
        <v>619629870</v>
      </c>
      <c r="AV92" s="56">
        <v>1.427372761561E-2</v>
      </c>
      <c r="AW92" s="56">
        <v>0.05</v>
      </c>
      <c r="AX92" s="56">
        <f>+AW92-AV92</f>
        <v>3.5726272384390002E-2</v>
      </c>
      <c r="AY92" s="55">
        <v>4952514907.8299999</v>
      </c>
      <c r="AZ92" s="56">
        <v>7.0641698971100004E-3</v>
      </c>
      <c r="BA92" s="56">
        <v>0.05</v>
      </c>
      <c r="BB92" s="56">
        <f>+BA92-AZ92</f>
        <v>4.2935830102890003E-2</v>
      </c>
    </row>
    <row r="93" spans="1:54" s="7" customFormat="1">
      <c r="A93" s="5" t="s">
        <v>80</v>
      </c>
      <c r="B93" s="24" t="s">
        <v>25</v>
      </c>
      <c r="C93" s="10" t="s">
        <v>26</v>
      </c>
      <c r="D93" s="11" t="s">
        <v>26</v>
      </c>
      <c r="E93" s="11" t="s">
        <v>26</v>
      </c>
      <c r="F93" s="11" t="s">
        <v>26</v>
      </c>
      <c r="G93" s="10" t="s">
        <v>26</v>
      </c>
      <c r="H93" s="11" t="s">
        <v>26</v>
      </c>
      <c r="I93" s="11" t="s">
        <v>26</v>
      </c>
      <c r="J93" s="11" t="s">
        <v>26</v>
      </c>
      <c r="K93" s="10" t="s">
        <v>26</v>
      </c>
      <c r="L93" s="11" t="s">
        <v>26</v>
      </c>
      <c r="M93" s="11" t="s">
        <v>26</v>
      </c>
      <c r="N93" s="11" t="s">
        <v>26</v>
      </c>
      <c r="O93" s="10" t="s">
        <v>26</v>
      </c>
      <c r="P93" s="11" t="s">
        <v>26</v>
      </c>
      <c r="Q93" s="11" t="s">
        <v>26</v>
      </c>
      <c r="R93" s="11" t="s">
        <v>26</v>
      </c>
      <c r="S93" s="10">
        <v>583484794.25</v>
      </c>
      <c r="T93" s="11">
        <v>5.3962001111199998E-3</v>
      </c>
      <c r="U93" s="1" t="s">
        <v>26</v>
      </c>
      <c r="V93" s="1" t="s">
        <v>26</v>
      </c>
      <c r="W93" s="10" t="s">
        <v>26</v>
      </c>
      <c r="X93" s="11" t="s">
        <v>26</v>
      </c>
      <c r="Y93" s="11" t="s">
        <v>26</v>
      </c>
      <c r="Z93" s="11" t="s">
        <v>26</v>
      </c>
      <c r="AA93" s="10" t="s">
        <v>26</v>
      </c>
      <c r="AB93" s="11" t="s">
        <v>26</v>
      </c>
      <c r="AC93" s="11" t="s">
        <v>26</v>
      </c>
      <c r="AD93" s="11" t="s">
        <v>26</v>
      </c>
      <c r="AE93" s="10">
        <v>583484794.25</v>
      </c>
      <c r="AF93" s="11">
        <v>9.4506441684999996E-4</v>
      </c>
      <c r="AG93" s="1" t="s">
        <v>26</v>
      </c>
      <c r="AH93" s="1" t="s">
        <v>26</v>
      </c>
      <c r="AI93" s="10" t="s">
        <v>26</v>
      </c>
      <c r="AJ93" s="11" t="s">
        <v>26</v>
      </c>
      <c r="AK93" s="11" t="s">
        <v>26</v>
      </c>
      <c r="AL93" s="11" t="s">
        <v>26</v>
      </c>
      <c r="AM93" s="10" t="s">
        <v>26</v>
      </c>
      <c r="AN93" s="11" t="s">
        <v>26</v>
      </c>
      <c r="AO93" s="11" t="s">
        <v>26</v>
      </c>
      <c r="AP93" s="11" t="s">
        <v>26</v>
      </c>
      <c r="AQ93" s="10" t="s">
        <v>26</v>
      </c>
      <c r="AR93" s="11" t="s">
        <v>26</v>
      </c>
      <c r="AS93" s="11" t="s">
        <v>26</v>
      </c>
      <c r="AT93" s="11" t="s">
        <v>26</v>
      </c>
      <c r="AU93" s="10">
        <v>619629870</v>
      </c>
      <c r="AV93" s="11">
        <v>1.427372761561E-2</v>
      </c>
      <c r="AW93" s="1" t="s">
        <v>26</v>
      </c>
      <c r="AX93" s="1" t="s">
        <v>26</v>
      </c>
      <c r="AY93" s="10">
        <v>1203114664.25</v>
      </c>
      <c r="AZ93" s="11">
        <v>1.71609910362E-3</v>
      </c>
      <c r="BA93" s="1" t="s">
        <v>26</v>
      </c>
      <c r="BB93" s="1" t="s">
        <v>26</v>
      </c>
    </row>
    <row r="94" spans="1:54" s="7" customFormat="1">
      <c r="A94" s="3" t="s">
        <v>81</v>
      </c>
      <c r="B94" s="31" t="s">
        <v>37</v>
      </c>
      <c r="C94" s="2" t="s">
        <v>26</v>
      </c>
      <c r="D94" s="1" t="s">
        <v>26</v>
      </c>
      <c r="E94" s="1" t="s">
        <v>26</v>
      </c>
      <c r="F94" s="1" t="s">
        <v>26</v>
      </c>
      <c r="G94" s="2" t="s">
        <v>26</v>
      </c>
      <c r="H94" s="1" t="s">
        <v>26</v>
      </c>
      <c r="I94" s="1" t="s">
        <v>26</v>
      </c>
      <c r="J94" s="1" t="s">
        <v>26</v>
      </c>
      <c r="K94" s="2" t="s">
        <v>26</v>
      </c>
      <c r="L94" s="1" t="s">
        <v>26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2">
        <v>583484794.25</v>
      </c>
      <c r="T94" s="1">
        <v>1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2" t="s">
        <v>26</v>
      </c>
      <c r="AB94" s="1" t="s">
        <v>26</v>
      </c>
      <c r="AC94" s="1" t="s">
        <v>26</v>
      </c>
      <c r="AD94" s="1" t="s">
        <v>26</v>
      </c>
      <c r="AE94" s="2">
        <v>583484794.25</v>
      </c>
      <c r="AF94" s="1">
        <v>1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>
        <v>619629870</v>
      </c>
      <c r="AV94" s="1">
        <v>1</v>
      </c>
      <c r="AW94" s="1" t="s">
        <v>26</v>
      </c>
      <c r="AX94" s="1" t="s">
        <v>26</v>
      </c>
      <c r="AY94" s="2">
        <v>1203114664.25</v>
      </c>
      <c r="AZ94" s="1">
        <v>1</v>
      </c>
      <c r="BA94" s="1" t="s">
        <v>26</v>
      </c>
      <c r="BB94" s="1" t="s">
        <v>26</v>
      </c>
    </row>
    <row r="95" spans="1:54" s="7" customFormat="1">
      <c r="A95" s="5" t="s">
        <v>82</v>
      </c>
      <c r="B95" s="24" t="s">
        <v>25</v>
      </c>
      <c r="C95" s="10" t="s">
        <v>26</v>
      </c>
      <c r="D95" s="11" t="s">
        <v>26</v>
      </c>
      <c r="E95" s="11" t="s">
        <v>26</v>
      </c>
      <c r="F95" s="11" t="s">
        <v>26</v>
      </c>
      <c r="G95" s="10">
        <v>685177916.86000001</v>
      </c>
      <c r="H95" s="11">
        <v>4.7362391291799998E-3</v>
      </c>
      <c r="I95" s="11" t="s">
        <v>26</v>
      </c>
      <c r="J95" s="11" t="s">
        <v>26</v>
      </c>
      <c r="K95" s="10">
        <v>23039198.050000001</v>
      </c>
      <c r="L95" s="11">
        <v>8.4134333011500004E-3</v>
      </c>
      <c r="M95" s="11" t="s">
        <v>26</v>
      </c>
      <c r="N95" s="11" t="s">
        <v>26</v>
      </c>
      <c r="O95" s="10">
        <v>1987130832.3299999</v>
      </c>
      <c r="P95" s="11">
        <v>9.1788391750300003E-3</v>
      </c>
      <c r="Q95" s="11" t="s">
        <v>26</v>
      </c>
      <c r="R95" s="11" t="s">
        <v>26</v>
      </c>
      <c r="S95" s="10">
        <v>691175941.67999995</v>
      </c>
      <c r="T95" s="11">
        <v>6.3921523406500003E-3</v>
      </c>
      <c r="U95" s="1" t="s">
        <v>26</v>
      </c>
      <c r="V95" s="1" t="s">
        <v>26</v>
      </c>
      <c r="W95" s="10" t="s">
        <v>26</v>
      </c>
      <c r="X95" s="11" t="s">
        <v>26</v>
      </c>
      <c r="Y95" s="11" t="s">
        <v>26</v>
      </c>
      <c r="Z95" s="11" t="s">
        <v>26</v>
      </c>
      <c r="AA95" s="10">
        <v>362876354.66000003</v>
      </c>
      <c r="AB95" s="11">
        <v>2.7148898177999999E-3</v>
      </c>
      <c r="AC95" s="1" t="s">
        <v>26</v>
      </c>
      <c r="AD95" s="1" t="s">
        <v>26</v>
      </c>
      <c r="AE95" s="10">
        <v>3749400243.5799999</v>
      </c>
      <c r="AF95" s="11">
        <v>6.0728656335900001E-3</v>
      </c>
      <c r="AG95" s="1" t="s">
        <v>26</v>
      </c>
      <c r="AH95" s="1" t="s">
        <v>26</v>
      </c>
      <c r="AI95" s="10" t="s">
        <v>26</v>
      </c>
      <c r="AJ95" s="11" t="s">
        <v>26</v>
      </c>
      <c r="AK95" s="11" t="s">
        <v>26</v>
      </c>
      <c r="AL95" s="11" t="s">
        <v>26</v>
      </c>
      <c r="AM95" s="10" t="s">
        <v>26</v>
      </c>
      <c r="AN95" s="11" t="s">
        <v>26</v>
      </c>
      <c r="AO95" s="11" t="s">
        <v>26</v>
      </c>
      <c r="AP95" s="11" t="s">
        <v>26</v>
      </c>
      <c r="AQ95" s="10" t="s">
        <v>26</v>
      </c>
      <c r="AR95" s="11" t="s">
        <v>26</v>
      </c>
      <c r="AS95" s="11" t="s">
        <v>26</v>
      </c>
      <c r="AT95" s="11" t="s">
        <v>26</v>
      </c>
      <c r="AU95" s="10" t="s">
        <v>26</v>
      </c>
      <c r="AV95" s="11" t="s">
        <v>26</v>
      </c>
      <c r="AW95" s="11" t="s">
        <v>26</v>
      </c>
      <c r="AX95" s="11" t="s">
        <v>26</v>
      </c>
      <c r="AY95" s="10">
        <v>3749400243.5799999</v>
      </c>
      <c r="AZ95" s="11">
        <v>5.3480707935E-3</v>
      </c>
      <c r="BA95" s="1" t="s">
        <v>26</v>
      </c>
      <c r="BB95" s="1" t="s">
        <v>26</v>
      </c>
    </row>
    <row r="96" spans="1:54" s="7" customFormat="1">
      <c r="A96" s="3" t="s">
        <v>83</v>
      </c>
      <c r="B96" s="31" t="s">
        <v>37</v>
      </c>
      <c r="C96" s="2" t="s">
        <v>26</v>
      </c>
      <c r="D96" s="1" t="s">
        <v>26</v>
      </c>
      <c r="E96" s="1" t="s">
        <v>26</v>
      </c>
      <c r="F96" s="1" t="s">
        <v>26</v>
      </c>
      <c r="G96" s="2">
        <v>685177916.86000001</v>
      </c>
      <c r="H96" s="1">
        <v>1</v>
      </c>
      <c r="I96" s="1" t="s">
        <v>26</v>
      </c>
      <c r="J96" s="1" t="s">
        <v>26</v>
      </c>
      <c r="K96" s="2">
        <v>23039198.050000001</v>
      </c>
      <c r="L96" s="1">
        <v>1</v>
      </c>
      <c r="M96" s="1" t="s">
        <v>26</v>
      </c>
      <c r="N96" s="1" t="s">
        <v>26</v>
      </c>
      <c r="O96" s="2">
        <v>1987130832.3299999</v>
      </c>
      <c r="P96" s="1">
        <v>1</v>
      </c>
      <c r="Q96" s="1" t="s">
        <v>26</v>
      </c>
      <c r="R96" s="1" t="s">
        <v>26</v>
      </c>
      <c r="S96" s="2">
        <v>691175941.67999995</v>
      </c>
      <c r="T96" s="1">
        <v>1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>
        <v>362876354.66000003</v>
      </c>
      <c r="AB96" s="1">
        <v>1</v>
      </c>
      <c r="AC96" s="1" t="s">
        <v>26</v>
      </c>
      <c r="AD96" s="1" t="s">
        <v>26</v>
      </c>
      <c r="AE96" s="2">
        <v>3749400243.5799999</v>
      </c>
      <c r="AF96" s="1">
        <v>1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2">
        <v>3749400243.5799999</v>
      </c>
      <c r="AZ96" s="1">
        <v>1</v>
      </c>
      <c r="BA96" s="1" t="s">
        <v>26</v>
      </c>
      <c r="BB96" s="1" t="s">
        <v>26</v>
      </c>
    </row>
    <row r="97" spans="1:54" s="7" customFormat="1">
      <c r="A97" s="13" t="s">
        <v>84</v>
      </c>
      <c r="B97" s="25" t="s">
        <v>25</v>
      </c>
      <c r="C97" s="55" t="s">
        <v>26</v>
      </c>
      <c r="D97" s="56" t="s">
        <v>26</v>
      </c>
      <c r="E97" s="56" t="s">
        <v>26</v>
      </c>
      <c r="F97" s="56" t="s">
        <v>26</v>
      </c>
      <c r="G97" s="55">
        <v>6221831309.4799995</v>
      </c>
      <c r="H97" s="56">
        <v>4.3007925646729998E-2</v>
      </c>
      <c r="I97" s="56">
        <v>0.15</v>
      </c>
      <c r="J97" s="56">
        <f>+I97-H97</f>
        <v>0.10699207435326999</v>
      </c>
      <c r="K97" s="55">
        <f>+K98+K114</f>
        <v>84820317.150000006</v>
      </c>
      <c r="L97" s="56">
        <f>+K97/K132</f>
        <v>3.0721272475711978E-2</v>
      </c>
      <c r="M97" s="56">
        <v>0.15</v>
      </c>
      <c r="N97" s="56">
        <f>+M97-L97</f>
        <v>0.11927872752428802</v>
      </c>
      <c r="O97" s="55">
        <v>23079334123.700001</v>
      </c>
      <c r="P97" s="56">
        <v>0.10660671795821999</v>
      </c>
      <c r="Q97" s="56">
        <v>0.15</v>
      </c>
      <c r="R97" s="56">
        <f>+Q97-P97</f>
        <v>4.3393282041780001E-2</v>
      </c>
      <c r="S97" s="55">
        <v>4941073678.8500004</v>
      </c>
      <c r="T97" s="56">
        <v>4.569617340097E-2</v>
      </c>
      <c r="U97" s="56">
        <v>0.15</v>
      </c>
      <c r="V97" s="56">
        <f>+U97-T97</f>
        <v>0.10430382659902999</v>
      </c>
      <c r="W97" s="55" t="s">
        <v>26</v>
      </c>
      <c r="X97" s="56" t="s">
        <v>26</v>
      </c>
      <c r="Y97" s="56" t="s">
        <v>26</v>
      </c>
      <c r="Z97" s="56" t="s">
        <v>26</v>
      </c>
      <c r="AA97" s="55">
        <v>5791532885.5299997</v>
      </c>
      <c r="AB97" s="56">
        <v>4.3329837997050001E-2</v>
      </c>
      <c r="AC97" s="56">
        <v>0.15</v>
      </c>
      <c r="AD97" s="56">
        <f>+AC97-AB97</f>
        <v>0.10667016200294999</v>
      </c>
      <c r="AE97" s="55">
        <f>+AE98+AE100+AE102+AE104+AE106+AE108+AE110+AE112+AE114+AE116+AE118+AE120+AE122+AE124+AE126+AE128</f>
        <v>40118592314.709991</v>
      </c>
      <c r="AF97" s="56">
        <v>6.4943103424369999E-2</v>
      </c>
      <c r="AG97" s="56">
        <v>0.15</v>
      </c>
      <c r="AH97" s="56">
        <f>+AG97-AF97</f>
        <v>8.5056896575629995E-2</v>
      </c>
      <c r="AI97" s="55" t="s">
        <v>26</v>
      </c>
      <c r="AJ97" s="56" t="s">
        <v>26</v>
      </c>
      <c r="AK97" s="56" t="s">
        <v>26</v>
      </c>
      <c r="AL97" s="56" t="s">
        <v>26</v>
      </c>
      <c r="AM97" s="55" t="s">
        <v>26</v>
      </c>
      <c r="AN97" s="56" t="s">
        <v>26</v>
      </c>
      <c r="AO97" s="56" t="s">
        <v>26</v>
      </c>
      <c r="AP97" s="56" t="s">
        <v>26</v>
      </c>
      <c r="AQ97" s="55" t="s">
        <v>26</v>
      </c>
      <c r="AR97" s="56" t="s">
        <v>26</v>
      </c>
      <c r="AS97" s="56" t="s">
        <v>26</v>
      </c>
      <c r="AT97" s="56" t="s">
        <v>26</v>
      </c>
      <c r="AU97" s="55">
        <v>1830450489.75</v>
      </c>
      <c r="AV97" s="56">
        <v>4.216606230515E-2</v>
      </c>
      <c r="AW97" s="56">
        <v>0.15</v>
      </c>
      <c r="AX97" s="56">
        <f>+AW97-AV97</f>
        <v>0.10783393769485</v>
      </c>
      <c r="AY97" s="55">
        <f>+AY98+AY100+AY102+AY104+AY106+AY108+AY110+AY112+AY114+AY116+AY118+AY120+AY122+AY124+AY126+AY128</f>
        <v>41949042804.459991</v>
      </c>
      <c r="AZ97" s="56">
        <f>+AY97/AY132</f>
        <v>5.9833357052762833E-2</v>
      </c>
      <c r="BA97" s="56">
        <v>0.15</v>
      </c>
      <c r="BB97" s="56">
        <f>+BA97-AZ97</f>
        <v>9.0166642947237169E-2</v>
      </c>
    </row>
    <row r="98" spans="1:54" s="7" customFormat="1">
      <c r="A98" s="5" t="s">
        <v>85</v>
      </c>
      <c r="B98" s="24" t="s">
        <v>25</v>
      </c>
      <c r="C98" s="10" t="s">
        <v>26</v>
      </c>
      <c r="D98" s="11" t="s">
        <v>26</v>
      </c>
      <c r="E98" s="11" t="s">
        <v>26</v>
      </c>
      <c r="F98" s="11" t="s">
        <v>26</v>
      </c>
      <c r="G98" s="10">
        <v>126501903.7</v>
      </c>
      <c r="H98" s="11">
        <v>8.7443458331000002E-4</v>
      </c>
      <c r="I98" s="1" t="s">
        <v>26</v>
      </c>
      <c r="J98" s="1" t="s">
        <v>26</v>
      </c>
      <c r="K98" s="10">
        <v>61845375.140000001</v>
      </c>
      <c r="L98" s="11">
        <v>2.2584637607420001E-2</v>
      </c>
      <c r="M98" s="1" t="s">
        <v>26</v>
      </c>
      <c r="N98" s="1" t="s">
        <v>26</v>
      </c>
      <c r="O98" s="10" t="s">
        <v>26</v>
      </c>
      <c r="P98" s="11" t="s">
        <v>26</v>
      </c>
      <c r="Q98" s="11" t="s">
        <v>26</v>
      </c>
      <c r="R98" s="11" t="s">
        <v>26</v>
      </c>
      <c r="S98" s="10">
        <v>274087458.02999997</v>
      </c>
      <c r="T98" s="11">
        <v>2.5348231625800001E-3</v>
      </c>
      <c r="U98" s="1" t="s">
        <v>26</v>
      </c>
      <c r="V98" s="1" t="s">
        <v>26</v>
      </c>
      <c r="W98" s="10" t="s">
        <v>26</v>
      </c>
      <c r="X98" s="11" t="s">
        <v>26</v>
      </c>
      <c r="Y98" s="11" t="s">
        <v>26</v>
      </c>
      <c r="Z98" s="11" t="s">
        <v>26</v>
      </c>
      <c r="AA98" s="10">
        <v>141963247.49000001</v>
      </c>
      <c r="AB98" s="11">
        <v>1.0621099174999999E-3</v>
      </c>
      <c r="AC98" s="1" t="s">
        <v>26</v>
      </c>
      <c r="AD98" s="1" t="s">
        <v>26</v>
      </c>
      <c r="AE98" s="10">
        <v>604397984.36000001</v>
      </c>
      <c r="AF98" s="11">
        <v>9.7893729924E-4</v>
      </c>
      <c r="AG98" s="1" t="s">
        <v>26</v>
      </c>
      <c r="AH98" s="1" t="s">
        <v>26</v>
      </c>
      <c r="AI98" s="10" t="s">
        <v>26</v>
      </c>
      <c r="AJ98" s="11" t="s">
        <v>26</v>
      </c>
      <c r="AK98" s="11" t="s">
        <v>26</v>
      </c>
      <c r="AL98" s="11" t="s">
        <v>26</v>
      </c>
      <c r="AM98" s="10" t="s">
        <v>26</v>
      </c>
      <c r="AN98" s="11" t="s">
        <v>26</v>
      </c>
      <c r="AO98" s="11" t="s">
        <v>26</v>
      </c>
      <c r="AP98" s="11" t="s">
        <v>26</v>
      </c>
      <c r="AQ98" s="10" t="s">
        <v>26</v>
      </c>
      <c r="AR98" s="11" t="s">
        <v>26</v>
      </c>
      <c r="AS98" s="11" t="s">
        <v>26</v>
      </c>
      <c r="AT98" s="11" t="s">
        <v>26</v>
      </c>
      <c r="AU98" s="10" t="s">
        <v>26</v>
      </c>
      <c r="AV98" s="11" t="s">
        <v>26</v>
      </c>
      <c r="AW98" s="11" t="s">
        <v>26</v>
      </c>
      <c r="AX98" s="11" t="s">
        <v>26</v>
      </c>
      <c r="AY98" s="10">
        <v>604397984.36000001</v>
      </c>
      <c r="AZ98" s="11">
        <v>8.6210140230999998E-4</v>
      </c>
      <c r="BA98" s="1" t="s">
        <v>26</v>
      </c>
      <c r="BB98" s="1" t="s">
        <v>26</v>
      </c>
    </row>
    <row r="99" spans="1:54" s="7" customFormat="1">
      <c r="A99" s="3" t="s">
        <v>86</v>
      </c>
      <c r="B99" s="31" t="s">
        <v>46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126501903.7</v>
      </c>
      <c r="H99" s="1">
        <v>1</v>
      </c>
      <c r="I99" s="1" t="s">
        <v>26</v>
      </c>
      <c r="J99" s="1" t="s">
        <v>26</v>
      </c>
      <c r="K99" s="2">
        <v>61845375.140000001</v>
      </c>
      <c r="L99" s="1">
        <v>1</v>
      </c>
      <c r="M99" s="1" t="s">
        <v>26</v>
      </c>
      <c r="N99" s="1" t="s">
        <v>26</v>
      </c>
      <c r="O99" s="2" t="s">
        <v>26</v>
      </c>
      <c r="P99" s="1" t="s">
        <v>26</v>
      </c>
      <c r="Q99" s="1" t="s">
        <v>26</v>
      </c>
      <c r="R99" s="1" t="s">
        <v>26</v>
      </c>
      <c r="S99" s="2">
        <v>274087458.02999997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141963247.49000001</v>
      </c>
      <c r="AB99" s="1">
        <v>1</v>
      </c>
      <c r="AC99" s="1" t="s">
        <v>26</v>
      </c>
      <c r="AD99" s="1" t="s">
        <v>26</v>
      </c>
      <c r="AE99" s="2">
        <v>604397984.36000001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 t="s">
        <v>26</v>
      </c>
      <c r="AV99" s="1" t="s">
        <v>26</v>
      </c>
      <c r="AW99" s="1" t="s">
        <v>26</v>
      </c>
      <c r="AX99" s="1" t="s">
        <v>26</v>
      </c>
      <c r="AY99" s="2">
        <v>604397984.36000001</v>
      </c>
      <c r="AZ99" s="1">
        <v>1</v>
      </c>
      <c r="BA99" s="1" t="s">
        <v>26</v>
      </c>
      <c r="BB99" s="1" t="s">
        <v>26</v>
      </c>
    </row>
    <row r="100" spans="1:54" s="8" customFormat="1">
      <c r="A100" s="5" t="s">
        <v>87</v>
      </c>
      <c r="B100" s="24" t="s">
        <v>25</v>
      </c>
      <c r="C100" s="10" t="s">
        <v>26</v>
      </c>
      <c r="D100" s="11" t="s">
        <v>26</v>
      </c>
      <c r="E100" s="11" t="s">
        <v>26</v>
      </c>
      <c r="F100" s="11" t="s">
        <v>26</v>
      </c>
      <c r="G100" s="10">
        <v>1889214176.26</v>
      </c>
      <c r="H100" s="11">
        <v>1.3059046248900001E-2</v>
      </c>
      <c r="I100" s="1" t="s">
        <v>26</v>
      </c>
      <c r="J100" s="1" t="s">
        <v>26</v>
      </c>
      <c r="K100" s="10" t="s">
        <v>26</v>
      </c>
      <c r="L100" s="11" t="s">
        <v>26</v>
      </c>
      <c r="M100" s="11" t="s">
        <v>26</v>
      </c>
      <c r="N100" s="11" t="s">
        <v>26</v>
      </c>
      <c r="O100" s="10">
        <v>3387847211.79</v>
      </c>
      <c r="P100" s="11">
        <v>1.56489468135E-2</v>
      </c>
      <c r="Q100" s="1" t="s">
        <v>26</v>
      </c>
      <c r="R100" s="1" t="s">
        <v>26</v>
      </c>
      <c r="S100" s="10">
        <v>1234682094.97</v>
      </c>
      <c r="T100" s="11">
        <v>1.141862088564E-2</v>
      </c>
      <c r="U100" s="1" t="s">
        <v>26</v>
      </c>
      <c r="V100" s="1" t="s">
        <v>26</v>
      </c>
      <c r="W100" s="10" t="s">
        <v>26</v>
      </c>
      <c r="X100" s="11" t="s">
        <v>26</v>
      </c>
      <c r="Y100" s="11" t="s">
        <v>26</v>
      </c>
      <c r="Z100" s="11" t="s">
        <v>26</v>
      </c>
      <c r="AA100" s="10">
        <v>1888009608.3800001</v>
      </c>
      <c r="AB100" s="11">
        <v>1.412530189932E-2</v>
      </c>
      <c r="AC100" s="1" t="s">
        <v>26</v>
      </c>
      <c r="AD100" s="1" t="s">
        <v>26</v>
      </c>
      <c r="AE100" s="10">
        <v>8399753091.3999996</v>
      </c>
      <c r="AF100" s="11">
        <v>1.360499508335E-2</v>
      </c>
      <c r="AG100" s="1" t="s">
        <v>26</v>
      </c>
      <c r="AH100" s="1" t="s">
        <v>26</v>
      </c>
      <c r="AI100" s="10" t="s">
        <v>26</v>
      </c>
      <c r="AJ100" s="11" t="s">
        <v>26</v>
      </c>
      <c r="AK100" s="11" t="s">
        <v>26</v>
      </c>
      <c r="AL100" s="11" t="s">
        <v>26</v>
      </c>
      <c r="AM100" s="10" t="s">
        <v>26</v>
      </c>
      <c r="AN100" s="11" t="s">
        <v>26</v>
      </c>
      <c r="AO100" s="11" t="s">
        <v>26</v>
      </c>
      <c r="AP100" s="11" t="s">
        <v>26</v>
      </c>
      <c r="AQ100" s="10" t="s">
        <v>26</v>
      </c>
      <c r="AR100" s="11" t="s">
        <v>26</v>
      </c>
      <c r="AS100" s="11" t="s">
        <v>26</v>
      </c>
      <c r="AT100" s="11" t="s">
        <v>26</v>
      </c>
      <c r="AU100" s="10">
        <v>309724520.66000003</v>
      </c>
      <c r="AV100" s="11">
        <v>7.1347810327100003E-3</v>
      </c>
      <c r="AW100" s="1" t="s">
        <v>26</v>
      </c>
      <c r="AX100" s="1" t="s">
        <v>26</v>
      </c>
      <c r="AY100" s="10">
        <v>8709477612.0599995</v>
      </c>
      <c r="AZ100" s="11">
        <v>1.2423027635799999E-2</v>
      </c>
      <c r="BA100" s="1" t="s">
        <v>26</v>
      </c>
      <c r="BB100" s="1" t="s">
        <v>26</v>
      </c>
    </row>
    <row r="101" spans="1:54" s="7" customFormat="1">
      <c r="A101" s="3" t="s">
        <v>86</v>
      </c>
      <c r="B101" s="31" t="s">
        <v>46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1889214176.26</v>
      </c>
      <c r="H101" s="1">
        <v>1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3387847211.79</v>
      </c>
      <c r="P101" s="1">
        <v>1</v>
      </c>
      <c r="Q101" s="1" t="s">
        <v>26</v>
      </c>
      <c r="R101" s="1" t="s">
        <v>26</v>
      </c>
      <c r="S101" s="2">
        <v>1234682094.97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1888009608.3800001</v>
      </c>
      <c r="AB101" s="1">
        <v>1</v>
      </c>
      <c r="AC101" s="1" t="s">
        <v>26</v>
      </c>
      <c r="AD101" s="1" t="s">
        <v>26</v>
      </c>
      <c r="AE101" s="2">
        <v>8399753091.3999996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309724520.66000003</v>
      </c>
      <c r="AV101" s="1">
        <v>1</v>
      </c>
      <c r="AW101" s="1" t="s">
        <v>26</v>
      </c>
      <c r="AX101" s="1" t="s">
        <v>26</v>
      </c>
      <c r="AY101" s="2">
        <v>8709477612.0599995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88</v>
      </c>
      <c r="B102" s="24" t="s">
        <v>25</v>
      </c>
      <c r="C102" s="10" t="s">
        <v>26</v>
      </c>
      <c r="D102" s="11" t="s">
        <v>26</v>
      </c>
      <c r="E102" s="11" t="s">
        <v>26</v>
      </c>
      <c r="F102" s="11" t="s">
        <v>26</v>
      </c>
      <c r="G102" s="10">
        <v>1477276289.74</v>
      </c>
      <c r="H102" s="11">
        <v>1.0211557605559999E-2</v>
      </c>
      <c r="I102" s="1" t="s">
        <v>26</v>
      </c>
      <c r="J102" s="1" t="s">
        <v>26</v>
      </c>
      <c r="K102" s="10" t="s">
        <v>26</v>
      </c>
      <c r="L102" s="11" t="s">
        <v>26</v>
      </c>
      <c r="M102" s="11" t="s">
        <v>26</v>
      </c>
      <c r="N102" s="11" t="s">
        <v>26</v>
      </c>
      <c r="O102" s="10">
        <v>1420457970.9200001</v>
      </c>
      <c r="P102" s="11">
        <v>6.5612968496300004E-3</v>
      </c>
      <c r="Q102" s="1" t="s">
        <v>26</v>
      </c>
      <c r="R102" s="1" t="s">
        <v>26</v>
      </c>
      <c r="S102" s="10">
        <v>1420457970.9100001</v>
      </c>
      <c r="T102" s="11">
        <v>1.3136718447520001E-2</v>
      </c>
      <c r="U102" s="1" t="s">
        <v>26</v>
      </c>
      <c r="V102" s="1" t="s">
        <v>26</v>
      </c>
      <c r="W102" s="10" t="s">
        <v>26</v>
      </c>
      <c r="X102" s="11" t="s">
        <v>26</v>
      </c>
      <c r="Y102" s="11" t="s">
        <v>26</v>
      </c>
      <c r="Z102" s="11" t="s">
        <v>26</v>
      </c>
      <c r="AA102" s="10">
        <v>1362787377.29</v>
      </c>
      <c r="AB102" s="11">
        <v>1.0195807819710001E-2</v>
      </c>
      <c r="AC102" s="1" t="s">
        <v>26</v>
      </c>
      <c r="AD102" s="1" t="s">
        <v>26</v>
      </c>
      <c r="AE102" s="10">
        <v>5680979608.8599997</v>
      </c>
      <c r="AF102" s="11">
        <v>9.2014251855E-3</v>
      </c>
      <c r="AG102" s="1" t="s">
        <v>26</v>
      </c>
      <c r="AH102" s="1" t="s">
        <v>26</v>
      </c>
      <c r="AI102" s="10" t="s">
        <v>26</v>
      </c>
      <c r="AJ102" s="11" t="s">
        <v>26</v>
      </c>
      <c r="AK102" s="11" t="s">
        <v>26</v>
      </c>
      <c r="AL102" s="11" t="s">
        <v>26</v>
      </c>
      <c r="AM102" s="10" t="s">
        <v>26</v>
      </c>
      <c r="AN102" s="11" t="s">
        <v>26</v>
      </c>
      <c r="AO102" s="11" t="s">
        <v>26</v>
      </c>
      <c r="AP102" s="11" t="s">
        <v>26</v>
      </c>
      <c r="AQ102" s="10" t="s">
        <v>26</v>
      </c>
      <c r="AR102" s="11" t="s">
        <v>26</v>
      </c>
      <c r="AS102" s="11" t="s">
        <v>26</v>
      </c>
      <c r="AT102" s="11" t="s">
        <v>26</v>
      </c>
      <c r="AU102" s="10" t="s">
        <v>26</v>
      </c>
      <c r="AV102" s="11" t="s">
        <v>26</v>
      </c>
      <c r="AW102" s="1" t="s">
        <v>26</v>
      </c>
      <c r="AX102" s="1" t="s">
        <v>26</v>
      </c>
      <c r="AY102" s="10">
        <v>5680979608.8599997</v>
      </c>
      <c r="AZ102" s="11">
        <v>8.1032376249000008E-3</v>
      </c>
      <c r="BA102" s="1" t="s">
        <v>26</v>
      </c>
      <c r="BB102" s="1" t="s">
        <v>26</v>
      </c>
    </row>
    <row r="103" spans="1:54" s="8" customFormat="1">
      <c r="A103" s="3" t="s">
        <v>86</v>
      </c>
      <c r="B103" s="31" t="s">
        <v>46</v>
      </c>
      <c r="C103" s="2" t="s">
        <v>26</v>
      </c>
      <c r="D103" s="1" t="s">
        <v>26</v>
      </c>
      <c r="E103" s="1" t="s">
        <v>26</v>
      </c>
      <c r="F103" s="1" t="s">
        <v>26</v>
      </c>
      <c r="G103" s="2">
        <v>1477276289.74</v>
      </c>
      <c r="H103" s="1">
        <v>1</v>
      </c>
      <c r="I103" s="1" t="s">
        <v>26</v>
      </c>
      <c r="J103" s="1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1420457970.9200001</v>
      </c>
      <c r="P103" s="1">
        <v>1</v>
      </c>
      <c r="Q103" s="1" t="s">
        <v>26</v>
      </c>
      <c r="R103" s="1" t="s">
        <v>26</v>
      </c>
      <c r="S103" s="2">
        <v>1420457970.9100001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1362787377.29</v>
      </c>
      <c r="AB103" s="1">
        <v>1</v>
      </c>
      <c r="AC103" s="1" t="s">
        <v>26</v>
      </c>
      <c r="AD103" s="1" t="s">
        <v>26</v>
      </c>
      <c r="AE103" s="2">
        <v>5680979608.8599997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">
        <v>5680979608.8599997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89</v>
      </c>
      <c r="B104" s="24" t="s">
        <v>25</v>
      </c>
      <c r="C104" s="10" t="s">
        <v>26</v>
      </c>
      <c r="D104" s="11" t="s">
        <v>26</v>
      </c>
      <c r="E104" s="11" t="s">
        <v>26</v>
      </c>
      <c r="F104" s="11" t="s">
        <v>26</v>
      </c>
      <c r="G104" s="10" t="s">
        <v>26</v>
      </c>
      <c r="H104" s="11" t="s">
        <v>26</v>
      </c>
      <c r="I104" s="1" t="s">
        <v>26</v>
      </c>
      <c r="J104" s="1" t="s">
        <v>26</v>
      </c>
      <c r="K104" s="10" t="s">
        <v>26</v>
      </c>
      <c r="L104" s="11" t="s">
        <v>26</v>
      </c>
      <c r="M104" s="11" t="s">
        <v>26</v>
      </c>
      <c r="N104" s="11" t="s">
        <v>26</v>
      </c>
      <c r="O104" s="10">
        <v>3424339279.8000002</v>
      </c>
      <c r="P104" s="11">
        <v>1.5817508851780002E-2</v>
      </c>
      <c r="Q104" s="1" t="s">
        <v>26</v>
      </c>
      <c r="R104" s="1" t="s">
        <v>26</v>
      </c>
      <c r="S104" s="10">
        <v>614696801.13999999</v>
      </c>
      <c r="T104" s="11">
        <v>5.6848558511000003E-3</v>
      </c>
      <c r="U104" s="1" t="s">
        <v>26</v>
      </c>
      <c r="V104" s="1" t="s">
        <v>26</v>
      </c>
      <c r="W104" s="10" t="s">
        <v>26</v>
      </c>
      <c r="X104" s="11" t="s">
        <v>26</v>
      </c>
      <c r="Y104" s="11" t="s">
        <v>26</v>
      </c>
      <c r="Z104" s="11" t="s">
        <v>26</v>
      </c>
      <c r="AA104" s="10">
        <v>1229074870.5799999</v>
      </c>
      <c r="AB104" s="11">
        <v>9.1954265098899996E-3</v>
      </c>
      <c r="AC104" s="1" t="s">
        <v>26</v>
      </c>
      <c r="AD104" s="1" t="s">
        <v>26</v>
      </c>
      <c r="AE104" s="10">
        <v>5268110951.5200005</v>
      </c>
      <c r="AF104" s="11">
        <v>8.5327059991099994E-3</v>
      </c>
      <c r="AG104" s="1" t="s">
        <v>26</v>
      </c>
      <c r="AH104" s="1" t="s">
        <v>26</v>
      </c>
      <c r="AI104" s="10" t="s">
        <v>26</v>
      </c>
      <c r="AJ104" s="11" t="s">
        <v>26</v>
      </c>
      <c r="AK104" s="11" t="s">
        <v>26</v>
      </c>
      <c r="AL104" s="11" t="s">
        <v>26</v>
      </c>
      <c r="AM104" s="10" t="s">
        <v>26</v>
      </c>
      <c r="AN104" s="11" t="s">
        <v>26</v>
      </c>
      <c r="AO104" s="11" t="s">
        <v>26</v>
      </c>
      <c r="AP104" s="11" t="s">
        <v>26</v>
      </c>
      <c r="AQ104" s="10" t="s">
        <v>26</v>
      </c>
      <c r="AR104" s="11" t="s">
        <v>26</v>
      </c>
      <c r="AS104" s="11" t="s">
        <v>26</v>
      </c>
      <c r="AT104" s="11" t="s">
        <v>26</v>
      </c>
      <c r="AU104" s="10">
        <v>341498222.85000002</v>
      </c>
      <c r="AV104" s="11">
        <v>7.8667166483999997E-3</v>
      </c>
      <c r="AW104" s="1" t="s">
        <v>26</v>
      </c>
      <c r="AX104" s="1" t="s">
        <v>26</v>
      </c>
      <c r="AY104" s="10">
        <v>5609609174.3699999</v>
      </c>
      <c r="AZ104" s="11">
        <v>8.0014362402999993E-3</v>
      </c>
      <c r="BA104" s="1" t="s">
        <v>26</v>
      </c>
      <c r="BB104" s="1" t="s">
        <v>26</v>
      </c>
    </row>
    <row r="105" spans="1:54" s="7" customFormat="1">
      <c r="A105" s="3" t="s">
        <v>86</v>
      </c>
      <c r="B105" s="31" t="s">
        <v>46</v>
      </c>
      <c r="C105" s="2" t="s">
        <v>26</v>
      </c>
      <c r="D105" s="1" t="s">
        <v>26</v>
      </c>
      <c r="E105" s="1" t="s">
        <v>26</v>
      </c>
      <c r="F105" s="1" t="s">
        <v>26</v>
      </c>
      <c r="G105" s="2" t="s">
        <v>26</v>
      </c>
      <c r="H105" s="1" t="s">
        <v>26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3424339279.8000002</v>
      </c>
      <c r="P105" s="1">
        <v>1</v>
      </c>
      <c r="Q105" s="1" t="s">
        <v>26</v>
      </c>
      <c r="R105" s="1" t="s">
        <v>26</v>
      </c>
      <c r="S105" s="2">
        <v>614696801.13999999</v>
      </c>
      <c r="T105" s="1">
        <v>1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1229074870.5799999</v>
      </c>
      <c r="AB105" s="1">
        <v>1</v>
      </c>
      <c r="AC105" s="1" t="s">
        <v>26</v>
      </c>
      <c r="AD105" s="1" t="s">
        <v>26</v>
      </c>
      <c r="AE105" s="2">
        <v>5268110951.5200005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>
        <v>341498222.85000002</v>
      </c>
      <c r="AV105" s="1">
        <v>1</v>
      </c>
      <c r="AW105" s="1" t="s">
        <v>26</v>
      </c>
      <c r="AX105" s="1" t="s">
        <v>26</v>
      </c>
      <c r="AY105" s="2">
        <v>5609609174.3699999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106</v>
      </c>
      <c r="B106" s="24" t="s">
        <v>25</v>
      </c>
      <c r="C106" s="10" t="s">
        <v>26</v>
      </c>
      <c r="D106" s="11" t="s">
        <v>26</v>
      </c>
      <c r="E106" s="11" t="s">
        <v>26</v>
      </c>
      <c r="F106" s="11" t="s">
        <v>26</v>
      </c>
      <c r="G106" s="10" t="s">
        <v>26</v>
      </c>
      <c r="H106" s="11" t="s">
        <v>26</v>
      </c>
      <c r="I106" s="1" t="s">
        <v>26</v>
      </c>
      <c r="J106" s="1" t="s">
        <v>26</v>
      </c>
      <c r="K106" s="10" t="s">
        <v>26</v>
      </c>
      <c r="L106" s="11" t="s">
        <v>26</v>
      </c>
      <c r="M106" s="11" t="s">
        <v>26</v>
      </c>
      <c r="N106" s="11" t="s">
        <v>26</v>
      </c>
      <c r="O106" s="10">
        <v>651322768.79999995</v>
      </c>
      <c r="P106" s="11">
        <v>3.0085522546300001E-3</v>
      </c>
      <c r="Q106" s="1" t="s">
        <v>26</v>
      </c>
      <c r="R106" s="1" t="s">
        <v>26</v>
      </c>
      <c r="S106" s="10" t="s">
        <v>26</v>
      </c>
      <c r="T106" s="11" t="s">
        <v>26</v>
      </c>
      <c r="U106" s="1" t="s">
        <v>26</v>
      </c>
      <c r="V106" s="1" t="s">
        <v>26</v>
      </c>
      <c r="W106" s="10" t="s">
        <v>26</v>
      </c>
      <c r="X106" s="11" t="s">
        <v>26</v>
      </c>
      <c r="Y106" s="11" t="s">
        <v>26</v>
      </c>
      <c r="Z106" s="11" t="s">
        <v>26</v>
      </c>
      <c r="AA106" s="10" t="s">
        <v>26</v>
      </c>
      <c r="AB106" s="11" t="s">
        <v>26</v>
      </c>
      <c r="AC106" s="1" t="s">
        <v>26</v>
      </c>
      <c r="AD106" s="1" t="s">
        <v>26</v>
      </c>
      <c r="AE106" s="10">
        <v>651322768.79999995</v>
      </c>
      <c r="AF106" s="11">
        <v>1.0549408977599999E-3</v>
      </c>
      <c r="AG106" s="1" t="s">
        <v>26</v>
      </c>
      <c r="AH106" s="1" t="s">
        <v>26</v>
      </c>
      <c r="AI106" s="10" t="s">
        <v>26</v>
      </c>
      <c r="AJ106" s="11" t="s">
        <v>26</v>
      </c>
      <c r="AK106" s="11" t="s">
        <v>26</v>
      </c>
      <c r="AL106" s="11" t="s">
        <v>26</v>
      </c>
      <c r="AM106" s="10" t="s">
        <v>26</v>
      </c>
      <c r="AN106" s="11" t="s">
        <v>26</v>
      </c>
      <c r="AO106" s="11" t="s">
        <v>26</v>
      </c>
      <c r="AP106" s="11" t="s">
        <v>26</v>
      </c>
      <c r="AQ106" s="10" t="s">
        <v>26</v>
      </c>
      <c r="AR106" s="11" t="s">
        <v>26</v>
      </c>
      <c r="AS106" s="11" t="s">
        <v>26</v>
      </c>
      <c r="AT106" s="11" t="s">
        <v>26</v>
      </c>
      <c r="AU106" s="10" t="s">
        <v>26</v>
      </c>
      <c r="AV106" s="11" t="s">
        <v>26</v>
      </c>
      <c r="AW106" s="1" t="s">
        <v>26</v>
      </c>
      <c r="AX106" s="1" t="s">
        <v>26</v>
      </c>
      <c r="AY106" s="10">
        <v>651322768.79999995</v>
      </c>
      <c r="AZ106" s="11">
        <v>9.2903399228000004E-4</v>
      </c>
      <c r="BA106" s="1" t="s">
        <v>26</v>
      </c>
      <c r="BB106" s="1" t="s">
        <v>26</v>
      </c>
    </row>
    <row r="107" spans="1:54" s="7" customFormat="1">
      <c r="A107" s="3" t="s">
        <v>86</v>
      </c>
      <c r="B107" s="31" t="s">
        <v>46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651322768.79999995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651322768.79999995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651322768.79999995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90</v>
      </c>
      <c r="B108" s="24" t="s">
        <v>25</v>
      </c>
      <c r="C108" s="10" t="s">
        <v>26</v>
      </c>
      <c r="D108" s="11" t="s">
        <v>26</v>
      </c>
      <c r="E108" s="11" t="s">
        <v>26</v>
      </c>
      <c r="F108" s="11" t="s">
        <v>26</v>
      </c>
      <c r="G108" s="10" t="s">
        <v>26</v>
      </c>
      <c r="H108" s="11" t="s">
        <v>26</v>
      </c>
      <c r="I108" s="1" t="s">
        <v>26</v>
      </c>
      <c r="J108" s="1" t="s">
        <v>26</v>
      </c>
      <c r="K108" s="10" t="s">
        <v>26</v>
      </c>
      <c r="L108" s="11" t="s">
        <v>26</v>
      </c>
      <c r="M108" s="11" t="s">
        <v>26</v>
      </c>
      <c r="N108" s="11" t="s">
        <v>26</v>
      </c>
      <c r="O108" s="10">
        <v>335330608.04000002</v>
      </c>
      <c r="P108" s="11">
        <v>1.54893964282E-3</v>
      </c>
      <c r="Q108" s="1" t="s">
        <v>26</v>
      </c>
      <c r="R108" s="1" t="s">
        <v>26</v>
      </c>
      <c r="S108" s="10" t="s">
        <v>26</v>
      </c>
      <c r="T108" s="11" t="s">
        <v>26</v>
      </c>
      <c r="U108" s="1" t="s">
        <v>26</v>
      </c>
      <c r="V108" s="1" t="s">
        <v>26</v>
      </c>
      <c r="W108" s="10" t="s">
        <v>26</v>
      </c>
      <c r="X108" s="11" t="s">
        <v>26</v>
      </c>
      <c r="Y108" s="11" t="s">
        <v>26</v>
      </c>
      <c r="Z108" s="11" t="s">
        <v>26</v>
      </c>
      <c r="AA108" s="10">
        <v>335330608.04000002</v>
      </c>
      <c r="AB108" s="11">
        <v>2.50880400906E-3</v>
      </c>
      <c r="AC108" s="1" t="s">
        <v>26</v>
      </c>
      <c r="AD108" s="1" t="s">
        <v>26</v>
      </c>
      <c r="AE108" s="10">
        <v>670661216.08000004</v>
      </c>
      <c r="AF108" s="11">
        <v>1.0862631851299999E-3</v>
      </c>
      <c r="AG108" s="1" t="s">
        <v>26</v>
      </c>
      <c r="AH108" s="1" t="s">
        <v>26</v>
      </c>
      <c r="AI108" s="10" t="s">
        <v>26</v>
      </c>
      <c r="AJ108" s="11" t="s">
        <v>26</v>
      </c>
      <c r="AK108" s="11" t="s">
        <v>26</v>
      </c>
      <c r="AL108" s="11" t="s">
        <v>26</v>
      </c>
      <c r="AM108" s="10" t="s">
        <v>26</v>
      </c>
      <c r="AN108" s="11" t="s">
        <v>26</v>
      </c>
      <c r="AO108" s="11" t="s">
        <v>26</v>
      </c>
      <c r="AP108" s="11" t="s">
        <v>26</v>
      </c>
      <c r="AQ108" s="10" t="s">
        <v>26</v>
      </c>
      <c r="AR108" s="11" t="s">
        <v>26</v>
      </c>
      <c r="AS108" s="11" t="s">
        <v>26</v>
      </c>
      <c r="AT108" s="11" t="s">
        <v>26</v>
      </c>
      <c r="AU108" s="10" t="s">
        <v>26</v>
      </c>
      <c r="AV108" s="11" t="s">
        <v>26</v>
      </c>
      <c r="AW108" s="1" t="s">
        <v>26</v>
      </c>
      <c r="AX108" s="1" t="s">
        <v>26</v>
      </c>
      <c r="AY108" s="10">
        <v>670661216.08000004</v>
      </c>
      <c r="AZ108" s="11">
        <v>9.5661797329000002E-4</v>
      </c>
      <c r="BA108" s="1" t="s">
        <v>26</v>
      </c>
      <c r="BB108" s="1" t="s">
        <v>26</v>
      </c>
    </row>
    <row r="109" spans="1:54" s="8" customFormat="1">
      <c r="A109" s="3" t="s">
        <v>86</v>
      </c>
      <c r="B109" s="31" t="s">
        <v>46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335330608.04000002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>
        <v>335330608.04000002</v>
      </c>
      <c r="AB109" s="1">
        <v>1</v>
      </c>
      <c r="AC109" s="1" t="s">
        <v>26</v>
      </c>
      <c r="AD109" s="1" t="s">
        <v>26</v>
      </c>
      <c r="AE109" s="2">
        <v>670661216.08000004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670661216.08000004</v>
      </c>
      <c r="AZ109" s="1">
        <v>1</v>
      </c>
      <c r="BA109" s="1" t="s">
        <v>26</v>
      </c>
      <c r="BB109" s="1" t="s">
        <v>26</v>
      </c>
    </row>
    <row r="110" spans="1:54" s="8" customFormat="1">
      <c r="A110" s="5" t="s">
        <v>118</v>
      </c>
      <c r="B110" s="24" t="s">
        <v>25</v>
      </c>
      <c r="C110" s="10" t="s">
        <v>26</v>
      </c>
      <c r="D110" s="11" t="s">
        <v>26</v>
      </c>
      <c r="E110" s="11" t="s">
        <v>26</v>
      </c>
      <c r="F110" s="11" t="s">
        <v>26</v>
      </c>
      <c r="G110" s="10" t="s">
        <v>26</v>
      </c>
      <c r="H110" s="11" t="s">
        <v>26</v>
      </c>
      <c r="I110" s="1" t="s">
        <v>26</v>
      </c>
      <c r="J110" s="1" t="s">
        <v>26</v>
      </c>
      <c r="K110" s="10" t="s">
        <v>26</v>
      </c>
      <c r="L110" s="11" t="s">
        <v>26</v>
      </c>
      <c r="M110" s="11" t="s">
        <v>26</v>
      </c>
      <c r="N110" s="11" t="s">
        <v>26</v>
      </c>
      <c r="O110" s="10">
        <v>4561996252.7700005</v>
      </c>
      <c r="P110" s="11">
        <v>2.107250777855E-2</v>
      </c>
      <c r="Q110" s="1" t="s">
        <v>26</v>
      </c>
      <c r="R110" s="1" t="s">
        <v>26</v>
      </c>
      <c r="S110" s="10" t="s">
        <v>26</v>
      </c>
      <c r="T110" s="11" t="s">
        <v>26</v>
      </c>
      <c r="U110" s="1" t="s">
        <v>26</v>
      </c>
      <c r="V110" s="1" t="s">
        <v>26</v>
      </c>
      <c r="W110" s="10" t="s">
        <v>26</v>
      </c>
      <c r="X110" s="11" t="s">
        <v>26</v>
      </c>
      <c r="Y110" s="11" t="s">
        <v>26</v>
      </c>
      <c r="Z110" s="11" t="s">
        <v>26</v>
      </c>
      <c r="AA110" s="10" t="s">
        <v>26</v>
      </c>
      <c r="AB110" s="11" t="s">
        <v>26</v>
      </c>
      <c r="AC110" s="1" t="s">
        <v>26</v>
      </c>
      <c r="AD110" s="1" t="s">
        <v>26</v>
      </c>
      <c r="AE110" s="10">
        <v>4561996252.7700005</v>
      </c>
      <c r="AF110" s="11">
        <v>7.3890191668599999E-3</v>
      </c>
      <c r="AG110" s="1" t="s">
        <v>26</v>
      </c>
      <c r="AH110" s="1" t="s">
        <v>26</v>
      </c>
      <c r="AI110" s="10" t="s">
        <v>26</v>
      </c>
      <c r="AJ110" s="11" t="s">
        <v>26</v>
      </c>
      <c r="AK110" s="11" t="s">
        <v>26</v>
      </c>
      <c r="AL110" s="11" t="s">
        <v>26</v>
      </c>
      <c r="AM110" s="10" t="s">
        <v>26</v>
      </c>
      <c r="AN110" s="11" t="s">
        <v>26</v>
      </c>
      <c r="AO110" s="11" t="s">
        <v>26</v>
      </c>
      <c r="AP110" s="11" t="s">
        <v>26</v>
      </c>
      <c r="AQ110" s="10" t="s">
        <v>26</v>
      </c>
      <c r="AR110" s="11" t="s">
        <v>26</v>
      </c>
      <c r="AS110" s="11" t="s">
        <v>26</v>
      </c>
      <c r="AT110" s="11" t="s">
        <v>26</v>
      </c>
      <c r="AU110" s="10" t="s">
        <v>26</v>
      </c>
      <c r="AV110" s="11" t="s">
        <v>26</v>
      </c>
      <c r="AW110" s="1" t="s">
        <v>26</v>
      </c>
      <c r="AX110" s="1" t="s">
        <v>26</v>
      </c>
      <c r="AY110" s="10">
        <v>4561996252.7700005</v>
      </c>
      <c r="AZ110" s="11">
        <v>6.5071417652099997E-3</v>
      </c>
      <c r="BA110" s="1" t="s">
        <v>26</v>
      </c>
      <c r="BB110" s="1" t="s">
        <v>26</v>
      </c>
    </row>
    <row r="111" spans="1:54" s="7" customFormat="1" ht="14.25" customHeight="1">
      <c r="A111" s="3" t="s">
        <v>86</v>
      </c>
      <c r="B111" s="31" t="s">
        <v>46</v>
      </c>
      <c r="C111" s="2" t="s">
        <v>26</v>
      </c>
      <c r="D111" s="1" t="s">
        <v>26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>
        <v>4561996252.7700005</v>
      </c>
      <c r="P111" s="1">
        <v>1</v>
      </c>
      <c r="Q111" s="1" t="s">
        <v>26</v>
      </c>
      <c r="R111" s="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4561996252.7700005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4561996252.7700005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91</v>
      </c>
      <c r="B112" s="24" t="s">
        <v>25</v>
      </c>
      <c r="C112" s="10" t="s">
        <v>26</v>
      </c>
      <c r="D112" s="11" t="s">
        <v>26</v>
      </c>
      <c r="E112" s="11" t="s">
        <v>26</v>
      </c>
      <c r="F112" s="11" t="s">
        <v>26</v>
      </c>
      <c r="G112" s="10" t="s">
        <v>26</v>
      </c>
      <c r="H112" s="11" t="s">
        <v>26</v>
      </c>
      <c r="I112" s="1" t="s">
        <v>26</v>
      </c>
      <c r="J112" s="1" t="s">
        <v>26</v>
      </c>
      <c r="K112" s="10" t="s">
        <v>26</v>
      </c>
      <c r="L112" s="11" t="s">
        <v>26</v>
      </c>
      <c r="M112" s="11" t="s">
        <v>26</v>
      </c>
      <c r="N112" s="11" t="s">
        <v>26</v>
      </c>
      <c r="O112" s="10" t="s">
        <v>26</v>
      </c>
      <c r="P112" s="11" t="s">
        <v>26</v>
      </c>
      <c r="Q112" s="1" t="s">
        <v>26</v>
      </c>
      <c r="R112" s="1" t="s">
        <v>26</v>
      </c>
      <c r="S112" s="10">
        <v>139796863.41</v>
      </c>
      <c r="T112" s="11">
        <v>1.2928731944699999E-3</v>
      </c>
      <c r="U112" s="1" t="s">
        <v>26</v>
      </c>
      <c r="V112" s="1" t="s">
        <v>26</v>
      </c>
      <c r="W112" s="10" t="s">
        <v>26</v>
      </c>
      <c r="X112" s="11" t="s">
        <v>26</v>
      </c>
      <c r="Y112" s="11" t="s">
        <v>26</v>
      </c>
      <c r="Z112" s="11" t="s">
        <v>26</v>
      </c>
      <c r="AA112" s="10" t="s">
        <v>26</v>
      </c>
      <c r="AB112" s="11" t="s">
        <v>26</v>
      </c>
      <c r="AC112" s="1" t="s">
        <v>26</v>
      </c>
      <c r="AD112" s="1" t="s">
        <v>26</v>
      </c>
      <c r="AE112" s="10">
        <v>139796863.41</v>
      </c>
      <c r="AF112" s="11">
        <v>2.2642756502999999E-4</v>
      </c>
      <c r="AG112" s="1" t="s">
        <v>26</v>
      </c>
      <c r="AH112" s="1" t="s">
        <v>26</v>
      </c>
      <c r="AI112" s="10" t="s">
        <v>26</v>
      </c>
      <c r="AJ112" s="11" t="s">
        <v>26</v>
      </c>
      <c r="AK112" s="11" t="s">
        <v>26</v>
      </c>
      <c r="AL112" s="11" t="s">
        <v>26</v>
      </c>
      <c r="AM112" s="10" t="s">
        <v>26</v>
      </c>
      <c r="AN112" s="11" t="s">
        <v>26</v>
      </c>
      <c r="AO112" s="11" t="s">
        <v>26</v>
      </c>
      <c r="AP112" s="11" t="s">
        <v>26</v>
      </c>
      <c r="AQ112" s="10" t="s">
        <v>26</v>
      </c>
      <c r="AR112" s="11" t="s">
        <v>26</v>
      </c>
      <c r="AS112" s="11" t="s">
        <v>26</v>
      </c>
      <c r="AT112" s="11" t="s">
        <v>26</v>
      </c>
      <c r="AU112" s="10">
        <v>179082843.28</v>
      </c>
      <c r="AV112" s="11">
        <v>4.1253332826099998E-3</v>
      </c>
      <c r="AW112" s="1" t="s">
        <v>26</v>
      </c>
      <c r="AX112" s="1" t="s">
        <v>26</v>
      </c>
      <c r="AY112" s="10">
        <v>318879706.69</v>
      </c>
      <c r="AZ112" s="11">
        <v>4.5484374439000002E-4</v>
      </c>
      <c r="BA112" s="1" t="s">
        <v>26</v>
      </c>
      <c r="BB112" s="1" t="s">
        <v>26</v>
      </c>
    </row>
    <row r="113" spans="1:54" s="7" customFormat="1">
      <c r="A113" s="3" t="s">
        <v>86</v>
      </c>
      <c r="B113" s="31" t="s">
        <v>46</v>
      </c>
      <c r="C113" s="2" t="s">
        <v>26</v>
      </c>
      <c r="D113" s="1" t="s">
        <v>26</v>
      </c>
      <c r="E113" s="1" t="s">
        <v>26</v>
      </c>
      <c r="F113" s="1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139796863.41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139796863.41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>
        <v>179082843.28</v>
      </c>
      <c r="AV113" s="1">
        <v>1</v>
      </c>
      <c r="AW113" s="1" t="s">
        <v>26</v>
      </c>
      <c r="AX113" s="1" t="s">
        <v>26</v>
      </c>
      <c r="AY113" s="2">
        <v>318879706.69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120</v>
      </c>
      <c r="B114" s="24" t="s">
        <v>25</v>
      </c>
      <c r="C114" s="10" t="s">
        <v>26</v>
      </c>
      <c r="D114" s="11" t="s">
        <v>26</v>
      </c>
      <c r="E114" s="11" t="s">
        <v>26</v>
      </c>
      <c r="F114" s="11" t="s">
        <v>26</v>
      </c>
      <c r="G114" s="10" t="s">
        <v>26</v>
      </c>
      <c r="H114" s="11" t="s">
        <v>26</v>
      </c>
      <c r="I114" s="1" t="s">
        <v>26</v>
      </c>
      <c r="J114" s="1" t="s">
        <v>26</v>
      </c>
      <c r="K114" s="10">
        <f>+K115</f>
        <v>22974942.010000002</v>
      </c>
      <c r="L114" s="11">
        <f>+K114/K132</f>
        <v>8.3213489093030557E-3</v>
      </c>
      <c r="M114" s="1" t="s">
        <v>26</v>
      </c>
      <c r="N114" s="1" t="s">
        <v>26</v>
      </c>
      <c r="O114" s="10" t="s">
        <v>26</v>
      </c>
      <c r="P114" s="11" t="s">
        <v>26</v>
      </c>
      <c r="Q114" s="1" t="s">
        <v>26</v>
      </c>
      <c r="R114" s="1" t="s">
        <v>26</v>
      </c>
      <c r="S114" s="10" t="s">
        <v>26</v>
      </c>
      <c r="T114" s="11" t="s">
        <v>26</v>
      </c>
      <c r="U114" s="1" t="s">
        <v>26</v>
      </c>
      <c r="V114" s="1" t="s">
        <v>26</v>
      </c>
      <c r="W114" s="10" t="s">
        <v>26</v>
      </c>
      <c r="X114" s="11" t="s">
        <v>26</v>
      </c>
      <c r="Y114" s="11" t="s">
        <v>26</v>
      </c>
      <c r="Z114" s="11" t="s">
        <v>26</v>
      </c>
      <c r="AA114" s="10" t="s">
        <v>26</v>
      </c>
      <c r="AB114" s="11" t="s">
        <v>26</v>
      </c>
      <c r="AC114" s="1" t="s">
        <v>26</v>
      </c>
      <c r="AD114" s="1" t="s">
        <v>26</v>
      </c>
      <c r="AE114" s="10">
        <f>+AE115</f>
        <v>22974942.010000002</v>
      </c>
      <c r="AF114" s="11">
        <f>+AE114/AE132</f>
        <v>3.721228108555168E-5</v>
      </c>
      <c r="AG114" s="1" t="s">
        <v>26</v>
      </c>
      <c r="AH114" s="1" t="s">
        <v>26</v>
      </c>
      <c r="AI114" s="10" t="s">
        <v>26</v>
      </c>
      <c r="AJ114" s="11" t="s">
        <v>26</v>
      </c>
      <c r="AK114" s="11" t="s">
        <v>26</v>
      </c>
      <c r="AL114" s="11" t="s">
        <v>26</v>
      </c>
      <c r="AM114" s="10" t="s">
        <v>26</v>
      </c>
      <c r="AN114" s="11" t="s">
        <v>26</v>
      </c>
      <c r="AO114" s="11" t="s">
        <v>26</v>
      </c>
      <c r="AP114" s="11" t="s">
        <v>26</v>
      </c>
      <c r="AQ114" s="10" t="s">
        <v>26</v>
      </c>
      <c r="AR114" s="11" t="s">
        <v>26</v>
      </c>
      <c r="AS114" s="11" t="s">
        <v>26</v>
      </c>
      <c r="AT114" s="11" t="s">
        <v>26</v>
      </c>
      <c r="AU114" s="10" t="s">
        <v>26</v>
      </c>
      <c r="AV114" s="11" t="s">
        <v>26</v>
      </c>
      <c r="AW114" s="1" t="s">
        <v>26</v>
      </c>
      <c r="AX114" s="1" t="s">
        <v>26</v>
      </c>
      <c r="AY114" s="10">
        <f>+AY115</f>
        <v>22974942.010000002</v>
      </c>
      <c r="AZ114" s="11">
        <v>5.6159191000000003E-7</v>
      </c>
      <c r="BA114" s="1" t="s">
        <v>26</v>
      </c>
      <c r="BB114" s="1" t="s">
        <v>26</v>
      </c>
    </row>
    <row r="115" spans="1:54" s="7" customFormat="1">
      <c r="A115" s="3" t="s">
        <v>86</v>
      </c>
      <c r="B115" s="31" t="s">
        <v>46</v>
      </c>
      <c r="C115" s="2" t="s">
        <v>26</v>
      </c>
      <c r="D115" s="1" t="s">
        <v>26</v>
      </c>
      <c r="E115" s="1" t="s">
        <v>26</v>
      </c>
      <c r="F115" s="1" t="s">
        <v>26</v>
      </c>
      <c r="G115" s="2" t="s">
        <v>26</v>
      </c>
      <c r="H115" s="1" t="s">
        <v>26</v>
      </c>
      <c r="I115" s="1" t="s">
        <v>26</v>
      </c>
      <c r="J115" s="1" t="s">
        <v>26</v>
      </c>
      <c r="K115" s="2">
        <v>22974942.010000002</v>
      </c>
      <c r="L115" s="1">
        <v>1</v>
      </c>
      <c r="M115" s="1" t="s">
        <v>26</v>
      </c>
      <c r="N115" s="1" t="s">
        <v>26</v>
      </c>
      <c r="O115" s="2" t="s">
        <v>26</v>
      </c>
      <c r="P115" s="1" t="s">
        <v>26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22974942.010000002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22974942.010000002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92</v>
      </c>
      <c r="B116" s="24" t="s">
        <v>25</v>
      </c>
      <c r="C116" s="10" t="s">
        <v>26</v>
      </c>
      <c r="D116" s="11" t="s">
        <v>26</v>
      </c>
      <c r="E116" s="11" t="s">
        <v>26</v>
      </c>
      <c r="F116" s="11" t="s">
        <v>26</v>
      </c>
      <c r="G116" s="10">
        <v>673397358.87</v>
      </c>
      <c r="H116" s="11">
        <v>4.6548069371199997E-3</v>
      </c>
      <c r="I116" s="1" t="s">
        <v>26</v>
      </c>
      <c r="J116" s="1" t="s">
        <v>26</v>
      </c>
      <c r="K116" s="10" t="s">
        <v>26</v>
      </c>
      <c r="L116" s="11" t="s">
        <v>26</v>
      </c>
      <c r="M116" s="11" t="s">
        <v>26</v>
      </c>
      <c r="N116" s="11" t="s">
        <v>26</v>
      </c>
      <c r="O116" s="10">
        <v>2115096372.26</v>
      </c>
      <c r="P116" s="11">
        <v>9.7699301549800006E-3</v>
      </c>
      <c r="Q116" s="1" t="s">
        <v>26</v>
      </c>
      <c r="R116" s="1" t="s">
        <v>26</v>
      </c>
      <c r="S116" s="10" t="s">
        <v>26</v>
      </c>
      <c r="T116" s="11" t="s">
        <v>26</v>
      </c>
      <c r="U116" s="1" t="s">
        <v>26</v>
      </c>
      <c r="V116" s="1" t="s">
        <v>26</v>
      </c>
      <c r="W116" s="10" t="s">
        <v>26</v>
      </c>
      <c r="X116" s="11" t="s">
        <v>26</v>
      </c>
      <c r="Y116" s="11" t="s">
        <v>26</v>
      </c>
      <c r="Z116" s="11" t="s">
        <v>26</v>
      </c>
      <c r="AA116" s="10" t="s">
        <v>26</v>
      </c>
      <c r="AB116" s="11" t="s">
        <v>26</v>
      </c>
      <c r="AC116" s="1" t="s">
        <v>26</v>
      </c>
      <c r="AD116" s="1" t="s">
        <v>26</v>
      </c>
      <c r="AE116" s="10">
        <v>2788493731.1300001</v>
      </c>
      <c r="AF116" s="11">
        <v>4.5164950789800002E-3</v>
      </c>
      <c r="AG116" s="1" t="s">
        <v>26</v>
      </c>
      <c r="AH116" s="1" t="s">
        <v>26</v>
      </c>
      <c r="AI116" s="10" t="s">
        <v>26</v>
      </c>
      <c r="AJ116" s="11" t="s">
        <v>26</v>
      </c>
      <c r="AK116" s="11" t="s">
        <v>26</v>
      </c>
      <c r="AL116" s="11" t="s">
        <v>26</v>
      </c>
      <c r="AM116" s="10" t="s">
        <v>26</v>
      </c>
      <c r="AN116" s="11" t="s">
        <v>26</v>
      </c>
      <c r="AO116" s="11" t="s">
        <v>26</v>
      </c>
      <c r="AP116" s="11" t="s">
        <v>26</v>
      </c>
      <c r="AQ116" s="10" t="s">
        <v>26</v>
      </c>
      <c r="AR116" s="11" t="s">
        <v>26</v>
      </c>
      <c r="AS116" s="11" t="s">
        <v>26</v>
      </c>
      <c r="AT116" s="11" t="s">
        <v>26</v>
      </c>
      <c r="AU116" s="10" t="s">
        <v>26</v>
      </c>
      <c r="AV116" s="11" t="s">
        <v>26</v>
      </c>
      <c r="AW116" s="1" t="s">
        <v>26</v>
      </c>
      <c r="AX116" s="1" t="s">
        <v>26</v>
      </c>
      <c r="AY116" s="10">
        <v>2788493731.1300001</v>
      </c>
      <c r="AZ116" s="11">
        <v>3.9774526357499998E-3</v>
      </c>
      <c r="BA116" s="1" t="s">
        <v>26</v>
      </c>
      <c r="BB116" s="1" t="s">
        <v>26</v>
      </c>
    </row>
    <row r="117" spans="1:54" s="7" customFormat="1">
      <c r="A117" s="3" t="s">
        <v>86</v>
      </c>
      <c r="B117" s="31" t="s">
        <v>46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673397358.87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2115096372.26</v>
      </c>
      <c r="P117" s="1">
        <v>1</v>
      </c>
      <c r="Q117" s="1" t="s">
        <v>26</v>
      </c>
      <c r="R117" s="1" t="s">
        <v>26</v>
      </c>
      <c r="S117" s="2" t="s">
        <v>26</v>
      </c>
      <c r="T117" s="1" t="s">
        <v>26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2788493731.1300001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2788493731.1300001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93</v>
      </c>
      <c r="B118" s="24" t="s">
        <v>25</v>
      </c>
      <c r="C118" s="10" t="s">
        <v>26</v>
      </c>
      <c r="D118" s="11" t="s">
        <v>26</v>
      </c>
      <c r="E118" s="11" t="s">
        <v>26</v>
      </c>
      <c r="F118" s="11" t="s">
        <v>26</v>
      </c>
      <c r="G118" s="10">
        <v>1499196798.4100001</v>
      </c>
      <c r="H118" s="11">
        <v>1.0363081419070001E-2</v>
      </c>
      <c r="I118" s="1" t="s">
        <v>26</v>
      </c>
      <c r="J118" s="1" t="s">
        <v>26</v>
      </c>
      <c r="K118" s="10" t="s">
        <v>26</v>
      </c>
      <c r="L118" s="11" t="s">
        <v>26</v>
      </c>
      <c r="M118" s="11" t="s">
        <v>26</v>
      </c>
      <c r="N118" s="11" t="s">
        <v>26</v>
      </c>
      <c r="O118" s="10">
        <v>3571946082</v>
      </c>
      <c r="P118" s="11">
        <v>1.649932560813E-2</v>
      </c>
      <c r="Q118" s="1" t="s">
        <v>26</v>
      </c>
      <c r="R118" s="1" t="s">
        <v>26</v>
      </c>
      <c r="S118" s="10">
        <v>1000144902.96</v>
      </c>
      <c r="T118" s="11">
        <v>9.2495675802999992E-3</v>
      </c>
      <c r="U118" s="1" t="s">
        <v>26</v>
      </c>
      <c r="V118" s="1" t="s">
        <v>26</v>
      </c>
      <c r="W118" s="10" t="s">
        <v>26</v>
      </c>
      <c r="X118" s="11" t="s">
        <v>26</v>
      </c>
      <c r="Y118" s="11" t="s">
        <v>26</v>
      </c>
      <c r="Z118" s="11" t="s">
        <v>26</v>
      </c>
      <c r="AA118" s="10" t="s">
        <v>26</v>
      </c>
      <c r="AB118" s="11" t="s">
        <v>26</v>
      </c>
      <c r="AC118" s="1" t="s">
        <v>26</v>
      </c>
      <c r="AD118" s="1" t="s">
        <v>26</v>
      </c>
      <c r="AE118" s="10">
        <v>6071287783.3699999</v>
      </c>
      <c r="AF118" s="11">
        <v>9.8336033861500007E-3</v>
      </c>
      <c r="AG118" s="1" t="s">
        <v>26</v>
      </c>
      <c r="AH118" s="1" t="s">
        <v>26</v>
      </c>
      <c r="AI118" s="10" t="s">
        <v>26</v>
      </c>
      <c r="AJ118" s="11" t="s">
        <v>26</v>
      </c>
      <c r="AK118" s="11" t="s">
        <v>26</v>
      </c>
      <c r="AL118" s="11" t="s">
        <v>26</v>
      </c>
      <c r="AM118" s="10" t="s">
        <v>26</v>
      </c>
      <c r="AN118" s="11" t="s">
        <v>26</v>
      </c>
      <c r="AO118" s="11" t="s">
        <v>26</v>
      </c>
      <c r="AP118" s="11" t="s">
        <v>26</v>
      </c>
      <c r="AQ118" s="10" t="s">
        <v>26</v>
      </c>
      <c r="AR118" s="11" t="s">
        <v>26</v>
      </c>
      <c r="AS118" s="11" t="s">
        <v>26</v>
      </c>
      <c r="AT118" s="11" t="s">
        <v>26</v>
      </c>
      <c r="AU118" s="10">
        <v>1000144902.96</v>
      </c>
      <c r="AV118" s="11">
        <v>2.3039231341440002E-2</v>
      </c>
      <c r="AW118" s="1" t="s">
        <v>26</v>
      </c>
      <c r="AX118" s="1" t="s">
        <v>26</v>
      </c>
      <c r="AY118" s="10">
        <v>7071432686.3299999</v>
      </c>
      <c r="AZ118" s="11">
        <v>1.0086552558029999E-2</v>
      </c>
      <c r="BA118" s="1" t="s">
        <v>26</v>
      </c>
      <c r="BB118" s="1" t="s">
        <v>26</v>
      </c>
    </row>
    <row r="119" spans="1:54" s="49" customFormat="1">
      <c r="A119" s="3" t="s">
        <v>86</v>
      </c>
      <c r="B119" s="31" t="s">
        <v>37</v>
      </c>
      <c r="C119" s="2" t="s">
        <v>26</v>
      </c>
      <c r="D119" s="1" t="s">
        <v>26</v>
      </c>
      <c r="E119" s="1" t="s">
        <v>26</v>
      </c>
      <c r="F119" s="1" t="s">
        <v>26</v>
      </c>
      <c r="G119" s="2">
        <v>1499196798.4100001</v>
      </c>
      <c r="H119" s="1">
        <v>1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3571946082</v>
      </c>
      <c r="P119" s="1">
        <v>1</v>
      </c>
      <c r="Q119" s="1" t="s">
        <v>26</v>
      </c>
      <c r="R119" s="1" t="s">
        <v>26</v>
      </c>
      <c r="S119" s="2">
        <v>1000144902.96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6071287783.3699999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>
        <v>1000144902.96</v>
      </c>
      <c r="AV119" s="1">
        <v>1</v>
      </c>
      <c r="AW119" s="1" t="s">
        <v>26</v>
      </c>
      <c r="AX119" s="1" t="s">
        <v>26</v>
      </c>
      <c r="AY119" s="2">
        <v>7071432686.3299999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94</v>
      </c>
      <c r="B120" s="24" t="s">
        <v>25</v>
      </c>
      <c r="C120" s="10" t="s">
        <v>26</v>
      </c>
      <c r="D120" s="11" t="s">
        <v>26</v>
      </c>
      <c r="E120" s="11" t="s">
        <v>26</v>
      </c>
      <c r="F120" s="11" t="s">
        <v>26</v>
      </c>
      <c r="G120" s="10">
        <v>556244782.5</v>
      </c>
      <c r="H120" s="11">
        <v>3.8449988527799999E-3</v>
      </c>
      <c r="I120" s="1" t="s">
        <v>26</v>
      </c>
      <c r="J120" s="1" t="s">
        <v>26</v>
      </c>
      <c r="K120" s="10" t="s">
        <v>26</v>
      </c>
      <c r="L120" s="11" t="s">
        <v>26</v>
      </c>
      <c r="M120" s="11" t="s">
        <v>26</v>
      </c>
      <c r="N120" s="11" t="s">
        <v>26</v>
      </c>
      <c r="O120" s="10">
        <v>771277890.51999998</v>
      </c>
      <c r="P120" s="11">
        <v>3.5626419766399998E-3</v>
      </c>
      <c r="Q120" s="1" t="s">
        <v>26</v>
      </c>
      <c r="R120" s="1" t="s">
        <v>26</v>
      </c>
      <c r="S120" s="10">
        <v>257207587.43000001</v>
      </c>
      <c r="T120" s="11">
        <v>2.3787142793600001E-3</v>
      </c>
      <c r="U120" s="1" t="s">
        <v>26</v>
      </c>
      <c r="V120" s="1" t="s">
        <v>26</v>
      </c>
      <c r="W120" s="10" t="s">
        <v>26</v>
      </c>
      <c r="X120" s="11" t="s">
        <v>26</v>
      </c>
      <c r="Y120" s="11" t="s">
        <v>26</v>
      </c>
      <c r="Z120" s="11" t="s">
        <v>26</v>
      </c>
      <c r="AA120" s="10">
        <v>834367173.75</v>
      </c>
      <c r="AB120" s="11">
        <v>6.2423878415599999E-3</v>
      </c>
      <c r="AC120" s="1" t="s">
        <v>26</v>
      </c>
      <c r="AD120" s="1" t="s">
        <v>26</v>
      </c>
      <c r="AE120" s="10">
        <v>2419097434.1999998</v>
      </c>
      <c r="AF120" s="11">
        <v>3.9181876348400001E-3</v>
      </c>
      <c r="AG120" s="1" t="s">
        <v>26</v>
      </c>
      <c r="AH120" s="1" t="s">
        <v>26</v>
      </c>
      <c r="AI120" s="10" t="s">
        <v>26</v>
      </c>
      <c r="AJ120" s="11" t="s">
        <v>26</v>
      </c>
      <c r="AK120" s="11" t="s">
        <v>26</v>
      </c>
      <c r="AL120" s="11" t="s">
        <v>26</v>
      </c>
      <c r="AM120" s="10" t="s">
        <v>26</v>
      </c>
      <c r="AN120" s="11" t="s">
        <v>26</v>
      </c>
      <c r="AO120" s="11" t="s">
        <v>26</v>
      </c>
      <c r="AP120" s="11" t="s">
        <v>26</v>
      </c>
      <c r="AQ120" s="10" t="s">
        <v>26</v>
      </c>
      <c r="AR120" s="11" t="s">
        <v>26</v>
      </c>
      <c r="AS120" s="11" t="s">
        <v>26</v>
      </c>
      <c r="AT120" s="11" t="s">
        <v>26</v>
      </c>
      <c r="AU120" s="10" t="s">
        <v>26</v>
      </c>
      <c r="AV120" s="11" t="s">
        <v>26</v>
      </c>
      <c r="AW120" s="1" t="s">
        <v>26</v>
      </c>
      <c r="AX120" s="1" t="s">
        <v>26</v>
      </c>
      <c r="AY120" s="10">
        <v>2419097434.1999998</v>
      </c>
      <c r="AZ120" s="11">
        <v>3.4505530202100002E-3</v>
      </c>
      <c r="BA120" s="1" t="s">
        <v>26</v>
      </c>
      <c r="BB120" s="1" t="s">
        <v>26</v>
      </c>
    </row>
    <row r="121" spans="1:54" s="7" customFormat="1">
      <c r="A121" s="3" t="s">
        <v>86</v>
      </c>
      <c r="B121" s="31" t="s">
        <v>46</v>
      </c>
      <c r="C121" s="2" t="s">
        <v>26</v>
      </c>
      <c r="D121" s="1" t="s">
        <v>26</v>
      </c>
      <c r="E121" s="1" t="s">
        <v>26</v>
      </c>
      <c r="F121" s="1" t="s">
        <v>26</v>
      </c>
      <c r="G121" s="2">
        <v>556244782.5</v>
      </c>
      <c r="H121" s="1">
        <v>1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771277890.51999998</v>
      </c>
      <c r="P121" s="1">
        <v>1</v>
      </c>
      <c r="Q121" s="1" t="s">
        <v>26</v>
      </c>
      <c r="R121" s="1" t="s">
        <v>26</v>
      </c>
      <c r="S121" s="2">
        <v>257207587.43000001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2">
        <v>834367173.75</v>
      </c>
      <c r="AB121" s="23">
        <v>1</v>
      </c>
      <c r="AC121" s="1" t="s">
        <v>26</v>
      </c>
      <c r="AD121" s="1" t="s">
        <v>26</v>
      </c>
      <c r="AE121" s="2">
        <v>2419097434.1999998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2419097434.1999998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95</v>
      </c>
      <c r="B122" s="24" t="s">
        <v>25</v>
      </c>
      <c r="C122" s="10" t="s">
        <v>26</v>
      </c>
      <c r="D122" s="11" t="s">
        <v>26</v>
      </c>
      <c r="E122" s="11" t="s">
        <v>26</v>
      </c>
      <c r="F122" s="11" t="s">
        <v>26</v>
      </c>
      <c r="G122" s="10" t="s">
        <v>26</v>
      </c>
      <c r="H122" s="11" t="s">
        <v>26</v>
      </c>
      <c r="I122" s="11" t="s">
        <v>26</v>
      </c>
      <c r="J122" s="11" t="s">
        <v>26</v>
      </c>
      <c r="K122" s="10" t="s">
        <v>26</v>
      </c>
      <c r="L122" s="11" t="s">
        <v>26</v>
      </c>
      <c r="M122" s="11" t="s">
        <v>26</v>
      </c>
      <c r="N122" s="11" t="s">
        <v>26</v>
      </c>
      <c r="O122" s="10">
        <v>348133008.56</v>
      </c>
      <c r="P122" s="11">
        <v>1.60807574675E-3</v>
      </c>
      <c r="Q122" s="1" t="s">
        <v>26</v>
      </c>
      <c r="R122" s="1" t="s">
        <v>26</v>
      </c>
      <c r="S122" s="10" t="s">
        <v>26</v>
      </c>
      <c r="T122" s="11" t="s">
        <v>26</v>
      </c>
      <c r="U122" s="11" t="s">
        <v>26</v>
      </c>
      <c r="V122" s="11" t="s">
        <v>26</v>
      </c>
      <c r="W122" s="10" t="s">
        <v>26</v>
      </c>
      <c r="X122" s="11" t="s">
        <v>26</v>
      </c>
      <c r="Y122" s="11" t="s">
        <v>26</v>
      </c>
      <c r="Z122" s="11" t="s">
        <v>26</v>
      </c>
      <c r="AA122" s="10" t="s">
        <v>26</v>
      </c>
      <c r="AB122" s="11" t="s">
        <v>26</v>
      </c>
      <c r="AC122" s="11" t="s">
        <v>26</v>
      </c>
      <c r="AD122" s="11" t="s">
        <v>26</v>
      </c>
      <c r="AE122" s="10">
        <v>348133008.56</v>
      </c>
      <c r="AF122" s="11">
        <v>5.6386751114000002E-4</v>
      </c>
      <c r="AG122" s="1" t="s">
        <v>26</v>
      </c>
      <c r="AH122" s="1" t="s">
        <v>26</v>
      </c>
      <c r="AI122" s="10" t="s">
        <v>26</v>
      </c>
      <c r="AJ122" s="11" t="s">
        <v>26</v>
      </c>
      <c r="AK122" s="11" t="s">
        <v>26</v>
      </c>
      <c r="AL122" s="11" t="s">
        <v>26</v>
      </c>
      <c r="AM122" s="10" t="s">
        <v>26</v>
      </c>
      <c r="AN122" s="11" t="s">
        <v>26</v>
      </c>
      <c r="AO122" s="11" t="s">
        <v>26</v>
      </c>
      <c r="AP122" s="11" t="s">
        <v>26</v>
      </c>
      <c r="AQ122" s="10" t="s">
        <v>26</v>
      </c>
      <c r="AR122" s="11" t="s">
        <v>26</v>
      </c>
      <c r="AS122" s="11" t="s">
        <v>26</v>
      </c>
      <c r="AT122" s="11" t="s">
        <v>26</v>
      </c>
      <c r="AU122" s="10" t="s">
        <v>26</v>
      </c>
      <c r="AV122" s="11" t="s">
        <v>26</v>
      </c>
      <c r="AW122" s="11" t="s">
        <v>26</v>
      </c>
      <c r="AX122" s="11" t="s">
        <v>26</v>
      </c>
      <c r="AY122" s="10">
        <v>348133008.56</v>
      </c>
      <c r="AZ122" s="11">
        <v>4.9657007905000005E-4</v>
      </c>
      <c r="BA122" s="1" t="s">
        <v>26</v>
      </c>
      <c r="BB122" s="1" t="s">
        <v>26</v>
      </c>
    </row>
    <row r="123" spans="1:54" s="7" customFormat="1">
      <c r="A123" s="3" t="s">
        <v>86</v>
      </c>
      <c r="B123" s="31" t="s">
        <v>56</v>
      </c>
      <c r="C123" s="2" t="s">
        <v>26</v>
      </c>
      <c r="D123" s="1" t="s">
        <v>26</v>
      </c>
      <c r="E123" s="1" t="s">
        <v>26</v>
      </c>
      <c r="F123" s="1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348133008.56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348133008.56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348133008.56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96</v>
      </c>
      <c r="B124" s="24" t="s">
        <v>25</v>
      </c>
      <c r="C124" s="10" t="s">
        <v>26</v>
      </c>
      <c r="D124" s="11" t="s">
        <v>26</v>
      </c>
      <c r="E124" s="11" t="s">
        <v>26</v>
      </c>
      <c r="F124" s="11" t="s">
        <v>26</v>
      </c>
      <c r="G124" s="10" t="s">
        <v>26</v>
      </c>
      <c r="H124" s="11" t="s">
        <v>26</v>
      </c>
      <c r="I124" s="11" t="s">
        <v>26</v>
      </c>
      <c r="J124" s="11" t="s">
        <v>26</v>
      </c>
      <c r="K124" s="10" t="s">
        <v>26</v>
      </c>
      <c r="L124" s="11" t="s">
        <v>26</v>
      </c>
      <c r="M124" s="11" t="s">
        <v>26</v>
      </c>
      <c r="N124" s="11" t="s">
        <v>26</v>
      </c>
      <c r="O124" s="10">
        <v>31460867.640000001</v>
      </c>
      <c r="P124" s="11">
        <v>1.4532221012999999E-4</v>
      </c>
      <c r="Q124" s="1" t="s">
        <v>26</v>
      </c>
      <c r="R124" s="1" t="s">
        <v>26</v>
      </c>
      <c r="S124" s="10" t="s">
        <v>26</v>
      </c>
      <c r="T124" s="11" t="s">
        <v>26</v>
      </c>
      <c r="U124" s="11" t="s">
        <v>26</v>
      </c>
      <c r="V124" s="11" t="s">
        <v>26</v>
      </c>
      <c r="W124" s="10" t="s">
        <v>26</v>
      </c>
      <c r="X124" s="11" t="s">
        <v>26</v>
      </c>
      <c r="Y124" s="11" t="s">
        <v>26</v>
      </c>
      <c r="Z124" s="11" t="s">
        <v>26</v>
      </c>
      <c r="AA124" s="10" t="s">
        <v>26</v>
      </c>
      <c r="AB124" s="11" t="s">
        <v>26</v>
      </c>
      <c r="AC124" s="11" t="s">
        <v>26</v>
      </c>
      <c r="AD124" s="11" t="s">
        <v>26</v>
      </c>
      <c r="AE124" s="10">
        <v>31460867.640000001</v>
      </c>
      <c r="AF124" s="11">
        <v>5.0956848960000001E-5</v>
      </c>
      <c r="AG124" s="1" t="s">
        <v>26</v>
      </c>
      <c r="AH124" s="1" t="s">
        <v>26</v>
      </c>
      <c r="AI124" s="10" t="s">
        <v>26</v>
      </c>
      <c r="AJ124" s="11" t="s">
        <v>26</v>
      </c>
      <c r="AK124" s="11" t="s">
        <v>26</v>
      </c>
      <c r="AL124" s="11" t="s">
        <v>26</v>
      </c>
      <c r="AM124" s="10" t="s">
        <v>26</v>
      </c>
      <c r="AN124" s="11" t="s">
        <v>26</v>
      </c>
      <c r="AO124" s="11" t="s">
        <v>26</v>
      </c>
      <c r="AP124" s="11" t="s">
        <v>26</v>
      </c>
      <c r="AQ124" s="10" t="s">
        <v>26</v>
      </c>
      <c r="AR124" s="11" t="s">
        <v>26</v>
      </c>
      <c r="AS124" s="11" t="s">
        <v>26</v>
      </c>
      <c r="AT124" s="11" t="s">
        <v>26</v>
      </c>
      <c r="AU124" s="10" t="s">
        <v>26</v>
      </c>
      <c r="AV124" s="11" t="s">
        <v>26</v>
      </c>
      <c r="AW124" s="11" t="s">
        <v>26</v>
      </c>
      <c r="AX124" s="11" t="s">
        <v>26</v>
      </c>
      <c r="AY124" s="10">
        <v>31460867.640000001</v>
      </c>
      <c r="AZ124" s="11">
        <v>4.4875163070000001E-5</v>
      </c>
      <c r="BA124" s="1" t="s">
        <v>26</v>
      </c>
      <c r="BB124" s="1" t="s">
        <v>26</v>
      </c>
    </row>
    <row r="125" spans="1:54" s="7" customFormat="1">
      <c r="A125" s="3" t="s">
        <v>86</v>
      </c>
      <c r="B125" s="31" t="s">
        <v>56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31460867.640000001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31460867.640000001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31460867.640000001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97</v>
      </c>
      <c r="B126" s="24" t="s">
        <v>25</v>
      </c>
      <c r="C126" s="10" t="s">
        <v>26</v>
      </c>
      <c r="D126" s="11" t="s">
        <v>26</v>
      </c>
      <c r="E126" s="11" t="s">
        <v>26</v>
      </c>
      <c r="F126" s="11" t="s">
        <v>26</v>
      </c>
      <c r="G126" s="10" t="s">
        <v>26</v>
      </c>
      <c r="H126" s="11" t="s">
        <v>26</v>
      </c>
      <c r="I126" s="11" t="s">
        <v>26</v>
      </c>
      <c r="J126" s="11" t="s">
        <v>26</v>
      </c>
      <c r="K126" s="10" t="s">
        <v>26</v>
      </c>
      <c r="L126" s="11" t="s">
        <v>26</v>
      </c>
      <c r="M126" s="11" t="s">
        <v>26</v>
      </c>
      <c r="N126" s="11" t="s">
        <v>26</v>
      </c>
      <c r="O126" s="10">
        <v>1876241265.5999999</v>
      </c>
      <c r="P126" s="11">
        <v>8.6666245374000007E-3</v>
      </c>
      <c r="Q126" s="1" t="s">
        <v>26</v>
      </c>
      <c r="R126" s="1" t="s">
        <v>26</v>
      </c>
      <c r="S126" s="10" t="s">
        <v>26</v>
      </c>
      <c r="T126" s="11" t="s">
        <v>26</v>
      </c>
      <c r="U126" s="11" t="s">
        <v>26</v>
      </c>
      <c r="V126" s="11" t="s">
        <v>26</v>
      </c>
      <c r="W126" s="10" t="s">
        <v>26</v>
      </c>
      <c r="X126" s="11" t="s">
        <v>26</v>
      </c>
      <c r="Y126" s="11" t="s">
        <v>26</v>
      </c>
      <c r="Z126" s="11" t="s">
        <v>26</v>
      </c>
      <c r="AA126" s="10" t="s">
        <v>26</v>
      </c>
      <c r="AB126" s="11" t="s">
        <v>26</v>
      </c>
      <c r="AC126" s="11" t="s">
        <v>26</v>
      </c>
      <c r="AD126" s="11" t="s">
        <v>26</v>
      </c>
      <c r="AE126" s="10">
        <v>1876241265.5999999</v>
      </c>
      <c r="AF126" s="11">
        <v>3.0389289918299998E-3</v>
      </c>
      <c r="AG126" s="1" t="s">
        <v>26</v>
      </c>
      <c r="AH126" s="1" t="s">
        <v>26</v>
      </c>
      <c r="AI126" s="10" t="s">
        <v>26</v>
      </c>
      <c r="AJ126" s="11" t="s">
        <v>26</v>
      </c>
      <c r="AK126" s="11" t="s">
        <v>26</v>
      </c>
      <c r="AL126" s="11" t="s">
        <v>26</v>
      </c>
      <c r="AM126" s="10" t="s">
        <v>26</v>
      </c>
      <c r="AN126" s="11" t="s">
        <v>26</v>
      </c>
      <c r="AO126" s="11" t="s">
        <v>26</v>
      </c>
      <c r="AP126" s="11" t="s">
        <v>26</v>
      </c>
      <c r="AQ126" s="10" t="s">
        <v>26</v>
      </c>
      <c r="AR126" s="11" t="s">
        <v>26</v>
      </c>
      <c r="AS126" s="11" t="s">
        <v>26</v>
      </c>
      <c r="AT126" s="11" t="s">
        <v>26</v>
      </c>
      <c r="AU126" s="10" t="s">
        <v>26</v>
      </c>
      <c r="AV126" s="11" t="s">
        <v>26</v>
      </c>
      <c r="AW126" s="11" t="s">
        <v>26</v>
      </c>
      <c r="AX126" s="11" t="s">
        <v>26</v>
      </c>
      <c r="AY126" s="10">
        <v>1876241265.5999999</v>
      </c>
      <c r="AZ126" s="11">
        <v>2.67623365398E-3</v>
      </c>
      <c r="BA126" s="1" t="s">
        <v>26</v>
      </c>
      <c r="BB126" s="1" t="s">
        <v>26</v>
      </c>
    </row>
    <row r="127" spans="1:54">
      <c r="A127" s="3" t="s">
        <v>86</v>
      </c>
      <c r="B127" s="31" t="s">
        <v>46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1876241265.5999999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1876241265.5999999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1876241265.5999999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98</v>
      </c>
      <c r="B128" s="24" t="s">
        <v>25</v>
      </c>
      <c r="C128" s="10" t="s">
        <v>26</v>
      </c>
      <c r="D128" s="11" t="s">
        <v>26</v>
      </c>
      <c r="E128" s="11" t="s">
        <v>26</v>
      </c>
      <c r="F128" s="11" t="s">
        <v>26</v>
      </c>
      <c r="G128" s="10" t="s">
        <v>26</v>
      </c>
      <c r="H128" s="11" t="s">
        <v>26</v>
      </c>
      <c r="I128" s="11" t="s">
        <v>26</v>
      </c>
      <c r="J128" s="11" t="s">
        <v>26</v>
      </c>
      <c r="K128" s="10" t="s">
        <v>26</v>
      </c>
      <c r="L128" s="11" t="s">
        <v>26</v>
      </c>
      <c r="M128" s="11" t="s">
        <v>26</v>
      </c>
      <c r="N128" s="11" t="s">
        <v>26</v>
      </c>
      <c r="O128" s="10">
        <v>583884545</v>
      </c>
      <c r="P128" s="11">
        <v>2.6970455332599999E-3</v>
      </c>
      <c r="Q128" s="1" t="s">
        <v>26</v>
      </c>
      <c r="R128" s="1" t="s">
        <v>26</v>
      </c>
      <c r="S128" s="10" t="s">
        <v>26</v>
      </c>
      <c r="T128" s="11" t="s">
        <v>26</v>
      </c>
      <c r="U128" s="11" t="s">
        <v>26</v>
      </c>
      <c r="V128" s="11" t="s">
        <v>26</v>
      </c>
      <c r="W128" s="10" t="s">
        <v>26</v>
      </c>
      <c r="X128" s="11" t="s">
        <v>26</v>
      </c>
      <c r="Y128" s="11" t="s">
        <v>26</v>
      </c>
      <c r="Z128" s="11" t="s">
        <v>26</v>
      </c>
      <c r="AA128" s="10" t="s">
        <v>26</v>
      </c>
      <c r="AB128" s="11" t="s">
        <v>26</v>
      </c>
      <c r="AC128" s="11" t="s">
        <v>26</v>
      </c>
      <c r="AD128" s="11" t="s">
        <v>26</v>
      </c>
      <c r="AE128" s="10">
        <v>583884545</v>
      </c>
      <c r="AF128" s="11">
        <v>9.4571188908999999E-4</v>
      </c>
      <c r="AG128" s="1" t="s">
        <v>26</v>
      </c>
      <c r="AH128" s="1" t="s">
        <v>26</v>
      </c>
      <c r="AI128" s="10" t="s">
        <v>26</v>
      </c>
      <c r="AJ128" s="11" t="s">
        <v>26</v>
      </c>
      <c r="AK128" s="11" t="s">
        <v>26</v>
      </c>
      <c r="AL128" s="11" t="s">
        <v>26</v>
      </c>
      <c r="AM128" s="10" t="s">
        <v>26</v>
      </c>
      <c r="AN128" s="11" t="s">
        <v>26</v>
      </c>
      <c r="AO128" s="11" t="s">
        <v>26</v>
      </c>
      <c r="AP128" s="11" t="s">
        <v>26</v>
      </c>
      <c r="AQ128" s="10" t="s">
        <v>26</v>
      </c>
      <c r="AR128" s="11" t="s">
        <v>26</v>
      </c>
      <c r="AS128" s="11" t="s">
        <v>26</v>
      </c>
      <c r="AT128" s="11" t="s">
        <v>26</v>
      </c>
      <c r="AU128" s="10" t="s">
        <v>26</v>
      </c>
      <c r="AV128" s="11" t="s">
        <v>26</v>
      </c>
      <c r="AW128" s="11" t="s">
        <v>26</v>
      </c>
      <c r="AX128" s="11" t="s">
        <v>26</v>
      </c>
      <c r="AY128" s="10">
        <v>583884545</v>
      </c>
      <c r="AZ128" s="11">
        <v>8.3284143570000002E-4</v>
      </c>
      <c r="BA128" s="1" t="s">
        <v>26</v>
      </c>
      <c r="BB128" s="1" t="s">
        <v>26</v>
      </c>
    </row>
    <row r="129" spans="1:54">
      <c r="A129" s="3" t="s">
        <v>86</v>
      </c>
      <c r="B129" s="36" t="s">
        <v>99</v>
      </c>
      <c r="C129" s="2" t="s">
        <v>26</v>
      </c>
      <c r="D129" s="1" t="s">
        <v>26</v>
      </c>
      <c r="E129" s="1" t="s">
        <v>26</v>
      </c>
      <c r="F129" s="1" t="s">
        <v>26</v>
      </c>
      <c r="G129" s="2" t="s">
        <v>26</v>
      </c>
      <c r="H129" s="1" t="s">
        <v>26</v>
      </c>
      <c r="I129" s="1" t="s">
        <v>26</v>
      </c>
      <c r="J129" s="1" t="s">
        <v>26</v>
      </c>
      <c r="K129" s="2" t="s">
        <v>26</v>
      </c>
      <c r="L129" s="1" t="s">
        <v>26</v>
      </c>
      <c r="M129" s="1" t="s">
        <v>26</v>
      </c>
      <c r="N129" s="1" t="s">
        <v>26</v>
      </c>
      <c r="O129" s="2">
        <v>583884545</v>
      </c>
      <c r="P129" s="1">
        <v>1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583884545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583884545</v>
      </c>
      <c r="AZ129" s="1">
        <v>1</v>
      </c>
      <c r="BA129" s="1" t="s">
        <v>26</v>
      </c>
      <c r="BB129" s="1" t="s">
        <v>26</v>
      </c>
    </row>
    <row r="130" spans="1:54">
      <c r="A130" s="13" t="s">
        <v>100</v>
      </c>
      <c r="B130" s="25" t="s">
        <v>25</v>
      </c>
      <c r="C130" s="55">
        <v>5748843181.6599998</v>
      </c>
      <c r="D130" s="56">
        <v>0.99790000000000001</v>
      </c>
      <c r="E130" s="56" t="s">
        <v>26</v>
      </c>
      <c r="F130" s="56" t="s">
        <v>26</v>
      </c>
      <c r="G130" s="55">
        <v>144666110002.95001</v>
      </c>
      <c r="H130" s="62">
        <f>+H8+H13+H17+H47+H68+H92+H97</f>
        <v>0.9999932484710593</v>
      </c>
      <c r="I130" s="56" t="s">
        <v>26</v>
      </c>
      <c r="J130" s="56" t="s">
        <v>26</v>
      </c>
      <c r="K130" s="55">
        <f>+K8+K13+K17+K47+K57+K68+K92+K97</f>
        <v>2712921323.1700006</v>
      </c>
      <c r="L130" s="56">
        <v>0.98250000000000004</v>
      </c>
      <c r="M130" s="56" t="s">
        <v>26</v>
      </c>
      <c r="N130" s="56" t="s">
        <v>26</v>
      </c>
      <c r="O130" s="55">
        <v>216490233183.70999</v>
      </c>
      <c r="P130" s="56">
        <v>1</v>
      </c>
      <c r="Q130" s="56" t="s">
        <v>26</v>
      </c>
      <c r="R130" s="56" t="s">
        <v>26</v>
      </c>
      <c r="S130" s="55">
        <v>108098994466.95</v>
      </c>
      <c r="T130" s="62">
        <f>+T8+T13+T17+T47+T68+T92+T97+T87+T57</f>
        <v>0.99972409170353826</v>
      </c>
      <c r="U130" s="56" t="s">
        <v>26</v>
      </c>
      <c r="V130" s="56" t="s">
        <v>26</v>
      </c>
      <c r="W130" s="55">
        <v>5943093189.3199997</v>
      </c>
      <c r="X130" s="56">
        <v>0.998</v>
      </c>
      <c r="Y130" s="56" t="s">
        <v>26</v>
      </c>
      <c r="Z130" s="56" t="s">
        <v>26</v>
      </c>
      <c r="AA130" s="55">
        <v>133651335729.08</v>
      </c>
      <c r="AB130" s="56">
        <v>0.99990000000000001</v>
      </c>
      <c r="AC130" s="56" t="s">
        <v>26</v>
      </c>
      <c r="AD130" s="56" t="s">
        <v>26</v>
      </c>
      <c r="AE130" s="55">
        <v>617288949853.04004</v>
      </c>
      <c r="AF130" s="62">
        <f>+AF8+AF13+AF17+AF47+AF68+AF92+AF97+AF87+AF57</f>
        <v>0.99981666560608096</v>
      </c>
      <c r="AG130" s="56" t="s">
        <v>26</v>
      </c>
      <c r="AH130" s="56" t="s">
        <v>26</v>
      </c>
      <c r="AI130" s="55">
        <v>16751526451.620001</v>
      </c>
      <c r="AJ130" s="56">
        <v>0.99990000000000001</v>
      </c>
      <c r="AK130" s="56" t="s">
        <v>26</v>
      </c>
      <c r="AL130" s="56" t="s">
        <v>26</v>
      </c>
      <c r="AM130" s="55">
        <f>+AM8+AM13+AM17+AM47+AM68</f>
        <v>23508383168.490002</v>
      </c>
      <c r="AN130" s="56">
        <f>+AN8+AN13+AN17+AN47+AN68</f>
        <v>0.99995900720147757</v>
      </c>
      <c r="AO130" s="56" t="s">
        <v>26</v>
      </c>
      <c r="AP130" s="56" t="s">
        <v>26</v>
      </c>
      <c r="AQ130" s="55">
        <f>+AQ8+AQ13+AQ17+AQ47+AQ57+AQ68+AQ87</f>
        <v>40259909620.110001</v>
      </c>
      <c r="AR130" s="56">
        <f>+AR8+AR13+AR17+AR47+AR57+AR68+AR87</f>
        <v>0.99993203328835156</v>
      </c>
      <c r="AS130" s="56" t="s">
        <v>26</v>
      </c>
      <c r="AT130" s="56" t="s">
        <v>26</v>
      </c>
      <c r="AU130" s="55">
        <v>43396663905.32</v>
      </c>
      <c r="AV130" s="56">
        <v>0.99970000000000003</v>
      </c>
      <c r="AW130" s="56" t="s">
        <v>26</v>
      </c>
      <c r="AX130" s="56" t="s">
        <v>26</v>
      </c>
      <c r="AY130" s="55">
        <f>+AY8+AY13+AY17+AY47+AY57+AY68+AY87+AY92+AY97</f>
        <v>700968104602.12524</v>
      </c>
      <c r="AZ130" s="62">
        <f>+AY130/AY132</f>
        <v>0.99981482487600881</v>
      </c>
      <c r="BA130" s="56" t="s">
        <v>26</v>
      </c>
      <c r="BB130" s="56" t="s">
        <v>26</v>
      </c>
    </row>
    <row r="131" spans="1:54" s="7" customFormat="1">
      <c r="A131" s="5" t="s">
        <v>101</v>
      </c>
      <c r="B131" s="24" t="s">
        <v>25</v>
      </c>
      <c r="C131" s="10">
        <v>12116354.74</v>
      </c>
      <c r="D131" s="11">
        <v>2.0999999999999999E-3</v>
      </c>
      <c r="E131" s="11" t="s">
        <v>26</v>
      </c>
      <c r="F131" s="11" t="s">
        <v>26</v>
      </c>
      <c r="G131" s="10">
        <v>976723.95</v>
      </c>
      <c r="H131" s="11">
        <f>+G131/G132</f>
        <v>6.751528437451999E-6</v>
      </c>
      <c r="I131" s="11" t="s">
        <v>26</v>
      </c>
      <c r="J131" s="11" t="s">
        <v>26</v>
      </c>
      <c r="K131" s="10">
        <v>48042345.149999999</v>
      </c>
      <c r="L131" s="11">
        <v>1.7500000000000002E-2</v>
      </c>
      <c r="M131" s="11" t="s">
        <v>26</v>
      </c>
      <c r="N131" s="11" t="s">
        <v>26</v>
      </c>
      <c r="O131" s="10">
        <v>195991.17</v>
      </c>
      <c r="P131" s="11">
        <v>0</v>
      </c>
      <c r="Q131" s="11" t="s">
        <v>26</v>
      </c>
      <c r="R131" s="11" t="s">
        <v>26</v>
      </c>
      <c r="S131" s="10">
        <v>29833640.690000001</v>
      </c>
      <c r="T131" s="11">
        <f>+S131/S132</f>
        <v>2.7590829579972174E-4</v>
      </c>
      <c r="U131" s="11" t="s">
        <v>26</v>
      </c>
      <c r="V131" s="11" t="s">
        <v>26</v>
      </c>
      <c r="W131" s="10">
        <v>11821469.130000001</v>
      </c>
      <c r="X131" s="11">
        <v>2E-3</v>
      </c>
      <c r="Y131" s="11" t="s">
        <v>26</v>
      </c>
      <c r="Z131" s="11" t="s">
        <v>26</v>
      </c>
      <c r="AA131" s="10">
        <v>10204522.34</v>
      </c>
      <c r="AB131" s="11">
        <v>1E-4</v>
      </c>
      <c r="AC131" s="11" t="s">
        <v>26</v>
      </c>
      <c r="AD131" s="11" t="s">
        <v>26</v>
      </c>
      <c r="AE131" s="10">
        <v>113191047.17</v>
      </c>
      <c r="AF131" s="11">
        <f>+AE131/AE132</f>
        <v>1.8333439369834471E-4</v>
      </c>
      <c r="AG131" s="11" t="s">
        <v>26</v>
      </c>
      <c r="AH131" s="11" t="s">
        <v>26</v>
      </c>
      <c r="AI131" s="10">
        <v>1753263.03</v>
      </c>
      <c r="AJ131" s="11">
        <v>1E-4</v>
      </c>
      <c r="AK131" s="11" t="s">
        <v>26</v>
      </c>
      <c r="AL131" s="11" t="s">
        <v>26</v>
      </c>
      <c r="AM131" s="10">
        <v>1030264.58</v>
      </c>
      <c r="AN131" s="11">
        <f>+AM131/AM132</f>
        <v>4.3823615566745387E-5</v>
      </c>
      <c r="AO131" s="11" t="s">
        <v>26</v>
      </c>
      <c r="AP131" s="11" t="s">
        <v>26</v>
      </c>
      <c r="AQ131" s="10">
        <v>2783527.61</v>
      </c>
      <c r="AR131" s="11">
        <v>1E-4</v>
      </c>
      <c r="AS131" s="11" t="s">
        <v>26</v>
      </c>
      <c r="AT131" s="11" t="s">
        <v>26</v>
      </c>
      <c r="AU131" s="10">
        <v>13851321.43</v>
      </c>
      <c r="AV131" s="11">
        <v>2.9999999999999997E-4</v>
      </c>
      <c r="AW131" s="11" t="s">
        <v>26</v>
      </c>
      <c r="AX131" s="11" t="s">
        <v>26</v>
      </c>
      <c r="AY131" s="10">
        <v>129825896.20999999</v>
      </c>
      <c r="AZ131" s="11">
        <f>+AY131/AY132</f>
        <v>1.851751239911958E-4</v>
      </c>
      <c r="BA131" s="11" t="s">
        <v>26</v>
      </c>
      <c r="BB131" s="11" t="s">
        <v>26</v>
      </c>
    </row>
    <row r="132" spans="1:54">
      <c r="A132" s="13" t="s">
        <v>102</v>
      </c>
      <c r="B132" s="25" t="s">
        <v>25</v>
      </c>
      <c r="C132" s="55">
        <v>5760959536.3999996</v>
      </c>
      <c r="D132" s="56">
        <v>1</v>
      </c>
      <c r="E132" s="56" t="s">
        <v>26</v>
      </c>
      <c r="F132" s="56" t="s">
        <v>26</v>
      </c>
      <c r="G132" s="55">
        <v>144667086726.89999</v>
      </c>
      <c r="H132" s="56">
        <f>+H131+H130</f>
        <v>0.99999999999949674</v>
      </c>
      <c r="I132" s="56" t="s">
        <v>26</v>
      </c>
      <c r="J132" s="56" t="s">
        <v>26</v>
      </c>
      <c r="K132" s="55">
        <f>+K131+K130</f>
        <v>2760963668.3200006</v>
      </c>
      <c r="L132" s="56">
        <v>1</v>
      </c>
      <c r="M132" s="56" t="s">
        <v>26</v>
      </c>
      <c r="N132" s="56" t="s">
        <v>26</v>
      </c>
      <c r="O132" s="55">
        <v>216490429174.88</v>
      </c>
      <c r="P132" s="56">
        <v>1</v>
      </c>
      <c r="Q132" s="56" t="s">
        <v>26</v>
      </c>
      <c r="R132" s="56" t="s">
        <v>26</v>
      </c>
      <c r="S132" s="55">
        <v>108128828107.64</v>
      </c>
      <c r="T132" s="56">
        <f>+T131+T130</f>
        <v>0.99999999999933797</v>
      </c>
      <c r="U132" s="56" t="s">
        <v>26</v>
      </c>
      <c r="V132" s="56" t="s">
        <v>26</v>
      </c>
      <c r="W132" s="55">
        <v>5954914658.4499998</v>
      </c>
      <c r="X132" s="56">
        <v>1</v>
      </c>
      <c r="Y132" s="56" t="s">
        <v>26</v>
      </c>
      <c r="Z132" s="56" t="s">
        <v>26</v>
      </c>
      <c r="AA132" s="55">
        <v>133661540251.42</v>
      </c>
      <c r="AB132" s="56">
        <v>1</v>
      </c>
      <c r="AC132" s="56" t="s">
        <v>26</v>
      </c>
      <c r="AD132" s="56" t="s">
        <v>26</v>
      </c>
      <c r="AE132" s="55">
        <f>+AE130+AE131</f>
        <v>617402140900.21008</v>
      </c>
      <c r="AF132" s="56">
        <f>+AF131+AF130</f>
        <v>0.99999999999977929</v>
      </c>
      <c r="AG132" s="56" t="s">
        <v>26</v>
      </c>
      <c r="AH132" s="56" t="s">
        <v>26</v>
      </c>
      <c r="AI132" s="55">
        <v>16753279714.65</v>
      </c>
      <c r="AJ132" s="56">
        <v>1</v>
      </c>
      <c r="AK132" s="56" t="s">
        <v>26</v>
      </c>
      <c r="AL132" s="56" t="s">
        <v>26</v>
      </c>
      <c r="AM132" s="55">
        <v>23509346882.41</v>
      </c>
      <c r="AN132" s="56">
        <f>+AN130+AN131</f>
        <v>1.0000028308170443</v>
      </c>
      <c r="AO132" s="56" t="s">
        <v>26</v>
      </c>
      <c r="AP132" s="56" t="s">
        <v>26</v>
      </c>
      <c r="AQ132" s="55">
        <f>+AQ131+AQ130</f>
        <v>40262693147.720001</v>
      </c>
      <c r="AR132" s="56">
        <f>+AR131+AR130</f>
        <v>1.0000320332883517</v>
      </c>
      <c r="AS132" s="56" t="s">
        <v>26</v>
      </c>
      <c r="AT132" s="56" t="s">
        <v>26</v>
      </c>
      <c r="AU132" s="55">
        <v>43410515226.75</v>
      </c>
      <c r="AV132" s="56">
        <v>1</v>
      </c>
      <c r="AW132" s="56" t="s">
        <v>26</v>
      </c>
      <c r="AX132" s="56" t="s">
        <v>26</v>
      </c>
      <c r="AY132" s="55">
        <f>+AY131+AY130</f>
        <v>701097930498.33521</v>
      </c>
      <c r="AZ132" s="56">
        <f>+AZ131+AZ130</f>
        <v>1</v>
      </c>
      <c r="BA132" s="56" t="s">
        <v>26</v>
      </c>
      <c r="BB132" s="56" t="s">
        <v>26</v>
      </c>
    </row>
    <row r="134" spans="1:54">
      <c r="A134" s="18" t="s">
        <v>103</v>
      </c>
      <c r="AY134" s="46"/>
    </row>
    <row r="135" spans="1:54">
      <c r="A135" s="39" t="s">
        <v>115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134"/>
  <sheetViews>
    <sheetView zoomScaleNormal="100" workbookViewId="0">
      <pane xSplit="2" ySplit="7" topLeftCell="I62" activePane="bottomRight" state="frozen"/>
      <selection pane="bottomRight" activeCell="F74" sqref="F74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20.28515625" style="9" bestFit="1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1.85546875" style="9" bestFit="1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7.28515625" style="9" customWidth="1"/>
    <col min="32" max="32" width="13.28515625" style="9" customWidth="1"/>
    <col min="33" max="33" width="9.7109375" style="9" customWidth="1"/>
    <col min="34" max="34" width="10.85546875" style="9" bestFit="1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6.42578125" style="9" bestFit="1" customWidth="1"/>
    <col min="57" max="16384" width="9.140625" style="9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2" t="s">
        <v>121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57"/>
      <c r="H4" s="5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5" spans="1:54">
      <c r="AE5" s="46"/>
    </row>
    <row r="6" spans="1:54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4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4">
      <c r="A8" s="13" t="s">
        <v>24</v>
      </c>
      <c r="B8" s="25" t="s">
        <v>25</v>
      </c>
      <c r="C8" s="55">
        <v>2731498713.2399998</v>
      </c>
      <c r="D8" s="56">
        <v>0.45478325265882003</v>
      </c>
      <c r="E8" s="56" t="s">
        <v>26</v>
      </c>
      <c r="F8" s="56" t="s">
        <v>26</v>
      </c>
      <c r="G8" s="55">
        <f>+G9+G11</f>
        <v>76634344023.029999</v>
      </c>
      <c r="H8" s="56">
        <f>+H9+H11</f>
        <v>0.52339053658646251</v>
      </c>
      <c r="I8" s="56" t="s">
        <v>26</v>
      </c>
      <c r="J8" s="56" t="s">
        <v>26</v>
      </c>
      <c r="K8" s="55">
        <v>948515486.53999996</v>
      </c>
      <c r="L8" s="56">
        <v>0.33879999999999999</v>
      </c>
      <c r="M8" s="56" t="s">
        <v>26</v>
      </c>
      <c r="N8" s="56" t="s">
        <v>26</v>
      </c>
      <c r="O8" s="55">
        <f>+O9+O11</f>
        <v>88065297464.320007</v>
      </c>
      <c r="P8" s="56">
        <f>+P9+P11</f>
        <v>0.40301249226036145</v>
      </c>
      <c r="Q8" s="56" t="s">
        <v>26</v>
      </c>
      <c r="R8" s="56" t="s">
        <v>26</v>
      </c>
      <c r="S8" s="55">
        <f>+S9+S11</f>
        <v>55564200861.139999</v>
      </c>
      <c r="T8" s="56">
        <f>+S8/S131</f>
        <v>0.5085645504363745</v>
      </c>
      <c r="U8" s="56" t="s">
        <v>26</v>
      </c>
      <c r="V8" s="56" t="s">
        <v>26</v>
      </c>
      <c r="W8" s="55">
        <v>1863485884.9000001</v>
      </c>
      <c r="X8" s="56">
        <v>0.30803549519823997</v>
      </c>
      <c r="Y8" s="56" t="s">
        <v>26</v>
      </c>
      <c r="Z8" s="56" t="s">
        <v>26</v>
      </c>
      <c r="AA8" s="55">
        <f>+AA9+AA11</f>
        <v>66596914376.610001</v>
      </c>
      <c r="AB8" s="56">
        <f>+AB9+AB11</f>
        <v>0.49376590515817981</v>
      </c>
      <c r="AC8" s="56" t="s">
        <v>26</v>
      </c>
      <c r="AD8" s="56" t="s">
        <v>26</v>
      </c>
      <c r="AE8" s="55">
        <f>+AE9+AE11</f>
        <v>290777541339.77997</v>
      </c>
      <c r="AF8" s="56">
        <v>0.46581603006673999</v>
      </c>
      <c r="AG8" s="56" t="s">
        <v>26</v>
      </c>
      <c r="AH8" s="56" t="s">
        <v>26</v>
      </c>
      <c r="AI8" s="55">
        <v>6839176688.2299995</v>
      </c>
      <c r="AJ8" s="56">
        <v>0.40634907942359</v>
      </c>
      <c r="AK8" s="56" t="s">
        <v>26</v>
      </c>
      <c r="AL8" s="56" t="s">
        <v>26</v>
      </c>
      <c r="AM8" s="55">
        <f>+AM9</f>
        <v>6580540184.6999979</v>
      </c>
      <c r="AN8" s="56">
        <f>+AM8/AM131</f>
        <v>0.27884561842179911</v>
      </c>
      <c r="AO8" s="56" t="s">
        <v>26</v>
      </c>
      <c r="AP8" s="56" t="s">
        <v>26</v>
      </c>
      <c r="AQ8" s="55">
        <f>+AQ9</f>
        <v>13419716872.929996</v>
      </c>
      <c r="AR8" s="56">
        <f>+AQ8/AQ131</f>
        <v>0.33192460333761187</v>
      </c>
      <c r="AS8" s="56" t="s">
        <v>26</v>
      </c>
      <c r="AT8" s="56" t="s">
        <v>26</v>
      </c>
      <c r="AU8" s="55">
        <v>19673891304.919998</v>
      </c>
      <c r="AV8" s="56">
        <v>0.44793259715535999</v>
      </c>
      <c r="AW8" s="56" t="s">
        <v>26</v>
      </c>
      <c r="AX8" s="56" t="s">
        <v>26</v>
      </c>
      <c r="AY8" s="55">
        <f>+AY9+AY11</f>
        <v>323871149517.62994</v>
      </c>
      <c r="AZ8" s="56">
        <f>+AY8/AY131</f>
        <v>0.45726303246150551</v>
      </c>
      <c r="BA8" s="56" t="s">
        <v>26</v>
      </c>
      <c r="BB8" s="56" t="s">
        <v>26</v>
      </c>
    </row>
    <row r="9" spans="1:54" s="8" customFormat="1">
      <c r="A9" s="5" t="s">
        <v>27</v>
      </c>
      <c r="B9" s="24" t="s">
        <v>25</v>
      </c>
      <c r="C9" s="10">
        <v>2731498713.2399998</v>
      </c>
      <c r="D9" s="11">
        <v>0.45478325265882003</v>
      </c>
      <c r="E9" s="11">
        <v>0.5</v>
      </c>
      <c r="F9" s="11">
        <v>4.5199999999999997E-2</v>
      </c>
      <c r="G9" s="10">
        <f>+G10</f>
        <v>70829247196.789993</v>
      </c>
      <c r="H9" s="11">
        <f>+G9/G131</f>
        <v>0.48374339428288843</v>
      </c>
      <c r="I9" s="11">
        <v>0.5</v>
      </c>
      <c r="J9" s="11">
        <f>+I9-H9</f>
        <v>1.6256605717111572E-2</v>
      </c>
      <c r="K9" s="10">
        <v>948515486.53999996</v>
      </c>
      <c r="L9" s="11">
        <v>0.33876070040994938</v>
      </c>
      <c r="M9" s="11">
        <v>0.5</v>
      </c>
      <c r="N9" s="11">
        <v>0.16189999999999999</v>
      </c>
      <c r="O9" s="10">
        <f>+O10</f>
        <v>86698856469.520004</v>
      </c>
      <c r="P9" s="11">
        <f>+O9/O131</f>
        <v>0.39675925963982567</v>
      </c>
      <c r="Q9" s="11">
        <v>0.5</v>
      </c>
      <c r="R9" s="11">
        <f>+Q9-P9</f>
        <v>0.10324074036017433</v>
      </c>
      <c r="S9" s="10">
        <f>+S10</f>
        <v>54049201416.139999</v>
      </c>
      <c r="T9" s="11">
        <f>+S9/S131</f>
        <v>0.49469815805212575</v>
      </c>
      <c r="U9" s="11">
        <v>0.5</v>
      </c>
      <c r="V9" s="11">
        <f>+U9-T9</f>
        <v>5.3018419478742529E-3</v>
      </c>
      <c r="W9" s="10">
        <v>1863485884.9000001</v>
      </c>
      <c r="X9" s="11">
        <v>0.30803549519823997</v>
      </c>
      <c r="Y9" s="11">
        <v>0.5</v>
      </c>
      <c r="Z9" s="11">
        <v>0.192</v>
      </c>
      <c r="AA9" s="10">
        <v>64970198906.610001</v>
      </c>
      <c r="AB9" s="11">
        <f>+AA9/AA131</f>
        <v>0.48170503651286811</v>
      </c>
      <c r="AC9" s="11">
        <v>0.5</v>
      </c>
      <c r="AD9" s="11">
        <f>+AC9-AB9</f>
        <v>1.8294963487131888E-2</v>
      </c>
      <c r="AE9" s="10">
        <f>+AE10</f>
        <v>280464288603.73999</v>
      </c>
      <c r="AF9" s="54">
        <f>+AE9/AE131</f>
        <v>0.44951215016083707</v>
      </c>
      <c r="AG9" s="11">
        <v>0.5</v>
      </c>
      <c r="AH9" s="11">
        <f>+AG9-AF9</f>
        <v>5.0487849839162935E-2</v>
      </c>
      <c r="AI9" s="10">
        <v>6839176688.2299995</v>
      </c>
      <c r="AJ9" s="11">
        <v>0.40634907942359</v>
      </c>
      <c r="AK9" s="11">
        <v>0.5</v>
      </c>
      <c r="AL9" s="11">
        <v>9.3700000000000006E-2</v>
      </c>
      <c r="AM9" s="10">
        <f>+AM10</f>
        <v>6580540184.6999979</v>
      </c>
      <c r="AN9" s="11">
        <f>+AM9/AM131</f>
        <v>0.27884561842179911</v>
      </c>
      <c r="AO9" s="11">
        <v>0.5</v>
      </c>
      <c r="AP9" s="11">
        <f>+AO9-AN9</f>
        <v>0.22115438157820089</v>
      </c>
      <c r="AQ9" s="10">
        <f>+AQ10</f>
        <v>13419716872.929996</v>
      </c>
      <c r="AR9" s="11">
        <v>0.33191807816598001</v>
      </c>
      <c r="AS9" s="11">
        <v>0.5</v>
      </c>
      <c r="AT9" s="11">
        <f>+AS9-AR9</f>
        <v>0.16808192183401999</v>
      </c>
      <c r="AU9" s="10">
        <v>19673891304.919998</v>
      </c>
      <c r="AV9" s="11">
        <v>0.44793259715535999</v>
      </c>
      <c r="AW9" s="11">
        <v>0.5</v>
      </c>
      <c r="AX9" s="11">
        <v>5.21E-2</v>
      </c>
      <c r="AY9" s="10">
        <f>+AY10</f>
        <v>313557896781.58997</v>
      </c>
      <c r="AZ9" s="11">
        <f>+AY9/AY131</f>
        <v>0.44270208985316478</v>
      </c>
      <c r="BA9" s="11">
        <v>0.5</v>
      </c>
      <c r="BB9" s="11">
        <f>+BA9-AZ9</f>
        <v>5.7297910146835218E-2</v>
      </c>
    </row>
    <row r="10" spans="1:54">
      <c r="A10" s="3" t="s">
        <v>28</v>
      </c>
      <c r="B10" s="31" t="s">
        <v>29</v>
      </c>
      <c r="C10" s="2">
        <v>2731498713.2399998</v>
      </c>
      <c r="D10" s="1">
        <v>1</v>
      </c>
      <c r="E10" s="1" t="s">
        <v>26</v>
      </c>
      <c r="F10" s="1" t="s">
        <v>26</v>
      </c>
      <c r="G10" s="2">
        <v>70829247196.789993</v>
      </c>
      <c r="H10" s="1">
        <v>0.92410991220675998</v>
      </c>
      <c r="I10" s="1" t="s">
        <v>26</v>
      </c>
      <c r="J10" s="1" t="s">
        <v>26</v>
      </c>
      <c r="K10" s="47">
        <v>948515486.53999996</v>
      </c>
      <c r="L10" s="1">
        <v>1</v>
      </c>
      <c r="M10" s="1" t="s">
        <v>26</v>
      </c>
      <c r="N10" s="1" t="s">
        <v>26</v>
      </c>
      <c r="O10" s="2">
        <v>86698856469.520004</v>
      </c>
      <c r="P10" s="1">
        <v>0.98448377472007997</v>
      </c>
      <c r="Q10" s="1" t="s">
        <v>26</v>
      </c>
      <c r="R10" s="1" t="s">
        <v>26</v>
      </c>
      <c r="S10" s="2">
        <v>54049201416.139999</v>
      </c>
      <c r="T10" s="1">
        <v>0.97273425296286997</v>
      </c>
      <c r="U10" s="1" t="s">
        <v>26</v>
      </c>
      <c r="V10" s="1" t="s">
        <v>26</v>
      </c>
      <c r="W10" s="2">
        <v>1863485884.9000001</v>
      </c>
      <c r="X10" s="1">
        <v>1</v>
      </c>
      <c r="Y10" s="1" t="s">
        <v>26</v>
      </c>
      <c r="Z10" s="1" t="s">
        <v>26</v>
      </c>
      <c r="AA10" s="2">
        <v>63343483436.610001</v>
      </c>
      <c r="AB10" s="1">
        <v>0.97496212883174005</v>
      </c>
      <c r="AC10" s="1" t="s">
        <v>26</v>
      </c>
      <c r="AD10" s="1" t="s">
        <v>26</v>
      </c>
      <c r="AE10" s="2">
        <f>+C10+G10+K10+O10+S10+W10+AA10</f>
        <v>280464288603.73999</v>
      </c>
      <c r="AF10" s="1">
        <v>0.96451498713190997</v>
      </c>
      <c r="AG10" s="1" t="s">
        <v>26</v>
      </c>
      <c r="AH10" s="1" t="s">
        <v>26</v>
      </c>
      <c r="AI10" s="2">
        <v>6839176688.2299995</v>
      </c>
      <c r="AJ10" s="1">
        <v>1</v>
      </c>
      <c r="AK10" s="1" t="s">
        <v>26</v>
      </c>
      <c r="AL10" s="1" t="s">
        <v>26</v>
      </c>
      <c r="AM10" s="22">
        <v>6580540184.6999979</v>
      </c>
      <c r="AN10" s="1">
        <v>1</v>
      </c>
      <c r="AO10" s="1" t="s">
        <v>26</v>
      </c>
      <c r="AP10" s="1" t="s">
        <v>26</v>
      </c>
      <c r="AQ10" s="2">
        <f>+AM10+AI10</f>
        <v>13419716872.929996</v>
      </c>
      <c r="AR10" s="1">
        <v>1</v>
      </c>
      <c r="AS10" s="1" t="s">
        <v>26</v>
      </c>
      <c r="AT10" s="1" t="s">
        <v>26</v>
      </c>
      <c r="AU10" s="2">
        <v>19673891304.919998</v>
      </c>
      <c r="AV10" s="1">
        <v>1</v>
      </c>
      <c r="AW10" s="1" t="s">
        <v>26</v>
      </c>
      <c r="AX10" s="1" t="s">
        <v>26</v>
      </c>
      <c r="AY10" s="2">
        <f>+AE10+AQ10+AU10</f>
        <v>313557896781.58997</v>
      </c>
      <c r="AZ10" s="1">
        <v>0.96814243232347996</v>
      </c>
      <c r="BA10" s="1" t="s">
        <v>26</v>
      </c>
      <c r="BB10" s="1" t="s">
        <v>26</v>
      </c>
    </row>
    <row r="11" spans="1:54" s="7" customFormat="1">
      <c r="A11" s="26" t="s">
        <v>27</v>
      </c>
      <c r="B11" s="24"/>
      <c r="C11" s="10" t="s">
        <v>26</v>
      </c>
      <c r="D11" s="11" t="s">
        <v>26</v>
      </c>
      <c r="E11" s="11" t="s">
        <v>26</v>
      </c>
      <c r="F11" s="11" t="s">
        <v>26</v>
      </c>
      <c r="G11" s="10">
        <f>+G12</f>
        <v>5805096826.2399998</v>
      </c>
      <c r="H11" s="11">
        <f>+G11/G131</f>
        <v>3.9647142303574114E-2</v>
      </c>
      <c r="I11" s="11">
        <v>0.1</v>
      </c>
      <c r="J11" s="11">
        <f>+I11-H11</f>
        <v>6.0352857696425892E-2</v>
      </c>
      <c r="K11" s="10" t="s">
        <v>26</v>
      </c>
      <c r="L11" s="11" t="s">
        <v>26</v>
      </c>
      <c r="M11" s="11" t="s">
        <v>26</v>
      </c>
      <c r="N11" s="11" t="s">
        <v>26</v>
      </c>
      <c r="O11" s="10">
        <f>+O12</f>
        <v>1366440994.8</v>
      </c>
      <c r="P11" s="11">
        <f>+O11/O131</f>
        <v>6.253232620535812E-3</v>
      </c>
      <c r="Q11" s="11">
        <v>0.1</v>
      </c>
      <c r="R11" s="11">
        <f>+Q11-P11</f>
        <v>9.3746767379464191E-2</v>
      </c>
      <c r="S11" s="51">
        <f>+S12</f>
        <v>1514999445</v>
      </c>
      <c r="T11" s="11">
        <f>+S11/S131</f>
        <v>1.3866392384248792E-2</v>
      </c>
      <c r="U11" s="11">
        <v>0.1</v>
      </c>
      <c r="V11" s="11">
        <f>+U11-T11</f>
        <v>8.6133607615751215E-2</v>
      </c>
      <c r="W11" s="10" t="s">
        <v>26</v>
      </c>
      <c r="X11" s="11" t="s">
        <v>26</v>
      </c>
      <c r="Y11" s="11" t="s">
        <v>26</v>
      </c>
      <c r="Z11" s="11" t="s">
        <v>26</v>
      </c>
      <c r="AA11" s="10">
        <f>+AA12</f>
        <v>1626715470</v>
      </c>
      <c r="AB11" s="11">
        <f>+AA11/AA131</f>
        <v>1.2060868645311706E-2</v>
      </c>
      <c r="AC11" s="11">
        <v>0.1</v>
      </c>
      <c r="AD11" s="11">
        <f>+AC11-AB11</f>
        <v>8.7939131354688296E-2</v>
      </c>
      <c r="AE11" s="28">
        <f>+AE12</f>
        <v>10313252736.040001</v>
      </c>
      <c r="AF11" s="54">
        <f>+AE11/AE131</f>
        <v>1.652949270514598E-2</v>
      </c>
      <c r="AG11" s="54">
        <v>0.1</v>
      </c>
      <c r="AH11" s="54">
        <f>+AG11-AF11</f>
        <v>8.3470507294854029E-2</v>
      </c>
      <c r="AI11" s="10" t="s">
        <v>26</v>
      </c>
      <c r="AJ11" s="11" t="s">
        <v>26</v>
      </c>
      <c r="AK11" s="11" t="s">
        <v>26</v>
      </c>
      <c r="AL11" s="11" t="s">
        <v>26</v>
      </c>
      <c r="AM11" s="28" t="s">
        <v>26</v>
      </c>
      <c r="AN11" s="11" t="s">
        <v>26</v>
      </c>
      <c r="AO11" s="11" t="s">
        <v>26</v>
      </c>
      <c r="AP11" s="11" t="s">
        <v>26</v>
      </c>
      <c r="AQ11" s="10" t="s">
        <v>26</v>
      </c>
      <c r="AR11" s="11" t="s">
        <v>26</v>
      </c>
      <c r="AS11" s="11" t="s">
        <v>26</v>
      </c>
      <c r="AT11" s="11" t="s">
        <v>26</v>
      </c>
      <c r="AU11" s="10" t="s">
        <v>26</v>
      </c>
      <c r="AV11" s="11" t="s">
        <v>26</v>
      </c>
      <c r="AW11" s="11" t="s">
        <v>26</v>
      </c>
      <c r="AX11" s="11" t="s">
        <v>26</v>
      </c>
      <c r="AY11" s="28">
        <f>+AY12</f>
        <v>10313252736.040001</v>
      </c>
      <c r="AZ11" s="11">
        <f>+AY11/AY131</f>
        <v>1.4560942608340793E-2</v>
      </c>
      <c r="BA11" s="54">
        <v>0.1</v>
      </c>
      <c r="BB11" s="54">
        <f>+BA11-AZ11</f>
        <v>8.5439057391659218E-2</v>
      </c>
    </row>
    <row r="12" spans="1:54" s="7" customFormat="1">
      <c r="A12" s="3" t="s">
        <v>122</v>
      </c>
      <c r="B12" s="31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5805096826.2399998</v>
      </c>
      <c r="H12" s="1">
        <v>7.5890087793239996E-2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1366440994.8</v>
      </c>
      <c r="P12" s="1">
        <v>1.5516225279930001E-2</v>
      </c>
      <c r="Q12" s="1" t="s">
        <v>26</v>
      </c>
      <c r="R12" s="1" t="s">
        <v>26</v>
      </c>
      <c r="S12" s="2">
        <v>1514999445</v>
      </c>
      <c r="T12" s="1">
        <v>2.726574703713E-2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1626715470</v>
      </c>
      <c r="AB12" s="1">
        <v>2.5037871168259999E-2</v>
      </c>
      <c r="AC12" s="1" t="s">
        <v>26</v>
      </c>
      <c r="AD12" s="1" t="s">
        <v>26</v>
      </c>
      <c r="AE12" s="2">
        <f>+G12+O12+S12+AA12</f>
        <v>10313252736.040001</v>
      </c>
      <c r="AF12" s="1">
        <v>3.5485012868089999E-2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2">
        <f>+AE12</f>
        <v>10313252736.040001</v>
      </c>
      <c r="AZ12" s="1">
        <v>3.1857567676520003E-2</v>
      </c>
      <c r="BA12" s="1" t="s">
        <v>26</v>
      </c>
      <c r="BB12" s="1" t="s">
        <v>26</v>
      </c>
    </row>
    <row r="13" spans="1:54" s="45" customFormat="1">
      <c r="A13" s="13" t="s">
        <v>30</v>
      </c>
      <c r="B13" s="25" t="s">
        <v>25</v>
      </c>
      <c r="C13" s="55">
        <v>2236846769.8800001</v>
      </c>
      <c r="D13" s="56">
        <v>0.37242574736516998</v>
      </c>
      <c r="E13" s="56" t="s">
        <v>26</v>
      </c>
      <c r="F13" s="56" t="s">
        <v>26</v>
      </c>
      <c r="G13" s="55">
        <v>45881502065.010002</v>
      </c>
      <c r="H13" s="56">
        <v>0.31335746774294998</v>
      </c>
      <c r="I13" s="56" t="s">
        <v>26</v>
      </c>
      <c r="J13" s="56" t="s">
        <v>26</v>
      </c>
      <c r="K13" s="55">
        <v>831904930.94000006</v>
      </c>
      <c r="L13" s="56">
        <v>0.29709999999999998</v>
      </c>
      <c r="M13" s="56" t="s">
        <v>26</v>
      </c>
      <c r="N13" s="56" t="s">
        <v>26</v>
      </c>
      <c r="O13" s="55">
        <v>74866691704.800003</v>
      </c>
      <c r="P13" s="56">
        <v>0.34261182190935002</v>
      </c>
      <c r="Q13" s="56" t="s">
        <v>26</v>
      </c>
      <c r="R13" s="56" t="s">
        <v>26</v>
      </c>
      <c r="S13" s="55">
        <v>28251303214.459999</v>
      </c>
      <c r="T13" s="56">
        <v>0.25857676518033001</v>
      </c>
      <c r="U13" s="56" t="s">
        <v>26</v>
      </c>
      <c r="V13" s="56" t="s">
        <v>26</v>
      </c>
      <c r="W13" s="55">
        <v>2956643045.29</v>
      </c>
      <c r="X13" s="56">
        <v>0.48873512375931</v>
      </c>
      <c r="Y13" s="56" t="s">
        <v>26</v>
      </c>
      <c r="Z13" s="56" t="s">
        <v>26</v>
      </c>
      <c r="AA13" s="55">
        <v>36459170792.040001</v>
      </c>
      <c r="AB13" s="56">
        <v>0.27031726073139001</v>
      </c>
      <c r="AC13" s="56" t="s">
        <v>26</v>
      </c>
      <c r="AD13" s="56" t="s">
        <v>26</v>
      </c>
      <c r="AE13" s="55">
        <v>191484062522.42001</v>
      </c>
      <c r="AF13" s="56">
        <v>0.30689963296783002</v>
      </c>
      <c r="AG13" s="56" t="s">
        <v>26</v>
      </c>
      <c r="AH13" s="56" t="s">
        <v>26</v>
      </c>
      <c r="AI13" s="55">
        <v>6439775465.3500004</v>
      </c>
      <c r="AJ13" s="56">
        <v>0.38261869101043</v>
      </c>
      <c r="AK13" s="56" t="s">
        <v>26</v>
      </c>
      <c r="AL13" s="56" t="s">
        <v>26</v>
      </c>
      <c r="AM13" s="55">
        <v>11514109421.25</v>
      </c>
      <c r="AN13" s="56">
        <v>0.48791020132308</v>
      </c>
      <c r="AO13" s="56" t="s">
        <v>26</v>
      </c>
      <c r="AP13" s="56" t="s">
        <v>26</v>
      </c>
      <c r="AQ13" s="55">
        <v>17953884886.599998</v>
      </c>
      <c r="AR13" s="56">
        <v>0.44407750039180999</v>
      </c>
      <c r="AS13" s="56" t="s">
        <v>26</v>
      </c>
      <c r="AT13" s="56" t="s">
        <v>26</v>
      </c>
      <c r="AU13" s="55">
        <v>14054657701.129999</v>
      </c>
      <c r="AV13" s="56">
        <v>0.31999461766989001</v>
      </c>
      <c r="AW13" s="56" t="s">
        <v>26</v>
      </c>
      <c r="AX13" s="56" t="s">
        <v>26</v>
      </c>
      <c r="AY13" s="55">
        <v>223492605110.14999</v>
      </c>
      <c r="AZ13" s="56">
        <v>0.31554195819311998</v>
      </c>
      <c r="BA13" s="56" t="s">
        <v>26</v>
      </c>
      <c r="BB13" s="56" t="s">
        <v>26</v>
      </c>
    </row>
    <row r="14" spans="1:54" s="8" customFormat="1" ht="17.25" customHeight="1">
      <c r="A14" s="5" t="s">
        <v>31</v>
      </c>
      <c r="B14" s="24" t="s">
        <v>25</v>
      </c>
      <c r="C14" s="10">
        <v>2236846769.8800001</v>
      </c>
      <c r="D14" s="11">
        <v>0.37242574736516998</v>
      </c>
      <c r="E14" s="11">
        <v>0.5</v>
      </c>
      <c r="F14" s="11">
        <v>0.12759999999999999</v>
      </c>
      <c r="G14" s="10">
        <v>45881502065.010002</v>
      </c>
      <c r="H14" s="11">
        <v>0.31335746774294998</v>
      </c>
      <c r="I14" s="11">
        <v>0.5</v>
      </c>
      <c r="J14" s="11">
        <v>0.18659999999999999</v>
      </c>
      <c r="K14" s="10">
        <v>831904930.94000006</v>
      </c>
      <c r="L14" s="11">
        <v>0.29709999999999998</v>
      </c>
      <c r="M14" s="11">
        <v>0.5</v>
      </c>
      <c r="N14" s="11">
        <v>0.20349999999999999</v>
      </c>
      <c r="O14" s="10">
        <v>74866691704.800003</v>
      </c>
      <c r="P14" s="11">
        <v>0.34261182190935002</v>
      </c>
      <c r="Q14" s="11">
        <v>0.5</v>
      </c>
      <c r="R14" s="11">
        <v>0.15740000000000001</v>
      </c>
      <c r="S14" s="10">
        <v>28251303214.459999</v>
      </c>
      <c r="T14" s="11">
        <v>0.25857676518033001</v>
      </c>
      <c r="U14" s="11">
        <v>0.5</v>
      </c>
      <c r="V14" s="11">
        <v>0.2414</v>
      </c>
      <c r="W14" s="10">
        <v>2956643045.29</v>
      </c>
      <c r="X14" s="11">
        <v>0.48873512375931</v>
      </c>
      <c r="Y14" s="11">
        <v>0.5</v>
      </c>
      <c r="Z14" s="11">
        <v>1.1299999999999999E-2</v>
      </c>
      <c r="AA14" s="10">
        <v>36459170792.040001</v>
      </c>
      <c r="AB14" s="11">
        <v>0.27031726073139001</v>
      </c>
      <c r="AC14" s="11">
        <v>0.5</v>
      </c>
      <c r="AD14" s="11">
        <v>0.22969999999999999</v>
      </c>
      <c r="AE14" s="10">
        <v>191484062522.42001</v>
      </c>
      <c r="AF14" s="11">
        <v>0.30689963296783002</v>
      </c>
      <c r="AG14" s="11">
        <v>0.5</v>
      </c>
      <c r="AH14" s="11">
        <v>0.19309999999999999</v>
      </c>
      <c r="AI14" s="10">
        <v>6439775465.3500004</v>
      </c>
      <c r="AJ14" s="11">
        <v>0.38261869101043</v>
      </c>
      <c r="AK14" s="11">
        <v>0.5</v>
      </c>
      <c r="AL14" s="11">
        <v>0.1174</v>
      </c>
      <c r="AM14" s="10">
        <v>11514109421.25</v>
      </c>
      <c r="AN14" s="11">
        <v>0.48791020132308</v>
      </c>
      <c r="AO14" s="11">
        <v>0.5</v>
      </c>
      <c r="AP14" s="11">
        <v>1.21E-2</v>
      </c>
      <c r="AQ14" s="10">
        <v>17953884886.599998</v>
      </c>
      <c r="AR14" s="11">
        <v>0.44407750039180999</v>
      </c>
      <c r="AS14" s="11">
        <v>0.5</v>
      </c>
      <c r="AT14" s="11">
        <v>5.5899999999999998E-2</v>
      </c>
      <c r="AU14" s="10">
        <v>14054657701.129999</v>
      </c>
      <c r="AV14" s="11">
        <v>0.31999461766989001</v>
      </c>
      <c r="AW14" s="11">
        <v>0.5</v>
      </c>
      <c r="AX14" s="11">
        <v>0.18</v>
      </c>
      <c r="AY14" s="10">
        <v>223492605110.14999</v>
      </c>
      <c r="AZ14" s="11">
        <v>0.31554195819311998</v>
      </c>
      <c r="BA14" s="11">
        <v>0.5</v>
      </c>
      <c r="BB14" s="11">
        <v>0.1845</v>
      </c>
    </row>
    <row r="15" spans="1:54" s="7" customFormat="1">
      <c r="A15" s="3" t="s">
        <v>32</v>
      </c>
      <c r="B15" s="31" t="s">
        <v>29</v>
      </c>
      <c r="C15" s="2">
        <v>966852914.91999996</v>
      </c>
      <c r="D15" s="1">
        <v>0.43223922529654002</v>
      </c>
      <c r="E15" s="1" t="s">
        <v>26</v>
      </c>
      <c r="F15" s="1" t="s">
        <v>26</v>
      </c>
      <c r="G15" s="2">
        <v>17914524687.32</v>
      </c>
      <c r="H15" s="1">
        <v>0.39045200965602</v>
      </c>
      <c r="I15" s="1" t="s">
        <v>26</v>
      </c>
      <c r="J15" s="1" t="s">
        <v>26</v>
      </c>
      <c r="K15" s="2">
        <v>250986814.91</v>
      </c>
      <c r="L15" s="1">
        <v>0.30170131895528002</v>
      </c>
      <c r="M15" s="1" t="s">
        <v>26</v>
      </c>
      <c r="N15" s="1" t="s">
        <v>26</v>
      </c>
      <c r="O15" s="2">
        <v>20786051888.66</v>
      </c>
      <c r="P15" s="1">
        <v>0.27764084955989998</v>
      </c>
      <c r="Q15" s="1" t="s">
        <v>26</v>
      </c>
      <c r="R15" s="1" t="s">
        <v>26</v>
      </c>
      <c r="S15" s="2">
        <v>11903535877.790001</v>
      </c>
      <c r="T15" s="1">
        <v>0.42134466461346998</v>
      </c>
      <c r="U15" s="1" t="s">
        <v>26</v>
      </c>
      <c r="V15" s="1" t="s">
        <v>26</v>
      </c>
      <c r="W15" s="2">
        <v>1242139671.3399999</v>
      </c>
      <c r="X15" s="1">
        <v>0.42011823960918998</v>
      </c>
      <c r="Y15" s="1" t="s">
        <v>26</v>
      </c>
      <c r="Z15" s="1" t="s">
        <v>26</v>
      </c>
      <c r="AA15" s="2">
        <v>18357912055.439999</v>
      </c>
      <c r="AB15" s="1">
        <v>0.50351973609471001</v>
      </c>
      <c r="AC15" s="1" t="s">
        <v>26</v>
      </c>
      <c r="AD15" s="1" t="s">
        <v>26</v>
      </c>
      <c r="AE15" s="2">
        <v>71422003910.380005</v>
      </c>
      <c r="AF15" s="1">
        <v>0.37299189796548998</v>
      </c>
      <c r="AG15" s="1" t="s">
        <v>26</v>
      </c>
      <c r="AH15" s="1" t="s">
        <v>26</v>
      </c>
      <c r="AI15" s="2">
        <v>1696177907.02</v>
      </c>
      <c r="AJ15" s="1">
        <v>0.26339084586822997</v>
      </c>
      <c r="AK15" s="1" t="s">
        <v>26</v>
      </c>
      <c r="AL15" s="1" t="s">
        <v>26</v>
      </c>
      <c r="AM15" s="2">
        <v>6777161449.2200003</v>
      </c>
      <c r="AN15" s="1">
        <v>0.58859623452181997</v>
      </c>
      <c r="AO15" s="1" t="s">
        <v>26</v>
      </c>
      <c r="AP15" s="1" t="s">
        <v>26</v>
      </c>
      <c r="AQ15" s="2">
        <v>8473339356.2399998</v>
      </c>
      <c r="AR15" s="1">
        <v>0.47195018848338999</v>
      </c>
      <c r="AS15" s="1" t="s">
        <v>26</v>
      </c>
      <c r="AT15" s="1" t="s">
        <v>26</v>
      </c>
      <c r="AU15" s="2">
        <v>7831200951.8299999</v>
      </c>
      <c r="AV15" s="1">
        <v>0.55719613514318</v>
      </c>
      <c r="AW15" s="1" t="s">
        <v>26</v>
      </c>
      <c r="AX15" s="1" t="s">
        <v>26</v>
      </c>
      <c r="AY15" s="2">
        <v>87726544218.449997</v>
      </c>
      <c r="AZ15" s="1">
        <v>0.39252548949086002</v>
      </c>
      <c r="BA15" s="1" t="s">
        <v>26</v>
      </c>
      <c r="BB15" s="1" t="s">
        <v>26</v>
      </c>
    </row>
    <row r="16" spans="1:54" s="7" customFormat="1">
      <c r="A16" s="3" t="s">
        <v>33</v>
      </c>
      <c r="B16" s="31" t="s">
        <v>29</v>
      </c>
      <c r="C16" s="2">
        <v>1269993854.96</v>
      </c>
      <c r="D16" s="1">
        <v>0.56776077470345998</v>
      </c>
      <c r="E16" s="1" t="s">
        <v>26</v>
      </c>
      <c r="F16" s="1" t="s">
        <v>26</v>
      </c>
      <c r="G16" s="2">
        <v>27966977377.689999</v>
      </c>
      <c r="H16" s="1">
        <v>0.60954799034398</v>
      </c>
      <c r="I16" s="1" t="s">
        <v>26</v>
      </c>
      <c r="J16" s="1" t="s">
        <v>26</v>
      </c>
      <c r="K16" s="2">
        <v>580918116.02999997</v>
      </c>
      <c r="L16" s="1">
        <v>0.69829868104472004</v>
      </c>
      <c r="M16" s="1" t="s">
        <v>26</v>
      </c>
      <c r="N16" s="1" t="s">
        <v>26</v>
      </c>
      <c r="O16" s="2">
        <v>54080639816.139999</v>
      </c>
      <c r="P16" s="1">
        <v>0.72235915044010002</v>
      </c>
      <c r="Q16" s="1" t="s">
        <v>26</v>
      </c>
      <c r="R16" s="1" t="s">
        <v>26</v>
      </c>
      <c r="S16" s="2">
        <v>16347767336.67</v>
      </c>
      <c r="T16" s="1">
        <v>0.57865533538653002</v>
      </c>
      <c r="U16" s="1" t="s">
        <v>26</v>
      </c>
      <c r="V16" s="1" t="s">
        <v>26</v>
      </c>
      <c r="W16" s="2">
        <v>1714503373.95</v>
      </c>
      <c r="X16" s="1">
        <v>0.57988176039080996</v>
      </c>
      <c r="Y16" s="1" t="s">
        <v>26</v>
      </c>
      <c r="Z16" s="1" t="s">
        <v>26</v>
      </c>
      <c r="AA16" s="2">
        <v>18101258736.599998</v>
      </c>
      <c r="AB16" s="1">
        <v>0.49648026390528999</v>
      </c>
      <c r="AC16" s="1" t="s">
        <v>26</v>
      </c>
      <c r="AD16" s="1" t="s">
        <v>26</v>
      </c>
      <c r="AE16" s="2">
        <v>120062058612.03999</v>
      </c>
      <c r="AF16" s="1">
        <v>0.62700810203450996</v>
      </c>
      <c r="AG16" s="1" t="s">
        <v>26</v>
      </c>
      <c r="AH16" s="1" t="s">
        <v>26</v>
      </c>
      <c r="AI16" s="2">
        <v>4743597558.3299999</v>
      </c>
      <c r="AJ16" s="1">
        <v>0.73660915413176997</v>
      </c>
      <c r="AK16" s="1" t="s">
        <v>26</v>
      </c>
      <c r="AL16" s="1" t="s">
        <v>26</v>
      </c>
      <c r="AM16" s="2">
        <v>4736947972.0299997</v>
      </c>
      <c r="AN16" s="1">
        <v>0.41140376547817997</v>
      </c>
      <c r="AO16" s="1" t="s">
        <v>26</v>
      </c>
      <c r="AP16" s="1" t="s">
        <v>26</v>
      </c>
      <c r="AQ16" s="2">
        <v>9480545530.3600006</v>
      </c>
      <c r="AR16" s="1">
        <v>0.52804981151661001</v>
      </c>
      <c r="AS16" s="1" t="s">
        <v>26</v>
      </c>
      <c r="AT16" s="1" t="s">
        <v>26</v>
      </c>
      <c r="AU16" s="2">
        <v>6223456749.3000002</v>
      </c>
      <c r="AV16" s="1">
        <v>0.44280386485682</v>
      </c>
      <c r="AW16" s="1" t="s">
        <v>26</v>
      </c>
      <c r="AX16" s="1" t="s">
        <v>26</v>
      </c>
      <c r="AY16" s="2">
        <v>135766060891.7</v>
      </c>
      <c r="AZ16" s="1">
        <v>0.60747451050914003</v>
      </c>
      <c r="BA16" s="1" t="s">
        <v>26</v>
      </c>
      <c r="BB16" s="1" t="s">
        <v>26</v>
      </c>
    </row>
    <row r="17" spans="1:56">
      <c r="A17" s="13" t="s">
        <v>34</v>
      </c>
      <c r="B17" s="25" t="s">
        <v>25</v>
      </c>
      <c r="C17" s="55">
        <v>222605997.18000001</v>
      </c>
      <c r="D17" s="56">
        <v>3.7062979004220002E-2</v>
      </c>
      <c r="E17" s="56" t="s">
        <v>26</v>
      </c>
      <c r="F17" s="56" t="s">
        <v>26</v>
      </c>
      <c r="G17" s="55">
        <v>10251483666.08</v>
      </c>
      <c r="H17" s="56">
        <v>7.001468604187E-2</v>
      </c>
      <c r="I17" s="56" t="s">
        <v>26</v>
      </c>
      <c r="J17" s="56" t="s">
        <v>26</v>
      </c>
      <c r="K17" s="55">
        <v>166719141.25999999</v>
      </c>
      <c r="L17" s="56">
        <v>5.9543459085737507E-2</v>
      </c>
      <c r="M17" s="56" t="s">
        <v>26</v>
      </c>
      <c r="N17" s="56" t="s">
        <v>26</v>
      </c>
      <c r="O17" s="55">
        <v>16102338007.809999</v>
      </c>
      <c r="P17" s="56">
        <v>7.3688996217560004E-2</v>
      </c>
      <c r="Q17" s="56" t="s">
        <v>26</v>
      </c>
      <c r="R17" s="56" t="s">
        <v>26</v>
      </c>
      <c r="S17" s="55">
        <v>12037316340.389999</v>
      </c>
      <c r="T17" s="56">
        <v>0.11017439787192999</v>
      </c>
      <c r="U17" s="56" t="s">
        <v>26</v>
      </c>
      <c r="V17" s="56" t="s">
        <v>26</v>
      </c>
      <c r="W17" s="55">
        <v>1153424779.4200001</v>
      </c>
      <c r="X17" s="56">
        <v>0.19066190733267999</v>
      </c>
      <c r="Y17" s="56" t="s">
        <v>26</v>
      </c>
      <c r="Z17" s="56" t="s">
        <v>26</v>
      </c>
      <c r="AA17" s="55">
        <v>18931712250.599998</v>
      </c>
      <c r="AB17" s="56">
        <v>0.14036437157958001</v>
      </c>
      <c r="AC17" s="56" t="s">
        <v>26</v>
      </c>
      <c r="AD17" s="56" t="s">
        <v>26</v>
      </c>
      <c r="AE17" s="55">
        <v>58865600182.739998</v>
      </c>
      <c r="AF17" s="56">
        <v>9.4346395478209999E-2</v>
      </c>
      <c r="AG17" s="56" t="s">
        <v>26</v>
      </c>
      <c r="AH17" s="56" t="s">
        <v>26</v>
      </c>
      <c r="AI17" s="55">
        <v>2211064709.27</v>
      </c>
      <c r="AJ17" s="56">
        <v>0.13137021459090001</v>
      </c>
      <c r="AK17" s="56" t="s">
        <v>26</v>
      </c>
      <c r="AL17" s="56" t="s">
        <v>26</v>
      </c>
      <c r="AM17" s="55">
        <v>3074545921.96</v>
      </c>
      <c r="AN17" s="56">
        <v>0.13028383393612999</v>
      </c>
      <c r="AO17" s="56" t="s">
        <v>26</v>
      </c>
      <c r="AP17" s="56" t="s">
        <v>26</v>
      </c>
      <c r="AQ17" s="55">
        <v>5285610631.2299995</v>
      </c>
      <c r="AR17" s="56">
        <v>0.13073609260538999</v>
      </c>
      <c r="AS17" s="56" t="s">
        <v>26</v>
      </c>
      <c r="AT17" s="56" t="s">
        <v>26</v>
      </c>
      <c r="AU17" s="55">
        <v>5784810858.1300001</v>
      </c>
      <c r="AV17" s="56">
        <v>0.13170782086647001</v>
      </c>
      <c r="AW17" s="56" t="s">
        <v>26</v>
      </c>
      <c r="AX17" s="56" t="s">
        <v>26</v>
      </c>
      <c r="AY17" s="55">
        <v>69936021672.100006</v>
      </c>
      <c r="AZ17" s="56">
        <v>9.8740400004620005E-2</v>
      </c>
      <c r="BA17" s="56" t="s">
        <v>26</v>
      </c>
      <c r="BB17" s="56" t="s">
        <v>26</v>
      </c>
    </row>
    <row r="18" spans="1:56" s="7" customFormat="1">
      <c r="A18" s="5" t="s">
        <v>35</v>
      </c>
      <c r="B18" s="24" t="s">
        <v>25</v>
      </c>
      <c r="C18" s="10">
        <v>7032987.4800000004</v>
      </c>
      <c r="D18" s="11">
        <v>1.17096336402E-3</v>
      </c>
      <c r="E18" s="11">
        <v>0.15</v>
      </c>
      <c r="F18" s="11">
        <v>0.14879999999999999</v>
      </c>
      <c r="G18" s="10">
        <v>3986396076.5700002</v>
      </c>
      <c r="H18" s="11">
        <v>2.722593907681E-2</v>
      </c>
      <c r="I18" s="11">
        <v>0.15</v>
      </c>
      <c r="J18" s="11">
        <v>0.12280000000000001</v>
      </c>
      <c r="K18" s="10" t="s">
        <v>26</v>
      </c>
      <c r="L18" s="11" t="s">
        <v>26</v>
      </c>
      <c r="M18" s="11" t="s">
        <v>26</v>
      </c>
      <c r="N18" s="11" t="s">
        <v>26</v>
      </c>
      <c r="O18" s="10">
        <v>5021666469.8599997</v>
      </c>
      <c r="P18" s="11">
        <v>2.2980610723970001E-2</v>
      </c>
      <c r="Q18" s="11">
        <v>0.13780000000000001</v>
      </c>
      <c r="R18" s="11">
        <v>0.1148</v>
      </c>
      <c r="S18" s="10">
        <v>3166193334.4699998</v>
      </c>
      <c r="T18" s="11">
        <v>2.8979336781310001E-2</v>
      </c>
      <c r="U18" s="11">
        <v>0.05</v>
      </c>
      <c r="V18" s="11">
        <v>2.1000000000000001E-2</v>
      </c>
      <c r="W18" s="10">
        <v>317889675.68000001</v>
      </c>
      <c r="X18" s="11">
        <v>5.2547381474670002E-2</v>
      </c>
      <c r="Y18" s="11">
        <v>0.15</v>
      </c>
      <c r="Z18" s="11">
        <v>9.7500000000000003E-2</v>
      </c>
      <c r="AA18" s="10">
        <v>8905886170.0200005</v>
      </c>
      <c r="AB18" s="11">
        <v>6.6030430796059997E-2</v>
      </c>
      <c r="AC18" s="11">
        <v>0.1431</v>
      </c>
      <c r="AD18" s="11">
        <v>7.7100000000000002E-2</v>
      </c>
      <c r="AE18" s="10">
        <v>21405064714.080002</v>
      </c>
      <c r="AF18" s="11">
        <v>3.4306805578839999E-2</v>
      </c>
      <c r="AG18" s="11">
        <v>0.14360000000000001</v>
      </c>
      <c r="AH18" s="11">
        <v>0.10929999999999999</v>
      </c>
      <c r="AI18" s="10">
        <v>630195603.69000006</v>
      </c>
      <c r="AJ18" s="11">
        <v>3.744301618306E-2</v>
      </c>
      <c r="AK18" s="11">
        <v>0.05</v>
      </c>
      <c r="AL18" s="11">
        <v>1.26E-2</v>
      </c>
      <c r="AM18" s="10">
        <v>1258403962.29</v>
      </c>
      <c r="AN18" s="11">
        <v>5.3324847638980002E-2</v>
      </c>
      <c r="AO18" s="11">
        <v>0.15</v>
      </c>
      <c r="AP18" s="11">
        <v>9.6699999999999994E-2</v>
      </c>
      <c r="AQ18" s="10">
        <v>1888599565.98</v>
      </c>
      <c r="AR18" s="11">
        <v>4.671326455521E-2</v>
      </c>
      <c r="AS18" s="11">
        <v>0.14710000000000001</v>
      </c>
      <c r="AT18" s="11">
        <v>0.1004</v>
      </c>
      <c r="AU18" s="10">
        <v>1519018243.6400001</v>
      </c>
      <c r="AV18" s="11">
        <v>3.4584809708180002E-2</v>
      </c>
      <c r="AW18" s="11">
        <v>0.05</v>
      </c>
      <c r="AX18" s="11">
        <v>1.54E-2</v>
      </c>
      <c r="AY18" s="10">
        <v>24812682523.700001</v>
      </c>
      <c r="AZ18" s="11">
        <v>3.5032221436109998E-2</v>
      </c>
      <c r="BA18" s="11">
        <v>0.14380000000000001</v>
      </c>
      <c r="BB18" s="11">
        <v>0.10879999999999999</v>
      </c>
    </row>
    <row r="19" spans="1:56" s="7" customFormat="1">
      <c r="A19" s="3" t="s">
        <v>36</v>
      </c>
      <c r="B19" s="31" t="s">
        <v>37</v>
      </c>
      <c r="C19" s="2" t="s">
        <v>26</v>
      </c>
      <c r="D19" s="1" t="s">
        <v>26</v>
      </c>
      <c r="E19" s="1" t="s">
        <v>26</v>
      </c>
      <c r="F19" s="1" t="s">
        <v>26</v>
      </c>
      <c r="G19" s="2" t="s">
        <v>26</v>
      </c>
      <c r="H19" s="1" t="s">
        <v>26</v>
      </c>
      <c r="I19" s="1" t="s">
        <v>26</v>
      </c>
      <c r="J19" s="1" t="s">
        <v>26</v>
      </c>
      <c r="K19" s="2" t="s">
        <v>26</v>
      </c>
      <c r="L19" s="1" t="s">
        <v>26</v>
      </c>
      <c r="M19" s="1" t="s">
        <v>26</v>
      </c>
      <c r="N19" s="1" t="s">
        <v>26</v>
      </c>
      <c r="O19" s="2">
        <v>4079448840</v>
      </c>
      <c r="P19" s="1">
        <v>0.81236953200393003</v>
      </c>
      <c r="Q19" s="1" t="s">
        <v>26</v>
      </c>
      <c r="R19" s="1" t="s">
        <v>26</v>
      </c>
      <c r="S19" s="2">
        <v>1005584139.0599999</v>
      </c>
      <c r="T19" s="1">
        <v>0.31760035880067999</v>
      </c>
      <c r="U19" s="1" t="s">
        <v>26</v>
      </c>
      <c r="V19" s="1" t="s">
        <v>26</v>
      </c>
      <c r="W19" s="2" t="s">
        <v>26</v>
      </c>
      <c r="X19" s="1" t="s">
        <v>26</v>
      </c>
      <c r="Y19" s="1" t="s">
        <v>26</v>
      </c>
      <c r="Z19" s="1" t="s">
        <v>26</v>
      </c>
      <c r="AA19" s="2">
        <v>4079448840</v>
      </c>
      <c r="AB19" s="1">
        <v>0.45806209085993999</v>
      </c>
      <c r="AC19" s="1" t="s">
        <v>26</v>
      </c>
      <c r="AD19" s="1" t="s">
        <v>26</v>
      </c>
      <c r="AE19" s="2">
        <v>9164481819.0599995</v>
      </c>
      <c r="AF19" s="1">
        <v>0.42814548526133001</v>
      </c>
      <c r="AG19" s="1" t="s">
        <v>26</v>
      </c>
      <c r="AH19" s="1" t="s">
        <v>26</v>
      </c>
      <c r="AI19" s="2">
        <v>365110671.18000001</v>
      </c>
      <c r="AJ19" s="1">
        <v>0.57936086675653997</v>
      </c>
      <c r="AK19" s="1" t="s">
        <v>26</v>
      </c>
      <c r="AL19" s="1" t="s">
        <v>26</v>
      </c>
      <c r="AM19" s="2" t="s">
        <v>26</v>
      </c>
      <c r="AN19" s="1" t="s">
        <v>26</v>
      </c>
      <c r="AO19" s="1" t="s">
        <v>26</v>
      </c>
      <c r="AP19" s="1" t="s">
        <v>26</v>
      </c>
      <c r="AQ19" s="2">
        <v>365110671.18000001</v>
      </c>
      <c r="AR19" s="1">
        <v>0.19332349628628001</v>
      </c>
      <c r="AS19" s="1" t="s">
        <v>26</v>
      </c>
      <c r="AT19" s="1" t="s">
        <v>26</v>
      </c>
      <c r="AU19" s="2">
        <v>651691952.19000006</v>
      </c>
      <c r="AV19" s="1">
        <v>0.42902180728807998</v>
      </c>
      <c r="AW19" s="1" t="s">
        <v>26</v>
      </c>
      <c r="AX19" s="1" t="s">
        <v>26</v>
      </c>
      <c r="AY19" s="2">
        <v>10181284442.43</v>
      </c>
      <c r="AZ19" s="1">
        <v>0.41032582562184999</v>
      </c>
      <c r="BA19" s="1" t="s">
        <v>26</v>
      </c>
      <c r="BB19" s="1" t="s">
        <v>26</v>
      </c>
    </row>
    <row r="20" spans="1:56" s="7" customFormat="1">
      <c r="A20" s="3" t="s">
        <v>38</v>
      </c>
      <c r="B20" s="31" t="s">
        <v>39</v>
      </c>
      <c r="C20" s="2">
        <v>7032987.4800000004</v>
      </c>
      <c r="D20" s="1">
        <v>1</v>
      </c>
      <c r="E20" s="1" t="s">
        <v>26</v>
      </c>
      <c r="F20" s="1" t="s">
        <v>26</v>
      </c>
      <c r="G20" s="2">
        <v>3986396076.5700002</v>
      </c>
      <c r="H20" s="1">
        <v>1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942217629.86000001</v>
      </c>
      <c r="P20" s="1">
        <v>0.18763046799607</v>
      </c>
      <c r="Q20" s="1" t="s">
        <v>26</v>
      </c>
      <c r="R20" s="1" t="s">
        <v>26</v>
      </c>
      <c r="S20" s="2">
        <v>2160609195.4099998</v>
      </c>
      <c r="T20" s="1">
        <v>0.68239964119931995</v>
      </c>
      <c r="U20" s="1" t="s">
        <v>26</v>
      </c>
      <c r="V20" s="1" t="s">
        <v>26</v>
      </c>
      <c r="W20" s="2">
        <v>317889675.68000001</v>
      </c>
      <c r="X20" s="1">
        <v>1</v>
      </c>
      <c r="Y20" s="1" t="s">
        <v>26</v>
      </c>
      <c r="Z20" s="1" t="s">
        <v>26</v>
      </c>
      <c r="AA20" s="2">
        <v>4826437330.0200005</v>
      </c>
      <c r="AB20" s="1">
        <v>0.54193790914006001</v>
      </c>
      <c r="AC20" s="1" t="s">
        <v>26</v>
      </c>
      <c r="AD20" s="1" t="s">
        <v>26</v>
      </c>
      <c r="AE20" s="2">
        <v>12240582895.02</v>
      </c>
      <c r="AF20" s="1">
        <v>0.57185451473866999</v>
      </c>
      <c r="AG20" s="1" t="s">
        <v>26</v>
      </c>
      <c r="AH20" s="1" t="s">
        <v>26</v>
      </c>
      <c r="AI20" s="2">
        <v>265084932.50999999</v>
      </c>
      <c r="AJ20" s="1">
        <v>0.42063913324345997</v>
      </c>
      <c r="AK20" s="1" t="s">
        <v>26</v>
      </c>
      <c r="AL20" s="1" t="s">
        <v>26</v>
      </c>
      <c r="AM20" s="2">
        <v>1258403962.29</v>
      </c>
      <c r="AN20" s="1">
        <v>1</v>
      </c>
      <c r="AO20" s="1" t="s">
        <v>26</v>
      </c>
      <c r="AP20" s="1" t="s">
        <v>26</v>
      </c>
      <c r="AQ20" s="2">
        <v>1523488894.8</v>
      </c>
      <c r="AR20" s="1">
        <v>0.80667650371372002</v>
      </c>
      <c r="AS20" s="1" t="s">
        <v>26</v>
      </c>
      <c r="AT20" s="1" t="s">
        <v>26</v>
      </c>
      <c r="AU20" s="2">
        <v>867326291.45000005</v>
      </c>
      <c r="AV20" s="1">
        <v>0.57097819271191996</v>
      </c>
      <c r="AW20" s="1" t="s">
        <v>26</v>
      </c>
      <c r="AX20" s="1" t="s">
        <v>26</v>
      </c>
      <c r="AY20" s="2">
        <v>14631398081.27</v>
      </c>
      <c r="AZ20" s="1">
        <v>0.58967417437814995</v>
      </c>
      <c r="BA20" s="1" t="s">
        <v>26</v>
      </c>
      <c r="BB20" s="1" t="s">
        <v>26</v>
      </c>
    </row>
    <row r="21" spans="1:56" s="7" customFormat="1">
      <c r="A21" s="5" t="s">
        <v>41</v>
      </c>
      <c r="B21" s="24" t="s">
        <v>25</v>
      </c>
      <c r="C21" s="10" t="s">
        <v>26</v>
      </c>
      <c r="D21" s="11" t="s">
        <v>26</v>
      </c>
      <c r="E21" s="11" t="s">
        <v>26</v>
      </c>
      <c r="F21" s="11" t="s">
        <v>26</v>
      </c>
      <c r="G21" s="10" t="s">
        <v>26</v>
      </c>
      <c r="H21" s="11" t="s">
        <v>26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10" t="s">
        <v>26</v>
      </c>
      <c r="P21" s="11" t="s">
        <v>26</v>
      </c>
      <c r="Q21" s="11" t="s">
        <v>26</v>
      </c>
      <c r="R21" s="11" t="s">
        <v>26</v>
      </c>
      <c r="S21" s="10" t="s">
        <v>26</v>
      </c>
      <c r="T21" s="11" t="s">
        <v>26</v>
      </c>
      <c r="U21" s="11" t="s">
        <v>26</v>
      </c>
      <c r="V21" s="11" t="s">
        <v>26</v>
      </c>
      <c r="W21" s="10">
        <v>185857874.38999999</v>
      </c>
      <c r="X21" s="11">
        <v>3.0722434142440001E-2</v>
      </c>
      <c r="Y21" s="11">
        <v>0.15</v>
      </c>
      <c r="Z21" s="11">
        <v>0.1193</v>
      </c>
      <c r="AA21" s="10" t="s">
        <v>26</v>
      </c>
      <c r="AB21" s="11" t="s">
        <v>26</v>
      </c>
      <c r="AC21" s="11" t="s">
        <v>26</v>
      </c>
      <c r="AD21" s="11" t="s">
        <v>26</v>
      </c>
      <c r="AE21" s="10">
        <v>185857874.38999999</v>
      </c>
      <c r="AF21" s="11">
        <v>2.9788230249000003E-4</v>
      </c>
      <c r="AG21" s="11">
        <v>0.15</v>
      </c>
      <c r="AH21" s="11">
        <v>0.1497</v>
      </c>
      <c r="AI21" s="10">
        <v>137532353.06999999</v>
      </c>
      <c r="AJ21" s="11">
        <v>8.1714726214199996E-3</v>
      </c>
      <c r="AK21" s="11">
        <v>0.15</v>
      </c>
      <c r="AL21" s="11">
        <v>0.14180000000000001</v>
      </c>
      <c r="AM21" s="10" t="s">
        <v>26</v>
      </c>
      <c r="AN21" s="11" t="s">
        <v>26</v>
      </c>
      <c r="AO21" s="11" t="s">
        <v>26</v>
      </c>
      <c r="AP21" s="11" t="s">
        <v>26</v>
      </c>
      <c r="AQ21" s="10">
        <v>137532353.06999999</v>
      </c>
      <c r="AR21" s="11">
        <v>3.40177203764E-3</v>
      </c>
      <c r="AS21" s="11">
        <v>0.15</v>
      </c>
      <c r="AT21" s="11">
        <v>0.14660000000000001</v>
      </c>
      <c r="AU21" s="10">
        <v>91813608.599999994</v>
      </c>
      <c r="AV21" s="11">
        <v>2.0904002933100001E-3</v>
      </c>
      <c r="AW21" s="11">
        <v>0.15</v>
      </c>
      <c r="AX21" s="11">
        <v>0.1479</v>
      </c>
      <c r="AY21" s="10">
        <v>415203836.06</v>
      </c>
      <c r="AZ21" s="11">
        <v>5.8621282531999997E-4</v>
      </c>
      <c r="BA21" s="11">
        <v>0.15</v>
      </c>
      <c r="BB21" s="11">
        <v>0.14940000000000001</v>
      </c>
      <c r="BD21" s="20"/>
    </row>
    <row r="22" spans="1:56" s="7" customFormat="1">
      <c r="A22" s="3" t="s">
        <v>38</v>
      </c>
      <c r="B22" s="31" t="s">
        <v>39</v>
      </c>
      <c r="C22" s="2" t="s">
        <v>26</v>
      </c>
      <c r="D22" s="1" t="s">
        <v>26</v>
      </c>
      <c r="E22" s="1" t="s">
        <v>26</v>
      </c>
      <c r="F22" s="1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2" t="s">
        <v>26</v>
      </c>
      <c r="T22" s="1" t="s">
        <v>26</v>
      </c>
      <c r="U22" s="1" t="s">
        <v>26</v>
      </c>
      <c r="V22" s="1" t="s">
        <v>26</v>
      </c>
      <c r="W22" s="2">
        <v>185857874.38999999</v>
      </c>
      <c r="X22" s="1">
        <v>1</v>
      </c>
      <c r="Y22" s="1" t="s">
        <v>26</v>
      </c>
      <c r="Z22" s="1" t="s">
        <v>26</v>
      </c>
      <c r="AA22" s="2" t="s">
        <v>26</v>
      </c>
      <c r="AB22" s="1" t="s">
        <v>26</v>
      </c>
      <c r="AC22" s="1" t="s">
        <v>26</v>
      </c>
      <c r="AD22" s="1" t="s">
        <v>26</v>
      </c>
      <c r="AE22" s="2">
        <v>185857874.38999999</v>
      </c>
      <c r="AF22" s="1">
        <v>1</v>
      </c>
      <c r="AG22" s="1" t="s">
        <v>26</v>
      </c>
      <c r="AH22" s="1" t="s">
        <v>26</v>
      </c>
      <c r="AI22" s="2">
        <v>137532353.06999999</v>
      </c>
      <c r="AJ22" s="1">
        <v>1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>
        <v>137532353.06999999</v>
      </c>
      <c r="AR22" s="1">
        <v>1</v>
      </c>
      <c r="AS22" s="1" t="s">
        <v>26</v>
      </c>
      <c r="AT22" s="1" t="s">
        <v>26</v>
      </c>
      <c r="AU22" s="2">
        <v>91813608.599999994</v>
      </c>
      <c r="AV22" s="1">
        <v>1</v>
      </c>
      <c r="AW22" s="1" t="s">
        <v>26</v>
      </c>
      <c r="AX22" s="1" t="s">
        <v>26</v>
      </c>
      <c r="AY22" s="2">
        <v>415203836.06</v>
      </c>
      <c r="AZ22" s="1">
        <v>1</v>
      </c>
      <c r="BA22" s="1" t="s">
        <v>26</v>
      </c>
      <c r="BB22" s="1" t="s">
        <v>26</v>
      </c>
    </row>
    <row r="23" spans="1:56" s="7" customFormat="1">
      <c r="A23" s="5" t="s">
        <v>42</v>
      </c>
      <c r="B23" s="24" t="s">
        <v>25</v>
      </c>
      <c r="C23" s="10">
        <v>128796617.73</v>
      </c>
      <c r="D23" s="11">
        <v>2.1444104827430002E-2</v>
      </c>
      <c r="E23" s="11">
        <v>0.13500000000000001</v>
      </c>
      <c r="F23" s="11">
        <v>0.11360000000000001</v>
      </c>
      <c r="G23" s="10" t="s">
        <v>26</v>
      </c>
      <c r="H23" s="11" t="s">
        <v>26</v>
      </c>
      <c r="I23" s="11" t="s">
        <v>26</v>
      </c>
      <c r="J23" s="11" t="s">
        <v>26</v>
      </c>
      <c r="K23" s="10">
        <v>7348227.75</v>
      </c>
      <c r="L23" s="11">
        <v>2.6244071021362817E-3</v>
      </c>
      <c r="M23" s="11">
        <v>0.13500000000000001</v>
      </c>
      <c r="N23" s="11">
        <v>0.13239999999999999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10" t="s">
        <v>26</v>
      </c>
      <c r="X23" s="11" t="s">
        <v>26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10">
        <v>136144845.47999999</v>
      </c>
      <c r="AF23" s="11">
        <v>2.1820512140000001E-4</v>
      </c>
      <c r="AG23" s="11">
        <v>0.13500000000000001</v>
      </c>
      <c r="AH23" s="11">
        <v>0.1348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10">
        <v>136144845.47999999</v>
      </c>
      <c r="AZ23" s="11">
        <v>1.9221849026999999E-4</v>
      </c>
      <c r="BA23" s="11">
        <v>0.13500000000000001</v>
      </c>
      <c r="BB23" s="11">
        <v>0.1348</v>
      </c>
    </row>
    <row r="24" spans="1:56" s="7" customFormat="1">
      <c r="A24" s="3" t="s">
        <v>38</v>
      </c>
      <c r="B24" s="31" t="s">
        <v>43</v>
      </c>
      <c r="C24" s="2">
        <v>128796617.73</v>
      </c>
      <c r="D24" s="1">
        <v>1</v>
      </c>
      <c r="E24" s="1" t="s">
        <v>26</v>
      </c>
      <c r="F24" s="1" t="s">
        <v>26</v>
      </c>
      <c r="G24" s="2" t="s">
        <v>26</v>
      </c>
      <c r="H24" s="1" t="s">
        <v>26</v>
      </c>
      <c r="I24" s="1" t="s">
        <v>26</v>
      </c>
      <c r="J24" s="1" t="s">
        <v>26</v>
      </c>
      <c r="K24" s="2">
        <v>7348227.75</v>
      </c>
      <c r="L24" s="1">
        <v>1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2">
        <v>136144845.47999999</v>
      </c>
      <c r="AF24" s="1">
        <v>1</v>
      </c>
      <c r="AG24" s="1" t="s">
        <v>26</v>
      </c>
      <c r="AH24" s="1" t="s">
        <v>26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2">
        <v>136144845.47999999</v>
      </c>
      <c r="AZ24" s="1">
        <v>1</v>
      </c>
      <c r="BA24" s="1" t="s">
        <v>26</v>
      </c>
      <c r="BB24" s="1" t="s">
        <v>26</v>
      </c>
    </row>
    <row r="25" spans="1:56" s="7" customFormat="1">
      <c r="A25" s="5" t="s">
        <v>44</v>
      </c>
      <c r="B25" s="24" t="s">
        <v>25</v>
      </c>
      <c r="C25" s="10">
        <v>20295005.199999999</v>
      </c>
      <c r="D25" s="11">
        <v>3.3790345325199998E-3</v>
      </c>
      <c r="E25" s="11">
        <v>0.13500000000000001</v>
      </c>
      <c r="F25" s="11">
        <v>0.13159999999999999</v>
      </c>
      <c r="G25" s="10">
        <v>1309027835.4000001</v>
      </c>
      <c r="H25" s="11">
        <v>8.9402837580300001E-3</v>
      </c>
      <c r="I25" s="11">
        <v>0.13500000000000001</v>
      </c>
      <c r="J25" s="11">
        <v>0.12609999999999999</v>
      </c>
      <c r="K25" s="10" t="s">
        <v>26</v>
      </c>
      <c r="L25" s="11" t="s">
        <v>26</v>
      </c>
      <c r="M25" s="11" t="s">
        <v>26</v>
      </c>
      <c r="N25" s="11" t="s">
        <v>26</v>
      </c>
      <c r="O25" s="10">
        <v>2664617942.7800002</v>
      </c>
      <c r="P25" s="11">
        <v>1.219406904833E-2</v>
      </c>
      <c r="Q25" s="11">
        <v>0.1429</v>
      </c>
      <c r="R25" s="11">
        <v>0.13070000000000001</v>
      </c>
      <c r="S25" s="10">
        <v>1728896833.76</v>
      </c>
      <c r="T25" s="11">
        <v>1.58241390569E-2</v>
      </c>
      <c r="U25" s="11">
        <v>0.14380000000000001</v>
      </c>
      <c r="V25" s="11">
        <v>0.128</v>
      </c>
      <c r="W25" s="10" t="s">
        <v>26</v>
      </c>
      <c r="X25" s="11" t="s">
        <v>26</v>
      </c>
      <c r="Y25" s="11" t="s">
        <v>26</v>
      </c>
      <c r="Z25" s="11" t="s">
        <v>26</v>
      </c>
      <c r="AA25" s="10">
        <v>4361227781.8900003</v>
      </c>
      <c r="AB25" s="11">
        <v>3.233521557993E-2</v>
      </c>
      <c r="AC25" s="11">
        <v>0.05</v>
      </c>
      <c r="AD25" s="11">
        <v>1.77E-2</v>
      </c>
      <c r="AE25" s="10">
        <v>10084065399.030001</v>
      </c>
      <c r="AF25" s="11">
        <v>1.616215955009E-2</v>
      </c>
      <c r="AG25" s="11">
        <v>0.1434</v>
      </c>
      <c r="AH25" s="11">
        <v>0.12720000000000001</v>
      </c>
      <c r="AI25" s="10">
        <v>128801145.48999999</v>
      </c>
      <c r="AJ25" s="11">
        <v>7.6527086935200004E-3</v>
      </c>
      <c r="AK25" s="11">
        <v>0.15</v>
      </c>
      <c r="AL25" s="11">
        <v>0.14230000000000001</v>
      </c>
      <c r="AM25" s="10" t="s">
        <v>26</v>
      </c>
      <c r="AN25" s="11" t="s">
        <v>26</v>
      </c>
      <c r="AO25" s="11" t="s">
        <v>26</v>
      </c>
      <c r="AP25" s="11" t="s">
        <v>26</v>
      </c>
      <c r="AQ25" s="10">
        <v>128801145.48999999</v>
      </c>
      <c r="AR25" s="11">
        <v>3.18581137721E-3</v>
      </c>
      <c r="AS25" s="11">
        <v>0.15</v>
      </c>
      <c r="AT25" s="11">
        <v>0.14680000000000001</v>
      </c>
      <c r="AU25" s="10">
        <v>1823260356.1700001</v>
      </c>
      <c r="AV25" s="11">
        <v>4.1511754536599998E-2</v>
      </c>
      <c r="AW25" s="11">
        <v>0.1454</v>
      </c>
      <c r="AX25" s="11">
        <v>0.10390000000000001</v>
      </c>
      <c r="AY25" s="10">
        <v>12036126900.690001</v>
      </c>
      <c r="AZ25" s="11">
        <v>1.699341707272E-2</v>
      </c>
      <c r="BA25" s="11">
        <v>0.14380000000000001</v>
      </c>
      <c r="BB25" s="11">
        <v>0.1268</v>
      </c>
    </row>
    <row r="26" spans="1:56" s="7" customFormat="1">
      <c r="A26" s="3" t="s">
        <v>36</v>
      </c>
      <c r="B26" s="31" t="s">
        <v>37</v>
      </c>
      <c r="C26" s="2">
        <v>20295005.199999999</v>
      </c>
      <c r="D26" s="1">
        <v>1</v>
      </c>
      <c r="E26" s="1" t="s">
        <v>26</v>
      </c>
      <c r="F26" s="1" t="s">
        <v>26</v>
      </c>
      <c r="G26" s="2">
        <v>1309027835.4000001</v>
      </c>
      <c r="H26" s="1">
        <v>1</v>
      </c>
      <c r="I26" s="1" t="s">
        <v>26</v>
      </c>
      <c r="J26" s="1" t="s">
        <v>26</v>
      </c>
      <c r="K26" s="2" t="s">
        <v>26</v>
      </c>
      <c r="L26" s="1" t="s">
        <v>26</v>
      </c>
      <c r="M26" s="1" t="s">
        <v>26</v>
      </c>
      <c r="N26" s="1" t="s">
        <v>26</v>
      </c>
      <c r="O26" s="2">
        <v>1268437825</v>
      </c>
      <c r="P26" s="1">
        <v>0.47602990456359001</v>
      </c>
      <c r="Q26" s="1" t="s">
        <v>26</v>
      </c>
      <c r="R26" s="1" t="s">
        <v>26</v>
      </c>
      <c r="S26" s="2">
        <v>710325182</v>
      </c>
      <c r="T26" s="1">
        <v>0.41085457971207001</v>
      </c>
      <c r="U26" s="1" t="s">
        <v>26</v>
      </c>
      <c r="V26" s="1" t="s">
        <v>26</v>
      </c>
      <c r="W26" s="2" t="s">
        <v>26</v>
      </c>
      <c r="X26" s="1" t="s">
        <v>26</v>
      </c>
      <c r="Y26" s="1" t="s">
        <v>26</v>
      </c>
      <c r="Z26" s="1" t="s">
        <v>26</v>
      </c>
      <c r="AA26" s="2">
        <v>1140579292.24</v>
      </c>
      <c r="AB26" s="1">
        <v>0.26152710871380003</v>
      </c>
      <c r="AC26" s="1" t="s">
        <v>26</v>
      </c>
      <c r="AD26" s="1" t="s">
        <v>26</v>
      </c>
      <c r="AE26" s="2">
        <v>4448665139.8400002</v>
      </c>
      <c r="AF26" s="1">
        <v>0.44115790247332998</v>
      </c>
      <c r="AG26" s="1" t="s">
        <v>26</v>
      </c>
      <c r="AH26" s="1" t="s">
        <v>26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2">
        <v>558112643</v>
      </c>
      <c r="AV26" s="1">
        <v>0.30610693701057001</v>
      </c>
      <c r="AW26" s="1" t="s">
        <v>26</v>
      </c>
      <c r="AX26" s="1" t="s">
        <v>26</v>
      </c>
      <c r="AY26" s="2">
        <v>5006777782.8400002</v>
      </c>
      <c r="AZ26" s="1">
        <v>0.41597914546356002</v>
      </c>
      <c r="BA26" s="1" t="s">
        <v>26</v>
      </c>
      <c r="BB26" s="1" t="s">
        <v>26</v>
      </c>
    </row>
    <row r="27" spans="1:56" s="7" customFormat="1">
      <c r="A27" s="3" t="s">
        <v>38</v>
      </c>
      <c r="B27" s="31" t="s">
        <v>39</v>
      </c>
      <c r="C27" s="2" t="s">
        <v>26</v>
      </c>
      <c r="D27" s="1" t="s">
        <v>26</v>
      </c>
      <c r="E27" s="1" t="s">
        <v>26</v>
      </c>
      <c r="F27" s="1" t="s">
        <v>26</v>
      </c>
      <c r="G27" s="2" t="s">
        <v>26</v>
      </c>
      <c r="H27" s="1" t="s">
        <v>26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1396180117.78</v>
      </c>
      <c r="P27" s="1">
        <v>0.52397009543641004</v>
      </c>
      <c r="Q27" s="1" t="s">
        <v>26</v>
      </c>
      <c r="R27" s="1" t="s">
        <v>26</v>
      </c>
      <c r="S27" s="2">
        <v>1018571651.76</v>
      </c>
      <c r="T27" s="1">
        <v>0.58914542028793004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3220648489.6500001</v>
      </c>
      <c r="AB27" s="1">
        <v>0.73847289128619997</v>
      </c>
      <c r="AC27" s="1" t="s">
        <v>26</v>
      </c>
      <c r="AD27" s="1" t="s">
        <v>26</v>
      </c>
      <c r="AE27" s="2">
        <v>5635400259.1899996</v>
      </c>
      <c r="AF27" s="1">
        <v>0.55884209752667002</v>
      </c>
      <c r="AG27" s="1" t="s">
        <v>26</v>
      </c>
      <c r="AH27" s="1" t="s">
        <v>26</v>
      </c>
      <c r="AI27" s="2">
        <v>128801145.48999999</v>
      </c>
      <c r="AJ27" s="1">
        <v>1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>
        <v>128801145.48999999</v>
      </c>
      <c r="AR27" s="1">
        <v>1</v>
      </c>
      <c r="AS27" s="1" t="s">
        <v>26</v>
      </c>
      <c r="AT27" s="1" t="s">
        <v>26</v>
      </c>
      <c r="AU27" s="2">
        <v>1265147713.1700001</v>
      </c>
      <c r="AV27" s="1">
        <v>0.69389306298942999</v>
      </c>
      <c r="AW27" s="1" t="s">
        <v>26</v>
      </c>
      <c r="AX27" s="1" t="s">
        <v>26</v>
      </c>
      <c r="AY27" s="2">
        <v>7029349117.8500004</v>
      </c>
      <c r="AZ27" s="1">
        <v>0.58402085453644004</v>
      </c>
      <c r="BA27" s="1" t="s">
        <v>26</v>
      </c>
      <c r="BB27" s="1" t="s">
        <v>26</v>
      </c>
    </row>
    <row r="28" spans="1:56" s="7" customFormat="1">
      <c r="A28" s="5" t="s">
        <v>45</v>
      </c>
      <c r="B28" s="24" t="s">
        <v>25</v>
      </c>
      <c r="C28" s="10">
        <v>33018712.039999999</v>
      </c>
      <c r="D28" s="11">
        <v>5.4974791631300004E-3</v>
      </c>
      <c r="E28" s="11">
        <v>0.09</v>
      </c>
      <c r="F28" s="11">
        <v>8.4500000000000006E-2</v>
      </c>
      <c r="G28" s="10">
        <v>40130434.619999997</v>
      </c>
      <c r="H28" s="11">
        <v>2.7407933058E-4</v>
      </c>
      <c r="I28" s="11">
        <v>0.09</v>
      </c>
      <c r="J28" s="11">
        <v>8.9700000000000002E-2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>
        <v>52831227.829999998</v>
      </c>
      <c r="T28" s="11">
        <v>4.8355036541000002E-4</v>
      </c>
      <c r="U28" s="11">
        <v>0.1134</v>
      </c>
      <c r="V28" s="11">
        <v>0.1129</v>
      </c>
      <c r="W28" s="10" t="s">
        <v>26</v>
      </c>
      <c r="X28" s="11" t="s">
        <v>26</v>
      </c>
      <c r="Y28" s="11" t="s">
        <v>26</v>
      </c>
      <c r="Z28" s="11" t="s">
        <v>26</v>
      </c>
      <c r="AA28" s="10">
        <v>35558612.979999997</v>
      </c>
      <c r="AB28" s="11">
        <v>2.6364030359000003E-4</v>
      </c>
      <c r="AC28" s="11">
        <v>0.09</v>
      </c>
      <c r="AD28" s="11">
        <v>8.9700000000000002E-2</v>
      </c>
      <c r="AE28" s="10">
        <v>161538987.47</v>
      </c>
      <c r="AF28" s="11">
        <v>2.5890539040999998E-4</v>
      </c>
      <c r="AG28" s="11">
        <v>9.7600000000000006E-2</v>
      </c>
      <c r="AH28" s="11">
        <v>9.7299999999999998E-2</v>
      </c>
      <c r="AI28" s="10">
        <v>4267234</v>
      </c>
      <c r="AJ28" s="11">
        <v>2.5353733156000002E-4</v>
      </c>
      <c r="AK28" s="11">
        <v>0.13500000000000001</v>
      </c>
      <c r="AL28" s="11">
        <v>0.13469999999999999</v>
      </c>
      <c r="AM28" s="10">
        <v>141452254.55000001</v>
      </c>
      <c r="AN28" s="11">
        <v>5.99403700887E-3</v>
      </c>
      <c r="AO28" s="11">
        <v>0.13500000000000001</v>
      </c>
      <c r="AP28" s="11">
        <v>0.129</v>
      </c>
      <c r="AQ28" s="10">
        <v>145719488.55000001</v>
      </c>
      <c r="AR28" s="11">
        <v>3.6042754335600001E-3</v>
      </c>
      <c r="AS28" s="11">
        <v>0.13500000000000001</v>
      </c>
      <c r="AT28" s="11">
        <v>0.13139999999999999</v>
      </c>
      <c r="AU28" s="10">
        <v>13208105.220000001</v>
      </c>
      <c r="AV28" s="11">
        <v>3.0072042094000001E-4</v>
      </c>
      <c r="AW28" s="11">
        <v>0.13500000000000001</v>
      </c>
      <c r="AX28" s="11">
        <v>0.13469999999999999</v>
      </c>
      <c r="AY28" s="10">
        <v>320466581.24000001</v>
      </c>
      <c r="AZ28" s="11">
        <v>4.5245636888000001E-4</v>
      </c>
      <c r="BA28" s="11">
        <v>0.1162</v>
      </c>
      <c r="BB28" s="11">
        <v>0.1157</v>
      </c>
    </row>
    <row r="29" spans="1:56" s="7" customFormat="1">
      <c r="A29" s="3" t="s">
        <v>36</v>
      </c>
      <c r="B29" s="31" t="s">
        <v>46</v>
      </c>
      <c r="C29" s="2">
        <v>33018712.039999999</v>
      </c>
      <c r="D29" s="1">
        <v>1</v>
      </c>
      <c r="E29" s="1" t="s">
        <v>26</v>
      </c>
      <c r="F29" s="1" t="s">
        <v>26</v>
      </c>
      <c r="G29" s="2">
        <v>40130434.619999997</v>
      </c>
      <c r="H29" s="1">
        <v>1</v>
      </c>
      <c r="I29" s="1" t="s">
        <v>26</v>
      </c>
      <c r="J29" s="1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2">
        <v>25399009.289999999</v>
      </c>
      <c r="T29" s="1">
        <v>0.48075750523400002</v>
      </c>
      <c r="U29" s="1" t="s">
        <v>26</v>
      </c>
      <c r="V29" s="1" t="s">
        <v>26</v>
      </c>
      <c r="W29" s="2" t="s">
        <v>26</v>
      </c>
      <c r="X29" s="1" t="s">
        <v>26</v>
      </c>
      <c r="Y29" s="1" t="s">
        <v>26</v>
      </c>
      <c r="Z29" s="1" t="s">
        <v>26</v>
      </c>
      <c r="AA29" s="2">
        <v>35558612.979999997</v>
      </c>
      <c r="AB29" s="1">
        <v>1</v>
      </c>
      <c r="AC29" s="1" t="s">
        <v>26</v>
      </c>
      <c r="AD29" s="1" t="s">
        <v>26</v>
      </c>
      <c r="AE29" s="2">
        <v>134106768.93000001</v>
      </c>
      <c r="AF29" s="1">
        <v>0.83018205716379001</v>
      </c>
      <c r="AG29" s="1" t="s">
        <v>26</v>
      </c>
      <c r="AH29" s="1" t="s">
        <v>26</v>
      </c>
      <c r="AI29" s="2" t="s">
        <v>26</v>
      </c>
      <c r="AJ29" s="1" t="s">
        <v>26</v>
      </c>
      <c r="AK29" s="1" t="s">
        <v>26</v>
      </c>
      <c r="AL29" s="1" t="s">
        <v>26</v>
      </c>
      <c r="AM29" s="2" t="s">
        <v>26</v>
      </c>
      <c r="AN29" s="1" t="s">
        <v>26</v>
      </c>
      <c r="AO29" s="1" t="s">
        <v>26</v>
      </c>
      <c r="AP29" s="1" t="s">
        <v>26</v>
      </c>
      <c r="AQ29" s="2" t="s">
        <v>26</v>
      </c>
      <c r="AR29" s="1" t="s">
        <v>26</v>
      </c>
      <c r="AS29" s="1" t="s">
        <v>26</v>
      </c>
      <c r="AT29" s="1" t="s">
        <v>26</v>
      </c>
      <c r="AU29" s="2" t="s">
        <v>26</v>
      </c>
      <c r="AV29" s="1" t="s">
        <v>26</v>
      </c>
      <c r="AW29" s="1" t="s">
        <v>26</v>
      </c>
      <c r="AX29" s="1" t="s">
        <v>26</v>
      </c>
      <c r="AY29" s="2">
        <v>134106768.93000001</v>
      </c>
      <c r="AZ29" s="1">
        <v>0.41847349078050999</v>
      </c>
      <c r="BA29" s="1" t="s">
        <v>26</v>
      </c>
      <c r="BB29" s="1" t="s">
        <v>26</v>
      </c>
    </row>
    <row r="30" spans="1:56" s="7" customFormat="1">
      <c r="A30" s="3" t="s">
        <v>38</v>
      </c>
      <c r="B30" s="31" t="s">
        <v>43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27432218.539999999</v>
      </c>
      <c r="T30" s="1">
        <v>0.51924249476600004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27432218.539999999</v>
      </c>
      <c r="AF30" s="1">
        <v>0.16981794283620999</v>
      </c>
      <c r="AG30" s="1" t="s">
        <v>26</v>
      </c>
      <c r="AH30" s="1" t="s">
        <v>26</v>
      </c>
      <c r="AI30" s="2">
        <v>4267234</v>
      </c>
      <c r="AJ30" s="1">
        <v>1</v>
      </c>
      <c r="AK30" s="1" t="s">
        <v>26</v>
      </c>
      <c r="AL30" s="1" t="s">
        <v>26</v>
      </c>
      <c r="AM30" s="2">
        <v>141452254.55000001</v>
      </c>
      <c r="AN30" s="1">
        <v>1</v>
      </c>
      <c r="AO30" s="1" t="s">
        <v>26</v>
      </c>
      <c r="AP30" s="1" t="s">
        <v>26</v>
      </c>
      <c r="AQ30" s="2">
        <v>145719488.55000001</v>
      </c>
      <c r="AR30" s="1">
        <v>1</v>
      </c>
      <c r="AS30" s="1" t="s">
        <v>26</v>
      </c>
      <c r="AT30" s="1" t="s">
        <v>26</v>
      </c>
      <c r="AU30" s="2">
        <v>13208105.220000001</v>
      </c>
      <c r="AV30" s="1">
        <v>1</v>
      </c>
      <c r="AW30" s="1" t="s">
        <v>26</v>
      </c>
      <c r="AX30" s="1" t="s">
        <v>26</v>
      </c>
      <c r="AY30" s="2">
        <v>186359812.31</v>
      </c>
      <c r="AZ30" s="1">
        <v>0.58152650921949001</v>
      </c>
      <c r="BA30" s="1" t="s">
        <v>26</v>
      </c>
      <c r="BB30" s="1" t="s">
        <v>26</v>
      </c>
    </row>
    <row r="31" spans="1:56" s="7" customFormat="1">
      <c r="A31" s="5" t="s">
        <v>47</v>
      </c>
      <c r="B31" s="24" t="s">
        <v>25</v>
      </c>
      <c r="C31" s="10" t="s">
        <v>26</v>
      </c>
      <c r="D31" s="11" t="s">
        <v>26</v>
      </c>
      <c r="E31" s="11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 t="s">
        <v>26</v>
      </c>
      <c r="L31" s="11" t="s">
        <v>26</v>
      </c>
      <c r="M31" s="11" t="s">
        <v>26</v>
      </c>
      <c r="N31" s="11" t="s">
        <v>26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 t="s">
        <v>26</v>
      </c>
      <c r="AB31" s="11" t="s">
        <v>26</v>
      </c>
      <c r="AC31" s="11" t="s">
        <v>26</v>
      </c>
      <c r="AD31" s="11" t="s">
        <v>26</v>
      </c>
      <c r="AE31" s="10" t="s">
        <v>26</v>
      </c>
      <c r="AF31" s="11" t="s">
        <v>26</v>
      </c>
      <c r="AG31" s="11" t="s">
        <v>26</v>
      </c>
      <c r="AH31" s="11" t="s">
        <v>26</v>
      </c>
      <c r="AI31" s="10">
        <v>3133582.48</v>
      </c>
      <c r="AJ31" s="11">
        <v>1.8618152652999999E-4</v>
      </c>
      <c r="AK31" s="11">
        <v>0.13500000000000001</v>
      </c>
      <c r="AL31" s="11">
        <v>0.1348</v>
      </c>
      <c r="AM31" s="10" t="s">
        <v>26</v>
      </c>
      <c r="AN31" s="11" t="s">
        <v>26</v>
      </c>
      <c r="AO31" s="11" t="s">
        <v>26</v>
      </c>
      <c r="AP31" s="11" t="s">
        <v>26</v>
      </c>
      <c r="AQ31" s="10">
        <v>3133582.48</v>
      </c>
      <c r="AR31" s="11">
        <v>7.7507095749999999E-5</v>
      </c>
      <c r="AS31" s="11">
        <v>0.13500000000000001</v>
      </c>
      <c r="AT31" s="11">
        <v>0.13489999999999999</v>
      </c>
      <c r="AU31" s="10" t="s">
        <v>26</v>
      </c>
      <c r="AV31" s="11" t="s">
        <v>26</v>
      </c>
      <c r="AW31" s="11" t="s">
        <v>26</v>
      </c>
      <c r="AX31" s="11" t="s">
        <v>26</v>
      </c>
      <c r="AY31" s="10">
        <v>3133582.48</v>
      </c>
      <c r="AZ31" s="11">
        <v>4.4242034399999997E-6</v>
      </c>
      <c r="BA31" s="11">
        <v>0.13500000000000001</v>
      </c>
      <c r="BB31" s="11">
        <v>0.13500000000000001</v>
      </c>
    </row>
    <row r="32" spans="1:56" s="7" customFormat="1">
      <c r="A32" s="3" t="s">
        <v>38</v>
      </c>
      <c r="B32" s="31" t="s">
        <v>43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 t="s">
        <v>26</v>
      </c>
      <c r="L32" s="1" t="s">
        <v>26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 t="s">
        <v>26</v>
      </c>
      <c r="AF32" s="1" t="s">
        <v>26</v>
      </c>
      <c r="AG32" s="1" t="s">
        <v>26</v>
      </c>
      <c r="AH32" s="1" t="s">
        <v>26</v>
      </c>
      <c r="AI32" s="2">
        <v>3133582.48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3133582.48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3133582.48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48</v>
      </c>
      <c r="B33" s="24" t="s">
        <v>25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>
        <v>101854088.73999999</v>
      </c>
      <c r="L33" s="11">
        <v>3.637701537909941E-2</v>
      </c>
      <c r="M33" s="11">
        <v>0.13500000000000001</v>
      </c>
      <c r="N33" s="11">
        <v>9.8699999999999996E-2</v>
      </c>
      <c r="O33" s="10" t="s">
        <v>26</v>
      </c>
      <c r="P33" s="11" t="s">
        <v>26</v>
      </c>
      <c r="Q33" s="11" t="s">
        <v>26</v>
      </c>
      <c r="R33" s="11" t="s">
        <v>26</v>
      </c>
      <c r="S33" s="10">
        <v>102126532.73999999</v>
      </c>
      <c r="T33" s="11">
        <v>9.3473735617000001E-4</v>
      </c>
      <c r="U33" s="11">
        <v>0.13500000000000001</v>
      </c>
      <c r="V33" s="11">
        <v>0.1341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 t="s">
        <v>26</v>
      </c>
      <c r="AB33" s="11" t="s">
        <v>26</v>
      </c>
      <c r="AC33" s="11" t="s">
        <v>26</v>
      </c>
      <c r="AD33" s="11" t="s">
        <v>26</v>
      </c>
      <c r="AE33" s="10">
        <v>203980621.47999999</v>
      </c>
      <c r="AF33" s="11">
        <v>3.2692839832000001E-4</v>
      </c>
      <c r="AG33" s="11">
        <v>0.13500000000000001</v>
      </c>
      <c r="AH33" s="11">
        <v>0.13469999999999999</v>
      </c>
      <c r="AI33" s="10" t="s">
        <v>26</v>
      </c>
      <c r="AJ33" s="11" t="s">
        <v>26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10" t="s">
        <v>26</v>
      </c>
      <c r="AR33" s="11" t="s">
        <v>26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10">
        <v>203980621.47999999</v>
      </c>
      <c r="AZ33" s="11">
        <v>2.8799362155E-4</v>
      </c>
      <c r="BA33" s="11">
        <v>0.13500000000000001</v>
      </c>
      <c r="BB33" s="11">
        <v>0.13469999999999999</v>
      </c>
    </row>
    <row r="34" spans="1:54" s="7" customFormat="1">
      <c r="A34" s="3" t="s">
        <v>38</v>
      </c>
      <c r="B34" s="31" t="s">
        <v>43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101854088.73999999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102126532.73999999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 t="s">
        <v>26</v>
      </c>
      <c r="AB34" s="1" t="s">
        <v>26</v>
      </c>
      <c r="AC34" s="1" t="s">
        <v>26</v>
      </c>
      <c r="AD34" s="1" t="s">
        <v>26</v>
      </c>
      <c r="AE34" s="2">
        <v>203980621.47999999</v>
      </c>
      <c r="AF34" s="1">
        <v>1</v>
      </c>
      <c r="AG34" s="1" t="s">
        <v>26</v>
      </c>
      <c r="AH34" s="1" t="s">
        <v>26</v>
      </c>
      <c r="AI34" s="2" t="s">
        <v>26</v>
      </c>
      <c r="AJ34" s="1" t="s">
        <v>26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 t="s">
        <v>26</v>
      </c>
      <c r="AR34" s="1" t="s">
        <v>26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203980621.47999999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49</v>
      </c>
      <c r="B35" s="24" t="s">
        <v>25</v>
      </c>
      <c r="C35" s="10">
        <v>8819798.6400000006</v>
      </c>
      <c r="D35" s="11">
        <v>1.4684600413099999E-3</v>
      </c>
      <c r="E35" s="11">
        <v>0.13500000000000001</v>
      </c>
      <c r="F35" s="11">
        <v>0.13350000000000001</v>
      </c>
      <c r="G35" s="10">
        <v>271120306.39999998</v>
      </c>
      <c r="H35" s="11">
        <v>1.85167374309E-3</v>
      </c>
      <c r="I35" s="11">
        <v>0.09</v>
      </c>
      <c r="J35" s="11">
        <v>8.8099999999999998E-2</v>
      </c>
      <c r="K35" s="10" t="s">
        <v>26</v>
      </c>
      <c r="L35" s="11" t="s">
        <v>26</v>
      </c>
      <c r="M35" s="11" t="s">
        <v>26</v>
      </c>
      <c r="N35" s="11" t="s">
        <v>26</v>
      </c>
      <c r="O35" s="10">
        <v>854051934.88999999</v>
      </c>
      <c r="P35" s="11">
        <v>3.9083908044400002E-3</v>
      </c>
      <c r="Q35" s="11">
        <v>0.1053</v>
      </c>
      <c r="R35" s="11">
        <v>0.1014</v>
      </c>
      <c r="S35" s="10">
        <v>24574836.600000001</v>
      </c>
      <c r="T35" s="11">
        <v>2.2492703096000001E-4</v>
      </c>
      <c r="U35" s="11">
        <v>0.13500000000000001</v>
      </c>
      <c r="V35" s="11">
        <v>0.1348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>
        <v>563250621.15999997</v>
      </c>
      <c r="AB35" s="11">
        <v>4.1760786575699999E-3</v>
      </c>
      <c r="AC35" s="11">
        <v>0.09</v>
      </c>
      <c r="AD35" s="11">
        <v>8.5800000000000001E-2</v>
      </c>
      <c r="AE35" s="10">
        <v>1721817497.6900001</v>
      </c>
      <c r="AF35" s="11">
        <v>2.7596299719000001E-3</v>
      </c>
      <c r="AG35" s="11">
        <v>9.8500000000000004E-2</v>
      </c>
      <c r="AH35" s="11">
        <v>9.5699999999999993E-2</v>
      </c>
      <c r="AI35" s="10">
        <v>240010007.53999999</v>
      </c>
      <c r="AJ35" s="11">
        <v>1.4260173418850001E-2</v>
      </c>
      <c r="AK35" s="11">
        <v>0.1255</v>
      </c>
      <c r="AL35" s="11">
        <v>0.11119999999999999</v>
      </c>
      <c r="AM35" s="10">
        <v>644976144.73000002</v>
      </c>
      <c r="AN35" s="11">
        <v>2.7330853747400002E-2</v>
      </c>
      <c r="AO35" s="11">
        <v>0.13500000000000001</v>
      </c>
      <c r="AP35" s="11">
        <v>0.1077</v>
      </c>
      <c r="AQ35" s="10">
        <v>884986152.26999998</v>
      </c>
      <c r="AR35" s="11">
        <v>2.1889548744670001E-2</v>
      </c>
      <c r="AS35" s="11">
        <v>0.13239999999999999</v>
      </c>
      <c r="AT35" s="11">
        <v>0.1105</v>
      </c>
      <c r="AU35" s="10">
        <v>273845594.13999999</v>
      </c>
      <c r="AV35" s="11">
        <v>6.2348808530799998E-3</v>
      </c>
      <c r="AW35" s="11">
        <v>0.13500000000000001</v>
      </c>
      <c r="AX35" s="11">
        <v>0.1288</v>
      </c>
      <c r="AY35" s="10">
        <v>2880649244.0999999</v>
      </c>
      <c r="AZ35" s="11">
        <v>4.0670952083799996E-3</v>
      </c>
      <c r="BA35" s="11">
        <v>0.1124</v>
      </c>
      <c r="BB35" s="11">
        <v>0.10829999999999999</v>
      </c>
    </row>
    <row r="36" spans="1:54" s="7" customFormat="1">
      <c r="A36" s="3" t="s">
        <v>36</v>
      </c>
      <c r="B36" s="31" t="s">
        <v>46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271120306.39999998</v>
      </c>
      <c r="H36" s="1">
        <v>1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563250621.15999997</v>
      </c>
      <c r="P36" s="1">
        <v>0.65950394601300999</v>
      </c>
      <c r="Q36" s="1" t="s">
        <v>26</v>
      </c>
      <c r="R36" s="1" t="s">
        <v>26</v>
      </c>
      <c r="S36" s="2" t="s">
        <v>26</v>
      </c>
      <c r="T36" s="1" t="s">
        <v>26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563250621.15999997</v>
      </c>
      <c r="AB36" s="1">
        <v>1</v>
      </c>
      <c r="AC36" s="1" t="s">
        <v>26</v>
      </c>
      <c r="AD36" s="1" t="s">
        <v>26</v>
      </c>
      <c r="AE36" s="2">
        <v>1397621548.72</v>
      </c>
      <c r="AF36" s="1">
        <v>0.81171294320974996</v>
      </c>
      <c r="AG36" s="1" t="s">
        <v>26</v>
      </c>
      <c r="AH36" s="1" t="s">
        <v>26</v>
      </c>
      <c r="AI36" s="2">
        <v>50439220</v>
      </c>
      <c r="AJ36" s="1">
        <v>0.21015465362041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50439220</v>
      </c>
      <c r="AR36" s="1">
        <v>5.6994360726010003E-2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1448060768.72</v>
      </c>
      <c r="AZ36" s="1">
        <v>0.50268555662784997</v>
      </c>
      <c r="BA36" s="1" t="s">
        <v>26</v>
      </c>
      <c r="BB36" s="1" t="s">
        <v>26</v>
      </c>
    </row>
    <row r="37" spans="1:54" s="7" customFormat="1">
      <c r="A37" s="3" t="s">
        <v>38</v>
      </c>
      <c r="B37" s="31" t="s">
        <v>43</v>
      </c>
      <c r="C37" s="2">
        <v>8819798.6400000006</v>
      </c>
      <c r="D37" s="1">
        <v>1</v>
      </c>
      <c r="E37" s="1" t="s">
        <v>26</v>
      </c>
      <c r="F37" s="1" t="s">
        <v>26</v>
      </c>
      <c r="G37" s="2" t="s">
        <v>26</v>
      </c>
      <c r="H37" s="1" t="s">
        <v>26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290801313.73000002</v>
      </c>
      <c r="P37" s="1">
        <v>0.34049605398699001</v>
      </c>
      <c r="Q37" s="1" t="s">
        <v>26</v>
      </c>
      <c r="R37" s="1" t="s">
        <v>26</v>
      </c>
      <c r="S37" s="2">
        <v>24574836.600000001</v>
      </c>
      <c r="T37" s="1">
        <v>1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324195948.97000003</v>
      </c>
      <c r="AF37" s="1">
        <v>0.18828705679025001</v>
      </c>
      <c r="AG37" s="1" t="s">
        <v>26</v>
      </c>
      <c r="AH37" s="1" t="s">
        <v>26</v>
      </c>
      <c r="AI37" s="2">
        <v>189570787.53999999</v>
      </c>
      <c r="AJ37" s="1">
        <v>0.78984534637959003</v>
      </c>
      <c r="AK37" s="1" t="s">
        <v>26</v>
      </c>
      <c r="AL37" s="1" t="s">
        <v>26</v>
      </c>
      <c r="AM37" s="2">
        <v>644976144.73000002</v>
      </c>
      <c r="AN37" s="1">
        <v>1</v>
      </c>
      <c r="AO37" s="1" t="s">
        <v>26</v>
      </c>
      <c r="AP37" s="1" t="s">
        <v>26</v>
      </c>
      <c r="AQ37" s="2">
        <v>834546932.26999998</v>
      </c>
      <c r="AR37" s="1">
        <v>0.94300563927398995</v>
      </c>
      <c r="AS37" s="1" t="s">
        <v>26</v>
      </c>
      <c r="AT37" s="1" t="s">
        <v>26</v>
      </c>
      <c r="AU37" s="2">
        <v>273845594.13999999</v>
      </c>
      <c r="AV37" s="1">
        <v>1</v>
      </c>
      <c r="AW37" s="1" t="s">
        <v>26</v>
      </c>
      <c r="AX37" s="1" t="s">
        <v>26</v>
      </c>
      <c r="AY37" s="2">
        <v>1432588475.3800001</v>
      </c>
      <c r="AZ37" s="1">
        <v>0.49731444337214997</v>
      </c>
      <c r="BA37" s="1" t="s">
        <v>26</v>
      </c>
      <c r="BB37" s="1" t="s">
        <v>26</v>
      </c>
    </row>
    <row r="38" spans="1:54" s="7" customFormat="1">
      <c r="A38" s="5" t="s">
        <v>50</v>
      </c>
      <c r="B38" s="24" t="s">
        <v>25</v>
      </c>
      <c r="C38" s="10" t="s">
        <v>26</v>
      </c>
      <c r="D38" s="11" t="s">
        <v>26</v>
      </c>
      <c r="E38" s="11" t="s">
        <v>26</v>
      </c>
      <c r="F38" s="11" t="s">
        <v>26</v>
      </c>
      <c r="G38" s="10" t="s">
        <v>26</v>
      </c>
      <c r="H38" s="11" t="s">
        <v>26</v>
      </c>
      <c r="I38" s="11" t="s">
        <v>26</v>
      </c>
      <c r="J38" s="11" t="s">
        <v>26</v>
      </c>
      <c r="K38" s="10" t="s">
        <v>26</v>
      </c>
      <c r="L38" s="11" t="s">
        <v>26</v>
      </c>
      <c r="M38" s="11" t="s">
        <v>26</v>
      </c>
      <c r="N38" s="11" t="s">
        <v>26</v>
      </c>
      <c r="O38" s="10">
        <v>100569096.44</v>
      </c>
      <c r="P38" s="11">
        <v>4.6023352407000001E-4</v>
      </c>
      <c r="Q38" s="11">
        <v>0.13500000000000001</v>
      </c>
      <c r="R38" s="11">
        <v>0.13450000000000001</v>
      </c>
      <c r="S38" s="10">
        <v>148265758.09</v>
      </c>
      <c r="T38" s="11">
        <v>1.35703757886E-3</v>
      </c>
      <c r="U38" s="11">
        <v>0.13500000000000001</v>
      </c>
      <c r="V38" s="11">
        <v>0.1336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10">
        <v>248834854.53</v>
      </c>
      <c r="AF38" s="11">
        <v>3.9881818110000002E-4</v>
      </c>
      <c r="AG38" s="11">
        <v>0.13500000000000001</v>
      </c>
      <c r="AH38" s="11">
        <v>0.1346</v>
      </c>
      <c r="AI38" s="10">
        <v>300169478.64999998</v>
      </c>
      <c r="AJ38" s="11">
        <v>1.7834543086220001E-2</v>
      </c>
      <c r="AK38" s="11">
        <v>0.13500000000000001</v>
      </c>
      <c r="AL38" s="11">
        <v>0.1172</v>
      </c>
      <c r="AM38" s="10" t="s">
        <v>26</v>
      </c>
      <c r="AN38" s="11" t="s">
        <v>26</v>
      </c>
      <c r="AO38" s="11" t="s">
        <v>26</v>
      </c>
      <c r="AP38" s="11" t="s">
        <v>26</v>
      </c>
      <c r="AQ38" s="10">
        <v>300169478.64999998</v>
      </c>
      <c r="AR38" s="11">
        <v>7.4244940643600002E-3</v>
      </c>
      <c r="AS38" s="11">
        <v>0.13500000000000001</v>
      </c>
      <c r="AT38" s="11">
        <v>0.12759999999999999</v>
      </c>
      <c r="AU38" s="10">
        <v>360973808.22000003</v>
      </c>
      <c r="AV38" s="11">
        <v>8.2186046936499994E-3</v>
      </c>
      <c r="AW38" s="11">
        <v>0.13500000000000001</v>
      </c>
      <c r="AX38" s="11">
        <v>0.1268</v>
      </c>
      <c r="AY38" s="10">
        <v>909978141.39999998</v>
      </c>
      <c r="AZ38" s="11">
        <v>1.2847686146400001E-3</v>
      </c>
      <c r="BA38" s="11">
        <v>0.13500000000000001</v>
      </c>
      <c r="BB38" s="11">
        <v>0.13370000000000001</v>
      </c>
    </row>
    <row r="39" spans="1:54" s="7" customFormat="1">
      <c r="A39" s="3" t="s">
        <v>38</v>
      </c>
      <c r="B39" s="31" t="s">
        <v>43</v>
      </c>
      <c r="C39" s="2" t="s">
        <v>26</v>
      </c>
      <c r="D39" s="1" t="s">
        <v>26</v>
      </c>
      <c r="E39" s="1" t="s">
        <v>26</v>
      </c>
      <c r="F39" s="1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100569096.44</v>
      </c>
      <c r="P39" s="1">
        <v>1</v>
      </c>
      <c r="Q39" s="1" t="s">
        <v>26</v>
      </c>
      <c r="R39" s="1" t="s">
        <v>26</v>
      </c>
      <c r="S39" s="2">
        <v>148265758.09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248834854.53</v>
      </c>
      <c r="AF39" s="1">
        <v>1</v>
      </c>
      <c r="AG39" s="1" t="s">
        <v>26</v>
      </c>
      <c r="AH39" s="1" t="s">
        <v>26</v>
      </c>
      <c r="AI39" s="2">
        <v>300169478.64999998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300169478.64999998</v>
      </c>
      <c r="AR39" s="1">
        <v>1</v>
      </c>
      <c r="AS39" s="1" t="s">
        <v>26</v>
      </c>
      <c r="AT39" s="1" t="s">
        <v>26</v>
      </c>
      <c r="AU39" s="2">
        <v>360973808.22000003</v>
      </c>
      <c r="AV39" s="1">
        <v>1</v>
      </c>
      <c r="AW39" s="1" t="s">
        <v>26</v>
      </c>
      <c r="AX39" s="1" t="s">
        <v>26</v>
      </c>
      <c r="AY39" s="2">
        <v>909978141.39999998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51</v>
      </c>
      <c r="B40" s="24" t="s">
        <v>25</v>
      </c>
      <c r="C40" s="10">
        <v>24642876.09</v>
      </c>
      <c r="D40" s="11">
        <v>4.1029370758099998E-3</v>
      </c>
      <c r="E40" s="11">
        <v>0.13500000000000001</v>
      </c>
      <c r="F40" s="11">
        <v>0.13089999999999999</v>
      </c>
      <c r="G40" s="10">
        <v>4644809013.0900002</v>
      </c>
      <c r="H40" s="11">
        <v>3.1722710133359998E-2</v>
      </c>
      <c r="I40" s="11">
        <v>0.14130000000000001</v>
      </c>
      <c r="J40" s="11">
        <v>0.1096</v>
      </c>
      <c r="K40" s="10" t="s">
        <v>26</v>
      </c>
      <c r="L40" s="11" t="s">
        <v>26</v>
      </c>
      <c r="M40" s="11" t="s">
        <v>26</v>
      </c>
      <c r="N40" s="11" t="s">
        <v>26</v>
      </c>
      <c r="O40" s="10">
        <v>5071292612.0600004</v>
      </c>
      <c r="P40" s="11">
        <v>2.3207714427989998E-2</v>
      </c>
      <c r="Q40" s="11">
        <v>0.05</v>
      </c>
      <c r="R40" s="11">
        <v>2.6800000000000001E-2</v>
      </c>
      <c r="S40" s="10">
        <v>6609924527.6400003</v>
      </c>
      <c r="T40" s="11">
        <v>6.0498904757369999E-2</v>
      </c>
      <c r="U40" s="11">
        <v>0.14510000000000001</v>
      </c>
      <c r="V40" s="11">
        <v>8.4599999999999995E-2</v>
      </c>
      <c r="W40" s="10">
        <v>649677229.35000002</v>
      </c>
      <c r="X40" s="11">
        <v>0.10739209171557</v>
      </c>
      <c r="Y40" s="11">
        <v>0.15</v>
      </c>
      <c r="Z40" s="11">
        <v>4.2599999999999999E-2</v>
      </c>
      <c r="AA40" s="10">
        <v>4935409239.0600004</v>
      </c>
      <c r="AB40" s="11">
        <v>3.6592338144520002E-2</v>
      </c>
      <c r="AC40" s="11">
        <v>0.13800000000000001</v>
      </c>
      <c r="AD40" s="11">
        <v>0.1014</v>
      </c>
      <c r="AE40" s="10">
        <v>21935755497.290001</v>
      </c>
      <c r="AF40" s="11">
        <v>3.515736621789E-2</v>
      </c>
      <c r="AG40" s="11">
        <v>0.14069999999999999</v>
      </c>
      <c r="AH40" s="11">
        <v>0.1055</v>
      </c>
      <c r="AI40" s="10">
        <v>482769239.68000001</v>
      </c>
      <c r="AJ40" s="11">
        <v>2.8683691774709998E-2</v>
      </c>
      <c r="AK40" s="11">
        <v>0.14249999999999999</v>
      </c>
      <c r="AL40" s="11">
        <v>0.1138</v>
      </c>
      <c r="AM40" s="10">
        <v>995995550.26999998</v>
      </c>
      <c r="AN40" s="11">
        <v>4.2205295404979998E-2</v>
      </c>
      <c r="AO40" s="11">
        <v>0.15</v>
      </c>
      <c r="AP40" s="11">
        <v>0.10780000000000001</v>
      </c>
      <c r="AQ40" s="10">
        <v>1478764789.95</v>
      </c>
      <c r="AR40" s="11">
        <v>3.6576271694740002E-2</v>
      </c>
      <c r="AS40" s="11">
        <v>0.14760000000000001</v>
      </c>
      <c r="AT40" s="11">
        <v>0.111</v>
      </c>
      <c r="AU40" s="10">
        <v>1459484205.25</v>
      </c>
      <c r="AV40" s="11">
        <v>3.3229346469009997E-2</v>
      </c>
      <c r="AW40" s="11">
        <v>0.1386</v>
      </c>
      <c r="AX40" s="11">
        <v>0.10539999999999999</v>
      </c>
      <c r="AY40" s="10">
        <v>24874004492.490002</v>
      </c>
      <c r="AZ40" s="11">
        <v>3.5118799934330001E-2</v>
      </c>
      <c r="BA40" s="11">
        <v>0.14099999999999999</v>
      </c>
      <c r="BB40" s="11">
        <v>0.10589999999999999</v>
      </c>
    </row>
    <row r="41" spans="1:54" s="7" customFormat="1">
      <c r="A41" s="3" t="s">
        <v>36</v>
      </c>
      <c r="B41" s="31" t="s">
        <v>37</v>
      </c>
      <c r="C41" s="2">
        <v>24642876.09</v>
      </c>
      <c r="D41" s="1">
        <v>1</v>
      </c>
      <c r="E41" s="1" t="s">
        <v>26</v>
      </c>
      <c r="F41" s="1" t="s">
        <v>26</v>
      </c>
      <c r="G41" s="2">
        <v>2704390103</v>
      </c>
      <c r="H41" s="1">
        <v>0.58223924716355002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4698459788.7299995</v>
      </c>
      <c r="P41" s="1">
        <v>0.92648169769511002</v>
      </c>
      <c r="Q41" s="1" t="s">
        <v>26</v>
      </c>
      <c r="R41" s="1" t="s">
        <v>26</v>
      </c>
      <c r="S41" s="2">
        <v>2164032754.8499999</v>
      </c>
      <c r="T41" s="1">
        <v>0.32739144687672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3954936348.5</v>
      </c>
      <c r="AB41" s="1">
        <v>0.80133909001906001</v>
      </c>
      <c r="AC41" s="1" t="s">
        <v>26</v>
      </c>
      <c r="AD41" s="1" t="s">
        <v>26</v>
      </c>
      <c r="AE41" s="2">
        <v>13546461871.17</v>
      </c>
      <c r="AF41" s="1">
        <v>0.61755164406549001</v>
      </c>
      <c r="AG41" s="1" t="s">
        <v>26</v>
      </c>
      <c r="AH41" s="1" t="s">
        <v>26</v>
      </c>
      <c r="AI41" s="2">
        <v>240070107.40000001</v>
      </c>
      <c r="AJ41" s="1">
        <v>0.49727714126758998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240070107.40000001</v>
      </c>
      <c r="AR41" s="1">
        <v>0.16234502541010001</v>
      </c>
      <c r="AS41" s="1" t="s">
        <v>26</v>
      </c>
      <c r="AT41" s="1" t="s">
        <v>26</v>
      </c>
      <c r="AU41" s="2">
        <v>1110004243.8499999</v>
      </c>
      <c r="AV41" s="1">
        <v>0.76054556798705997</v>
      </c>
      <c r="AW41" s="1" t="s">
        <v>26</v>
      </c>
      <c r="AX41" s="1" t="s">
        <v>26</v>
      </c>
      <c r="AY41" s="2">
        <v>14896536222.42</v>
      </c>
      <c r="AZ41" s="1">
        <v>0.59887969494086002</v>
      </c>
      <c r="BA41" s="1" t="s">
        <v>26</v>
      </c>
      <c r="BB41" s="1" t="s">
        <v>26</v>
      </c>
    </row>
    <row r="42" spans="1:54" s="7" customFormat="1">
      <c r="A42" s="3" t="s">
        <v>38</v>
      </c>
      <c r="B42" s="31" t="s">
        <v>39</v>
      </c>
      <c r="C42" s="2" t="s">
        <v>26</v>
      </c>
      <c r="D42" s="1" t="s">
        <v>26</v>
      </c>
      <c r="E42" s="1" t="s">
        <v>26</v>
      </c>
      <c r="F42" s="1" t="s">
        <v>26</v>
      </c>
      <c r="G42" s="2">
        <v>1940418910.0899999</v>
      </c>
      <c r="H42" s="1">
        <v>0.41776075283644998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372832823.32999998</v>
      </c>
      <c r="P42" s="1">
        <v>7.3518302304889996E-2</v>
      </c>
      <c r="Q42" s="1" t="s">
        <v>26</v>
      </c>
      <c r="R42" s="1" t="s">
        <v>26</v>
      </c>
      <c r="S42" s="2">
        <v>4445891772.79</v>
      </c>
      <c r="T42" s="1">
        <v>0.67260855312328005</v>
      </c>
      <c r="U42" s="1" t="s">
        <v>26</v>
      </c>
      <c r="V42" s="1" t="s">
        <v>26</v>
      </c>
      <c r="W42" s="2">
        <v>649677229.35000002</v>
      </c>
      <c r="X42" s="1">
        <v>1</v>
      </c>
      <c r="Y42" s="1" t="s">
        <v>26</v>
      </c>
      <c r="Z42" s="1" t="s">
        <v>26</v>
      </c>
      <c r="AA42" s="2">
        <v>980472890.55999994</v>
      </c>
      <c r="AB42" s="1">
        <v>0.19866090998093999</v>
      </c>
      <c r="AC42" s="1" t="s">
        <v>26</v>
      </c>
      <c r="AD42" s="1" t="s">
        <v>26</v>
      </c>
      <c r="AE42" s="2">
        <v>8389293626.1199999</v>
      </c>
      <c r="AF42" s="1">
        <v>0.38244835593450999</v>
      </c>
      <c r="AG42" s="1" t="s">
        <v>26</v>
      </c>
      <c r="AH42" s="1" t="s">
        <v>26</v>
      </c>
      <c r="AI42" s="2">
        <v>242699132.28</v>
      </c>
      <c r="AJ42" s="1">
        <v>0.50272285873240996</v>
      </c>
      <c r="AK42" s="1" t="s">
        <v>26</v>
      </c>
      <c r="AL42" s="1" t="s">
        <v>26</v>
      </c>
      <c r="AM42" s="2">
        <v>995995550.26999998</v>
      </c>
      <c r="AN42" s="1">
        <v>1</v>
      </c>
      <c r="AO42" s="1" t="s">
        <v>26</v>
      </c>
      <c r="AP42" s="1" t="s">
        <v>26</v>
      </c>
      <c r="AQ42" s="2">
        <v>1238694682.55</v>
      </c>
      <c r="AR42" s="1">
        <v>0.83765497458990001</v>
      </c>
      <c r="AS42" s="1" t="s">
        <v>26</v>
      </c>
      <c r="AT42" s="1" t="s">
        <v>26</v>
      </c>
      <c r="AU42" s="2">
        <v>349479961.39999998</v>
      </c>
      <c r="AV42" s="1">
        <v>0.23945443201294001</v>
      </c>
      <c r="AW42" s="1" t="s">
        <v>26</v>
      </c>
      <c r="AX42" s="1" t="s">
        <v>26</v>
      </c>
      <c r="AY42" s="2">
        <v>9977468270.0699997</v>
      </c>
      <c r="AZ42" s="1">
        <v>0.40112030505913998</v>
      </c>
      <c r="BA42" s="1" t="s">
        <v>26</v>
      </c>
      <c r="BB42" s="1" t="s">
        <v>26</v>
      </c>
    </row>
    <row r="43" spans="1:54" s="7" customFormat="1">
      <c r="A43" s="5" t="s">
        <v>52</v>
      </c>
      <c r="B43" s="24" t="s">
        <v>25</v>
      </c>
      <c r="C43" s="10" t="s">
        <v>26</v>
      </c>
      <c r="D43" s="11" t="s">
        <v>26</v>
      </c>
      <c r="E43" s="11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>
        <v>57516824.770000003</v>
      </c>
      <c r="L43" s="11">
        <v>2.0542036604501816E-2</v>
      </c>
      <c r="M43" s="11">
        <v>0.15</v>
      </c>
      <c r="N43" s="11">
        <v>0.1295</v>
      </c>
      <c r="O43" s="10" t="s">
        <v>26</v>
      </c>
      <c r="P43" s="11" t="s">
        <v>26</v>
      </c>
      <c r="Q43" s="11" t="s">
        <v>26</v>
      </c>
      <c r="R43" s="11" t="s">
        <v>26</v>
      </c>
      <c r="S43" s="10" t="s">
        <v>26</v>
      </c>
      <c r="T43" s="11" t="s">
        <v>26</v>
      </c>
      <c r="U43" s="11" t="s">
        <v>26</v>
      </c>
      <c r="V43" s="11" t="s">
        <v>26</v>
      </c>
      <c r="W43" s="10" t="s">
        <v>26</v>
      </c>
      <c r="X43" s="11" t="s">
        <v>26</v>
      </c>
      <c r="Y43" s="11" t="s">
        <v>26</v>
      </c>
      <c r="Z43" s="11" t="s">
        <v>26</v>
      </c>
      <c r="AA43" s="10">
        <v>130379825.48999999</v>
      </c>
      <c r="AB43" s="11">
        <v>9.6666809791000005E-4</v>
      </c>
      <c r="AC43" s="11">
        <v>0.15</v>
      </c>
      <c r="AD43" s="11">
        <v>0.14899999999999999</v>
      </c>
      <c r="AE43" s="10">
        <v>187896650.25999999</v>
      </c>
      <c r="AF43" s="11">
        <v>3.011499351E-4</v>
      </c>
      <c r="AG43" s="11">
        <v>0.15</v>
      </c>
      <c r="AH43" s="11">
        <v>0.1497</v>
      </c>
      <c r="AI43" s="10" t="s">
        <v>26</v>
      </c>
      <c r="AJ43" s="11" t="s">
        <v>26</v>
      </c>
      <c r="AK43" s="11" t="s">
        <v>26</v>
      </c>
      <c r="AL43" s="11" t="s">
        <v>26</v>
      </c>
      <c r="AM43" s="10">
        <v>33718010.119999997</v>
      </c>
      <c r="AN43" s="11">
        <v>1.4288001359000001E-3</v>
      </c>
      <c r="AO43" s="11">
        <v>0.15</v>
      </c>
      <c r="AP43" s="11">
        <v>0.14860000000000001</v>
      </c>
      <c r="AQ43" s="10">
        <v>33718010.119999997</v>
      </c>
      <c r="AR43" s="11">
        <v>8.3399274010999996E-4</v>
      </c>
      <c r="AS43" s="11">
        <v>0.15</v>
      </c>
      <c r="AT43" s="11">
        <v>0.1492</v>
      </c>
      <c r="AU43" s="10" t="s">
        <v>26</v>
      </c>
      <c r="AV43" s="11" t="s">
        <v>26</v>
      </c>
      <c r="AW43" s="11" t="s">
        <v>26</v>
      </c>
      <c r="AX43" s="11" t="s">
        <v>26</v>
      </c>
      <c r="AY43" s="10">
        <v>221614660.38</v>
      </c>
      <c r="AZ43" s="11">
        <v>3.1289054895999998E-4</v>
      </c>
      <c r="BA43" s="11">
        <v>0.15</v>
      </c>
      <c r="BB43" s="11">
        <v>0.1497</v>
      </c>
    </row>
    <row r="44" spans="1:54" s="7" customFormat="1">
      <c r="A44" s="3" t="s">
        <v>38</v>
      </c>
      <c r="B44" s="31" t="s">
        <v>39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57516824.770000003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130379825.48999999</v>
      </c>
      <c r="AB44" s="1">
        <v>1</v>
      </c>
      <c r="AC44" s="1" t="s">
        <v>26</v>
      </c>
      <c r="AD44" s="1" t="s">
        <v>26</v>
      </c>
      <c r="AE44" s="2">
        <v>187896650.25999999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33718010.119999997</v>
      </c>
      <c r="AN44" s="1">
        <v>1</v>
      </c>
      <c r="AO44" s="1" t="s">
        <v>26</v>
      </c>
      <c r="AP44" s="1" t="s">
        <v>26</v>
      </c>
      <c r="AQ44" s="2">
        <v>33718010.119999997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221614660.38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53</v>
      </c>
      <c r="B45" s="24" t="s">
        <v>25</v>
      </c>
      <c r="C45" s="10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10" t="s">
        <v>26</v>
      </c>
      <c r="L45" s="11" t="s">
        <v>26</v>
      </c>
      <c r="M45" s="11" t="s">
        <v>26</v>
      </c>
      <c r="N45" s="11" t="s">
        <v>26</v>
      </c>
      <c r="O45" s="10">
        <v>2390139951.7800002</v>
      </c>
      <c r="P45" s="11">
        <v>1.093797768875E-2</v>
      </c>
      <c r="Q45" s="11">
        <v>0.15</v>
      </c>
      <c r="R45" s="11">
        <v>0.1391</v>
      </c>
      <c r="S45" s="10">
        <v>204503289.25999999</v>
      </c>
      <c r="T45" s="11">
        <v>1.8717649449400001E-3</v>
      </c>
      <c r="U45" s="11">
        <v>0.15</v>
      </c>
      <c r="V45" s="11">
        <v>0.14810000000000001</v>
      </c>
      <c r="W45" s="10" t="s">
        <v>26</v>
      </c>
      <c r="X45" s="11" t="s">
        <v>26</v>
      </c>
      <c r="Y45" s="11" t="s">
        <v>26</v>
      </c>
      <c r="Z45" s="11" t="s">
        <v>26</v>
      </c>
      <c r="AA45" s="10" t="s">
        <v>26</v>
      </c>
      <c r="AB45" s="11" t="s">
        <v>26</v>
      </c>
      <c r="AC45" s="11" t="s">
        <v>26</v>
      </c>
      <c r="AD45" s="11" t="s">
        <v>26</v>
      </c>
      <c r="AE45" s="10">
        <v>2594643241.04</v>
      </c>
      <c r="AF45" s="11">
        <v>4.1585448306699999E-3</v>
      </c>
      <c r="AG45" s="11">
        <v>0.15</v>
      </c>
      <c r="AH45" s="11">
        <v>0.14580000000000001</v>
      </c>
      <c r="AI45" s="10">
        <v>284186064.67000002</v>
      </c>
      <c r="AJ45" s="11">
        <v>1.6884889955009998E-2</v>
      </c>
      <c r="AK45" s="11">
        <v>0.15</v>
      </c>
      <c r="AL45" s="11">
        <v>0.1331</v>
      </c>
      <c r="AM45" s="10" t="s">
        <v>26</v>
      </c>
      <c r="AN45" s="11" t="s">
        <v>26</v>
      </c>
      <c r="AO45" s="11" t="s">
        <v>26</v>
      </c>
      <c r="AP45" s="11" t="s">
        <v>26</v>
      </c>
      <c r="AQ45" s="10">
        <v>284186064.67000002</v>
      </c>
      <c r="AR45" s="11">
        <v>7.0291548621300003E-3</v>
      </c>
      <c r="AS45" s="11">
        <v>0.15</v>
      </c>
      <c r="AT45" s="11">
        <v>0.14299999999999999</v>
      </c>
      <c r="AU45" s="10">
        <v>243206936.88999999</v>
      </c>
      <c r="AV45" s="11">
        <v>5.53730389169E-3</v>
      </c>
      <c r="AW45" s="11">
        <v>0.15</v>
      </c>
      <c r="AX45" s="11">
        <v>0.14449999999999999</v>
      </c>
      <c r="AY45" s="10">
        <v>3122036242.5999999</v>
      </c>
      <c r="AZ45" s="11">
        <v>4.4079016800299999E-3</v>
      </c>
      <c r="BA45" s="11">
        <v>0.15</v>
      </c>
      <c r="BB45" s="11">
        <v>0.14560000000000001</v>
      </c>
    </row>
    <row r="46" spans="1:54" s="7" customFormat="1">
      <c r="A46" s="3" t="s">
        <v>38</v>
      </c>
      <c r="B46" s="31" t="s">
        <v>39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2390139951.7800002</v>
      </c>
      <c r="P46" s="1">
        <v>1</v>
      </c>
      <c r="Q46" s="1" t="s">
        <v>26</v>
      </c>
      <c r="R46" s="1" t="s">
        <v>26</v>
      </c>
      <c r="S46" s="2">
        <v>204503289.25999999</v>
      </c>
      <c r="T46" s="1">
        <v>1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2594643241.04</v>
      </c>
      <c r="AF46" s="1">
        <v>1</v>
      </c>
      <c r="AG46" s="1" t="s">
        <v>26</v>
      </c>
      <c r="AH46" s="1" t="s">
        <v>26</v>
      </c>
      <c r="AI46" s="2">
        <v>284186064.67000002</v>
      </c>
      <c r="AJ46" s="1">
        <v>1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>
        <v>284186064.67000002</v>
      </c>
      <c r="AR46" s="1">
        <v>1</v>
      </c>
      <c r="AS46" s="1" t="s">
        <v>26</v>
      </c>
      <c r="AT46" s="1" t="s">
        <v>26</v>
      </c>
      <c r="AU46" s="2">
        <v>243206936.88999999</v>
      </c>
      <c r="AV46" s="1">
        <v>1</v>
      </c>
      <c r="AW46" s="1" t="s">
        <v>26</v>
      </c>
      <c r="AX46" s="1" t="s">
        <v>26</v>
      </c>
      <c r="AY46" s="2">
        <v>3122036242.5999999</v>
      </c>
      <c r="AZ46" s="1">
        <v>1</v>
      </c>
      <c r="BA46" s="1" t="s">
        <v>26</v>
      </c>
      <c r="BB46" s="1" t="s">
        <v>26</v>
      </c>
    </row>
    <row r="47" spans="1:54" s="7" customFormat="1">
      <c r="A47" s="13" t="s">
        <v>54</v>
      </c>
      <c r="B47" s="25" t="s">
        <v>25</v>
      </c>
      <c r="C47" s="55">
        <v>73632686.829999998</v>
      </c>
      <c r="D47" s="56">
        <v>1.2259538200120001E-2</v>
      </c>
      <c r="E47" s="56" t="s">
        <v>26</v>
      </c>
      <c r="F47" s="56" t="s">
        <v>26</v>
      </c>
      <c r="G47" s="55">
        <v>381031207.39999998</v>
      </c>
      <c r="H47" s="56">
        <v>2.6023335965099999E-3</v>
      </c>
      <c r="I47" s="56" t="s">
        <v>26</v>
      </c>
      <c r="J47" s="56" t="s">
        <v>26</v>
      </c>
      <c r="K47" s="55">
        <v>99186864.739999995</v>
      </c>
      <c r="L47" s="56">
        <v>3.5424420842465956E-2</v>
      </c>
      <c r="M47" s="56" t="s">
        <v>26</v>
      </c>
      <c r="N47" s="56" t="s">
        <v>26</v>
      </c>
      <c r="O47" s="55">
        <v>3711717894.5</v>
      </c>
      <c r="P47" s="56">
        <v>1.6985903895189999E-2</v>
      </c>
      <c r="Q47" s="56" t="s">
        <v>26</v>
      </c>
      <c r="R47" s="56" t="s">
        <v>26</v>
      </c>
      <c r="S47" s="55">
        <v>1295314512.0899999</v>
      </c>
      <c r="T47" s="56">
        <v>1.1855673838650001E-2</v>
      </c>
      <c r="U47" s="56" t="s">
        <v>26</v>
      </c>
      <c r="V47" s="56" t="s">
        <v>26</v>
      </c>
      <c r="W47" s="55">
        <v>69962560.489999995</v>
      </c>
      <c r="X47" s="56">
        <v>1.156485924605E-2</v>
      </c>
      <c r="Y47" s="56" t="s">
        <v>26</v>
      </c>
      <c r="Z47" s="56" t="s">
        <v>26</v>
      </c>
      <c r="AA47" s="55">
        <v>2581857697.3200002</v>
      </c>
      <c r="AB47" s="56">
        <v>1.914252807116E-2</v>
      </c>
      <c r="AC47" s="56" t="s">
        <v>26</v>
      </c>
      <c r="AD47" s="56" t="s">
        <v>26</v>
      </c>
      <c r="AE47" s="55">
        <v>8212703423.3699999</v>
      </c>
      <c r="AF47" s="56">
        <v>1.3162848297159999E-2</v>
      </c>
      <c r="AG47" s="56" t="s">
        <v>26</v>
      </c>
      <c r="AH47" s="56" t="s">
        <v>26</v>
      </c>
      <c r="AI47" s="55">
        <v>208070968</v>
      </c>
      <c r="AJ47" s="56">
        <v>1.236251820297E-2</v>
      </c>
      <c r="AK47" s="56" t="s">
        <v>26</v>
      </c>
      <c r="AL47" s="56" t="s">
        <v>26</v>
      </c>
      <c r="AM47" s="55">
        <v>225444893.83000001</v>
      </c>
      <c r="AN47" s="56">
        <v>9.5532237458900004E-3</v>
      </c>
      <c r="AO47" s="56" t="s">
        <v>26</v>
      </c>
      <c r="AP47" s="56" t="s">
        <v>26</v>
      </c>
      <c r="AQ47" s="55">
        <v>433515861.82999998</v>
      </c>
      <c r="AR47" s="56">
        <v>1.072272889782E-2</v>
      </c>
      <c r="AS47" s="56" t="s">
        <v>26</v>
      </c>
      <c r="AT47" s="56" t="s">
        <v>26</v>
      </c>
      <c r="AU47" s="55">
        <v>519855246</v>
      </c>
      <c r="AV47" s="56">
        <v>1.1835996594499999E-2</v>
      </c>
      <c r="AW47" s="56" t="s">
        <v>26</v>
      </c>
      <c r="AX47" s="56" t="s">
        <v>26</v>
      </c>
      <c r="AY47" s="55">
        <v>9166074531.2000008</v>
      </c>
      <c r="AZ47" s="56">
        <v>1.2941283247800001E-2</v>
      </c>
      <c r="BA47" s="56" t="s">
        <v>26</v>
      </c>
      <c r="BB47" s="56" t="s">
        <v>26</v>
      </c>
    </row>
    <row r="48" spans="1:54" s="7" customFormat="1">
      <c r="A48" s="5" t="s">
        <v>55</v>
      </c>
      <c r="B48" s="24" t="s">
        <v>25</v>
      </c>
      <c r="C48" s="10">
        <v>36356038.950000003</v>
      </c>
      <c r="D48" s="11">
        <v>6.0531303080400001E-3</v>
      </c>
      <c r="E48" s="11">
        <v>0.12</v>
      </c>
      <c r="F48" s="11">
        <v>0.1139</v>
      </c>
      <c r="G48" s="10" t="s">
        <v>26</v>
      </c>
      <c r="H48" s="11" t="s">
        <v>26</v>
      </c>
      <c r="I48" s="11" t="s">
        <v>26</v>
      </c>
      <c r="J48" s="11" t="s">
        <v>26</v>
      </c>
      <c r="K48" s="10">
        <v>31162319.100000001</v>
      </c>
      <c r="L48" s="11">
        <v>1.1129569516279228E-2</v>
      </c>
      <c r="M48" s="11">
        <v>0.12</v>
      </c>
      <c r="N48" s="11">
        <v>0.1089</v>
      </c>
      <c r="O48" s="10">
        <v>834111407.90999997</v>
      </c>
      <c r="P48" s="11">
        <v>3.8171371357800001E-3</v>
      </c>
      <c r="Q48" s="11">
        <v>0.12</v>
      </c>
      <c r="R48" s="11">
        <v>0.1162</v>
      </c>
      <c r="S48" s="10">
        <v>311623191</v>
      </c>
      <c r="T48" s="11">
        <v>2.8522052973000002E-3</v>
      </c>
      <c r="U48" s="11">
        <v>0.12</v>
      </c>
      <c r="V48" s="11">
        <v>0.1171</v>
      </c>
      <c r="W48" s="10" t="s">
        <v>26</v>
      </c>
      <c r="X48" s="11" t="s">
        <v>26</v>
      </c>
      <c r="Y48" s="11" t="s">
        <v>26</v>
      </c>
      <c r="Z48" s="11" t="s">
        <v>26</v>
      </c>
      <c r="AA48" s="10">
        <v>914094693.60000002</v>
      </c>
      <c r="AB48" s="11">
        <v>6.7773229136900001E-3</v>
      </c>
      <c r="AC48" s="11">
        <v>0.12</v>
      </c>
      <c r="AD48" s="11">
        <v>0.1132</v>
      </c>
      <c r="AE48" s="10">
        <v>2127347650.5599999</v>
      </c>
      <c r="AF48" s="11">
        <v>3.4095903572900002E-3</v>
      </c>
      <c r="AG48" s="11">
        <v>0.12</v>
      </c>
      <c r="AH48" s="11">
        <v>0.1166</v>
      </c>
      <c r="AI48" s="10" t="s">
        <v>26</v>
      </c>
      <c r="AJ48" s="11" t="s">
        <v>26</v>
      </c>
      <c r="AK48" s="11" t="s">
        <v>26</v>
      </c>
      <c r="AL48" s="11" t="s">
        <v>26</v>
      </c>
      <c r="AM48" s="10" t="s">
        <v>26</v>
      </c>
      <c r="AN48" s="11" t="s">
        <v>26</v>
      </c>
      <c r="AO48" s="11" t="s">
        <v>26</v>
      </c>
      <c r="AP48" s="11" t="s">
        <v>26</v>
      </c>
      <c r="AQ48" s="10" t="s">
        <v>26</v>
      </c>
      <c r="AR48" s="11" t="s">
        <v>26</v>
      </c>
      <c r="AS48" s="11" t="s">
        <v>26</v>
      </c>
      <c r="AT48" s="11" t="s">
        <v>26</v>
      </c>
      <c r="AU48" s="10">
        <v>207748794</v>
      </c>
      <c r="AV48" s="11">
        <v>4.7299975083800001E-3</v>
      </c>
      <c r="AW48" s="11">
        <v>0.12</v>
      </c>
      <c r="AX48" s="11">
        <v>0.1153</v>
      </c>
      <c r="AY48" s="10">
        <v>2335096444.5599999</v>
      </c>
      <c r="AZ48" s="11">
        <v>3.2968469105400001E-3</v>
      </c>
      <c r="BA48" s="11">
        <v>0.12</v>
      </c>
      <c r="BB48" s="11">
        <v>0.1167</v>
      </c>
    </row>
    <row r="49" spans="1:54" s="7" customFormat="1">
      <c r="A49" s="3" t="s">
        <v>36</v>
      </c>
      <c r="B49" s="31" t="s">
        <v>56</v>
      </c>
      <c r="C49" s="2">
        <v>36356038.950000003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31162319.100000001</v>
      </c>
      <c r="L49" s="1">
        <v>1</v>
      </c>
      <c r="M49" s="1" t="s">
        <v>26</v>
      </c>
      <c r="N49" s="1" t="s">
        <v>26</v>
      </c>
      <c r="O49" s="2">
        <v>834111407.90999997</v>
      </c>
      <c r="P49" s="1">
        <v>1</v>
      </c>
      <c r="Q49" s="1" t="s">
        <v>26</v>
      </c>
      <c r="R49" s="1" t="s">
        <v>26</v>
      </c>
      <c r="S49" s="2">
        <v>311623191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914094693.60000002</v>
      </c>
      <c r="AB49" s="1">
        <v>1</v>
      </c>
      <c r="AC49" s="1" t="s">
        <v>26</v>
      </c>
      <c r="AD49" s="1" t="s">
        <v>26</v>
      </c>
      <c r="AE49" s="2">
        <v>2127347650.5599999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207748794</v>
      </c>
      <c r="AV49" s="1">
        <v>1</v>
      </c>
      <c r="AW49" s="1" t="s">
        <v>26</v>
      </c>
      <c r="AX49" s="1" t="s">
        <v>26</v>
      </c>
      <c r="AY49" s="2">
        <v>2335096444.5599999</v>
      </c>
      <c r="AZ49" s="1">
        <v>1</v>
      </c>
      <c r="BA49" s="1" t="s">
        <v>26</v>
      </c>
      <c r="BB49" s="1" t="s">
        <v>26</v>
      </c>
    </row>
    <row r="50" spans="1:54" s="7" customFormat="1">
      <c r="A50" s="5" t="s">
        <v>57</v>
      </c>
      <c r="B50" s="24" t="s">
        <v>25</v>
      </c>
      <c r="C50" s="10">
        <v>32267432.93</v>
      </c>
      <c r="D50" s="11">
        <v>5.3723942946499997E-3</v>
      </c>
      <c r="E50" s="11">
        <v>0.09</v>
      </c>
      <c r="F50" s="11">
        <v>8.4599999999999995E-2</v>
      </c>
      <c r="G50" s="10" t="s">
        <v>26</v>
      </c>
      <c r="H50" s="11" t="s">
        <v>26</v>
      </c>
      <c r="I50" s="11" t="s">
        <v>26</v>
      </c>
      <c r="J50" s="11" t="s">
        <v>26</v>
      </c>
      <c r="K50" s="10">
        <v>16006803.640000001</v>
      </c>
      <c r="L50" s="11">
        <v>5.7168028243703914E-3</v>
      </c>
      <c r="M50" s="11">
        <v>0.09</v>
      </c>
      <c r="N50" s="11">
        <v>8.43E-2</v>
      </c>
      <c r="O50" s="10">
        <v>373392252.79000002</v>
      </c>
      <c r="P50" s="11">
        <v>1.7087518775299999E-3</v>
      </c>
      <c r="Q50" s="11">
        <v>0.09</v>
      </c>
      <c r="R50" s="11">
        <v>8.8300000000000003E-2</v>
      </c>
      <c r="S50" s="10">
        <v>282643562.12</v>
      </c>
      <c r="T50" s="11">
        <v>2.5869623584199998E-3</v>
      </c>
      <c r="U50" s="11">
        <v>0.09</v>
      </c>
      <c r="V50" s="11">
        <v>8.7400000000000005E-2</v>
      </c>
      <c r="W50" s="10" t="s">
        <v>26</v>
      </c>
      <c r="X50" s="11" t="s">
        <v>26</v>
      </c>
      <c r="Y50" s="11" t="s">
        <v>26</v>
      </c>
      <c r="Z50" s="11" t="s">
        <v>26</v>
      </c>
      <c r="AA50" s="10">
        <v>102121730.01000001</v>
      </c>
      <c r="AB50" s="11">
        <v>7.5715562690000003E-4</v>
      </c>
      <c r="AC50" s="11">
        <v>0.09</v>
      </c>
      <c r="AD50" s="11">
        <v>8.9200000000000002E-2</v>
      </c>
      <c r="AE50" s="10">
        <v>806431781.49000001</v>
      </c>
      <c r="AF50" s="11">
        <v>1.29250243855E-3</v>
      </c>
      <c r="AG50" s="11">
        <v>0.09</v>
      </c>
      <c r="AH50" s="11">
        <v>8.8700000000000001E-2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10" t="s">
        <v>26</v>
      </c>
      <c r="AV50" s="11" t="s">
        <v>26</v>
      </c>
      <c r="AW50" s="11" t="s">
        <v>26</v>
      </c>
      <c r="AX50" s="11" t="s">
        <v>26</v>
      </c>
      <c r="AY50" s="10">
        <v>806431781.49000001</v>
      </c>
      <c r="AZ50" s="11">
        <v>1.1385748685299999E-3</v>
      </c>
      <c r="BA50" s="11">
        <v>0.09</v>
      </c>
      <c r="BB50" s="11">
        <v>8.8900000000000007E-2</v>
      </c>
    </row>
    <row r="51" spans="1:54" s="7" customFormat="1">
      <c r="A51" s="3" t="s">
        <v>36</v>
      </c>
      <c r="B51" s="31" t="s">
        <v>46</v>
      </c>
      <c r="C51" s="2">
        <v>32267432.93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16006803.640000001</v>
      </c>
      <c r="L51" s="1">
        <v>1</v>
      </c>
      <c r="M51" s="1" t="s">
        <v>26</v>
      </c>
      <c r="N51" s="1" t="s">
        <v>26</v>
      </c>
      <c r="O51" s="2">
        <v>373392252.79000002</v>
      </c>
      <c r="P51" s="1">
        <v>1</v>
      </c>
      <c r="Q51" s="1" t="s">
        <v>26</v>
      </c>
      <c r="R51" s="1" t="s">
        <v>26</v>
      </c>
      <c r="S51" s="2">
        <v>282643562.12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102121730.01000001</v>
      </c>
      <c r="AB51" s="1">
        <v>1</v>
      </c>
      <c r="AC51" s="1" t="s">
        <v>26</v>
      </c>
      <c r="AD51" s="1" t="s">
        <v>26</v>
      </c>
      <c r="AE51" s="2">
        <v>806431781.49000001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806431781.49000001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4" t="s">
        <v>25</v>
      </c>
      <c r="C52" s="10">
        <v>5009214.95</v>
      </c>
      <c r="D52" s="11">
        <v>8.3401359744000002E-4</v>
      </c>
      <c r="E52" s="11">
        <v>0.12</v>
      </c>
      <c r="F52" s="11">
        <v>0.1192</v>
      </c>
      <c r="G52" s="10">
        <v>80147410.400000006</v>
      </c>
      <c r="H52" s="11">
        <v>5.4738376990000001E-4</v>
      </c>
      <c r="I52" s="11">
        <v>0.12</v>
      </c>
      <c r="J52" s="11">
        <v>0.1195</v>
      </c>
      <c r="K52" s="10" t="s">
        <v>26</v>
      </c>
      <c r="L52" s="11" t="s">
        <v>26</v>
      </c>
      <c r="M52" s="11" t="s">
        <v>26</v>
      </c>
      <c r="N52" s="11" t="s">
        <v>26</v>
      </c>
      <c r="O52" s="10">
        <v>260479083.80000001</v>
      </c>
      <c r="P52" s="11">
        <v>1.1920282763599999E-3</v>
      </c>
      <c r="Q52" s="11">
        <v>0.12</v>
      </c>
      <c r="R52" s="11">
        <v>0.1188</v>
      </c>
      <c r="S52" s="10">
        <v>139256145.37</v>
      </c>
      <c r="T52" s="11">
        <v>1.2745749577600001E-3</v>
      </c>
      <c r="U52" s="11">
        <v>0.12</v>
      </c>
      <c r="V52" s="11">
        <v>0.1187</v>
      </c>
      <c r="W52" s="10" t="s">
        <v>26</v>
      </c>
      <c r="X52" s="11" t="s">
        <v>26</v>
      </c>
      <c r="Y52" s="11" t="s">
        <v>26</v>
      </c>
      <c r="Z52" s="11" t="s">
        <v>26</v>
      </c>
      <c r="AA52" s="10">
        <v>133545640.58</v>
      </c>
      <c r="AB52" s="11">
        <v>9.9014022974000006E-4</v>
      </c>
      <c r="AC52" s="11">
        <v>0.12</v>
      </c>
      <c r="AD52" s="11">
        <v>0.11899999999999999</v>
      </c>
      <c r="AE52" s="10">
        <v>618437495.10000002</v>
      </c>
      <c r="AF52" s="11">
        <v>9.9119601787999996E-4</v>
      </c>
      <c r="AG52" s="11">
        <v>0.12</v>
      </c>
      <c r="AH52" s="11">
        <v>0.11899999999999999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10">
        <v>618437495.10000002</v>
      </c>
      <c r="AZ52" s="11">
        <v>8.7315183483000001E-4</v>
      </c>
      <c r="BA52" s="11">
        <v>0.12</v>
      </c>
      <c r="BB52" s="11">
        <v>0.1191</v>
      </c>
    </row>
    <row r="53" spans="1:54" s="7" customFormat="1">
      <c r="A53" s="3" t="s">
        <v>36</v>
      </c>
      <c r="B53" s="31" t="s">
        <v>56</v>
      </c>
      <c r="C53" s="2">
        <v>5009214.95</v>
      </c>
      <c r="D53" s="1">
        <v>1</v>
      </c>
      <c r="E53" s="1" t="s">
        <v>26</v>
      </c>
      <c r="F53" s="1" t="s">
        <v>26</v>
      </c>
      <c r="G53" s="2">
        <v>80147410.400000006</v>
      </c>
      <c r="H53" s="1">
        <v>1</v>
      </c>
      <c r="I53" s="1" t="s">
        <v>26</v>
      </c>
      <c r="J53" s="1" t="s">
        <v>26</v>
      </c>
      <c r="K53" s="2" t="s">
        <v>26</v>
      </c>
      <c r="L53" s="1" t="s">
        <v>26</v>
      </c>
      <c r="M53" s="1" t="s">
        <v>26</v>
      </c>
      <c r="N53" s="1" t="s">
        <v>26</v>
      </c>
      <c r="O53" s="2">
        <v>260479083.80000001</v>
      </c>
      <c r="P53" s="1">
        <v>1</v>
      </c>
      <c r="Q53" s="1" t="s">
        <v>26</v>
      </c>
      <c r="R53" s="1" t="s">
        <v>26</v>
      </c>
      <c r="S53" s="2">
        <v>139256145.37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133545640.58</v>
      </c>
      <c r="AB53" s="1">
        <v>1</v>
      </c>
      <c r="AC53" s="1" t="s">
        <v>26</v>
      </c>
      <c r="AD53" s="1" t="s">
        <v>26</v>
      </c>
      <c r="AE53" s="2">
        <v>618437495.10000002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618437495.10000002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59</v>
      </c>
      <c r="B54" s="24" t="s">
        <v>25</v>
      </c>
      <c r="C54" s="10" t="s">
        <v>26</v>
      </c>
      <c r="D54" s="11" t="s">
        <v>26</v>
      </c>
      <c r="E54" s="11" t="s">
        <v>26</v>
      </c>
      <c r="F54" s="11" t="s">
        <v>26</v>
      </c>
      <c r="G54" s="10">
        <v>300883797</v>
      </c>
      <c r="H54" s="11">
        <v>2.0549498266000002E-3</v>
      </c>
      <c r="I54" s="11">
        <v>0.12</v>
      </c>
      <c r="J54" s="11">
        <v>0.1179</v>
      </c>
      <c r="K54" s="10">
        <v>52017742</v>
      </c>
      <c r="L54" s="11">
        <v>1.8578048501816338E-2</v>
      </c>
      <c r="M54" s="11">
        <v>0.12</v>
      </c>
      <c r="N54" s="11">
        <v>0.10150000000000001</v>
      </c>
      <c r="O54" s="10">
        <v>2243735150</v>
      </c>
      <c r="P54" s="11">
        <v>1.026798660551E-2</v>
      </c>
      <c r="Q54" s="11">
        <v>0.12</v>
      </c>
      <c r="R54" s="11">
        <v>0.10970000000000001</v>
      </c>
      <c r="S54" s="10">
        <v>561791613.60000002</v>
      </c>
      <c r="T54" s="11">
        <v>5.1419312251699996E-3</v>
      </c>
      <c r="U54" s="11">
        <v>0.12</v>
      </c>
      <c r="V54" s="11">
        <v>0.1149</v>
      </c>
      <c r="W54" s="10">
        <v>69962560.489999995</v>
      </c>
      <c r="X54" s="11">
        <v>1.156485924605E-2</v>
      </c>
      <c r="Y54" s="11">
        <v>0.12920000000000001</v>
      </c>
      <c r="Z54" s="11">
        <v>0.1176</v>
      </c>
      <c r="AA54" s="10">
        <v>1432095633.1300001</v>
      </c>
      <c r="AB54" s="11">
        <v>1.0617909300819999E-2</v>
      </c>
      <c r="AC54" s="11">
        <v>0.12</v>
      </c>
      <c r="AD54" s="11">
        <v>0.1094</v>
      </c>
      <c r="AE54" s="10">
        <v>4660486496.2200003</v>
      </c>
      <c r="AF54" s="11">
        <v>7.4695594834399996E-3</v>
      </c>
      <c r="AG54" s="11">
        <v>0.1201</v>
      </c>
      <c r="AH54" s="11">
        <v>0.11260000000000001</v>
      </c>
      <c r="AI54" s="10">
        <v>208070968</v>
      </c>
      <c r="AJ54" s="11">
        <v>1.236251820297E-2</v>
      </c>
      <c r="AK54" s="11">
        <v>0.12</v>
      </c>
      <c r="AL54" s="11">
        <v>0.1076</v>
      </c>
      <c r="AM54" s="10">
        <v>225444893.83000001</v>
      </c>
      <c r="AN54" s="11">
        <v>9.5532237458900004E-3</v>
      </c>
      <c r="AO54" s="11">
        <v>0.12</v>
      </c>
      <c r="AP54" s="11">
        <v>0.1104</v>
      </c>
      <c r="AQ54" s="10">
        <v>433515861.82999998</v>
      </c>
      <c r="AR54" s="11">
        <v>1.072272889782E-2</v>
      </c>
      <c r="AS54" s="11">
        <v>0.12</v>
      </c>
      <c r="AT54" s="11">
        <v>0.10929999999999999</v>
      </c>
      <c r="AU54" s="10">
        <v>312106452</v>
      </c>
      <c r="AV54" s="11">
        <v>7.1059990861299998E-3</v>
      </c>
      <c r="AW54" s="11">
        <v>0.12</v>
      </c>
      <c r="AX54" s="11">
        <v>0.1129</v>
      </c>
      <c r="AY54" s="10">
        <v>5406108810.0500002</v>
      </c>
      <c r="AZ54" s="11">
        <v>7.6327096338900001E-3</v>
      </c>
      <c r="BA54" s="11">
        <v>0.1201</v>
      </c>
      <c r="BB54" s="11">
        <v>0.1125</v>
      </c>
    </row>
    <row r="55" spans="1:54" s="7" customFormat="1">
      <c r="A55" s="3" t="s">
        <v>36</v>
      </c>
      <c r="B55" s="31" t="s">
        <v>56</v>
      </c>
      <c r="C55" s="2" t="s">
        <v>26</v>
      </c>
      <c r="D55" s="1" t="s">
        <v>26</v>
      </c>
      <c r="E55" s="1" t="s">
        <v>26</v>
      </c>
      <c r="F55" s="1" t="s">
        <v>26</v>
      </c>
      <c r="G55" s="2">
        <v>300883797</v>
      </c>
      <c r="H55" s="1">
        <v>1</v>
      </c>
      <c r="I55" s="1" t="s">
        <v>26</v>
      </c>
      <c r="J55" s="1" t="s">
        <v>26</v>
      </c>
      <c r="K55" s="2">
        <v>52017742</v>
      </c>
      <c r="L55" s="1">
        <v>1</v>
      </c>
      <c r="M55" s="1" t="s">
        <v>26</v>
      </c>
      <c r="N55" s="1" t="s">
        <v>26</v>
      </c>
      <c r="O55" s="2">
        <v>2243735150</v>
      </c>
      <c r="P55" s="1">
        <v>1</v>
      </c>
      <c r="Q55" s="1" t="s">
        <v>26</v>
      </c>
      <c r="R55" s="1" t="s">
        <v>26</v>
      </c>
      <c r="S55" s="2">
        <v>561791613.60000002</v>
      </c>
      <c r="T55" s="1">
        <v>1</v>
      </c>
      <c r="U55" s="1" t="s">
        <v>26</v>
      </c>
      <c r="V55" s="1" t="s">
        <v>26</v>
      </c>
      <c r="W55" s="2">
        <v>48487977.200000003</v>
      </c>
      <c r="X55" s="1">
        <v>0.69305606970931999</v>
      </c>
      <c r="Y55" s="1" t="s">
        <v>26</v>
      </c>
      <c r="Z55" s="1" t="s">
        <v>26</v>
      </c>
      <c r="AA55" s="2">
        <v>1432095633.1300001</v>
      </c>
      <c r="AB55" s="1">
        <v>1</v>
      </c>
      <c r="AC55" s="1" t="s">
        <v>26</v>
      </c>
      <c r="AD55" s="1" t="s">
        <v>26</v>
      </c>
      <c r="AE55" s="2">
        <v>4639011912.9300003</v>
      </c>
      <c r="AF55" s="1">
        <v>0.99539220137051998</v>
      </c>
      <c r="AG55" s="1" t="s">
        <v>26</v>
      </c>
      <c r="AH55" s="1" t="s">
        <v>26</v>
      </c>
      <c r="AI55" s="2">
        <v>208070968</v>
      </c>
      <c r="AJ55" s="1">
        <v>1</v>
      </c>
      <c r="AK55" s="1" t="s">
        <v>26</v>
      </c>
      <c r="AL55" s="1" t="s">
        <v>26</v>
      </c>
      <c r="AM55" s="2">
        <v>225444893.83000001</v>
      </c>
      <c r="AN55" s="1">
        <v>1</v>
      </c>
      <c r="AO55" s="1" t="s">
        <v>26</v>
      </c>
      <c r="AP55" s="1" t="s">
        <v>26</v>
      </c>
      <c r="AQ55" s="2">
        <v>433515861.82999998</v>
      </c>
      <c r="AR55" s="1">
        <v>1</v>
      </c>
      <c r="AS55" s="1" t="s">
        <v>26</v>
      </c>
      <c r="AT55" s="1" t="s">
        <v>26</v>
      </c>
      <c r="AU55" s="2">
        <v>312106452</v>
      </c>
      <c r="AV55" s="1">
        <v>1</v>
      </c>
      <c r="AW55" s="1" t="s">
        <v>26</v>
      </c>
      <c r="AX55" s="1" t="s">
        <v>26</v>
      </c>
      <c r="AY55" s="2">
        <v>5384634226.7600002</v>
      </c>
      <c r="AZ55" s="1">
        <v>0.99602771900372</v>
      </c>
      <c r="BA55" s="1" t="s">
        <v>26</v>
      </c>
      <c r="BB55" s="1" t="s">
        <v>26</v>
      </c>
    </row>
    <row r="56" spans="1:54" s="7" customFormat="1">
      <c r="A56" s="3" t="s">
        <v>38</v>
      </c>
      <c r="B56" s="31" t="s">
        <v>39</v>
      </c>
      <c r="C56" s="2" t="s">
        <v>26</v>
      </c>
      <c r="D56" s="1" t="s">
        <v>26</v>
      </c>
      <c r="E56" s="1" t="s">
        <v>26</v>
      </c>
      <c r="F56" s="1" t="s">
        <v>26</v>
      </c>
      <c r="G56" s="2" t="s">
        <v>26</v>
      </c>
      <c r="H56" s="1" t="s">
        <v>26</v>
      </c>
      <c r="I56" s="1" t="s">
        <v>26</v>
      </c>
      <c r="J56" s="1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 t="s">
        <v>26</v>
      </c>
      <c r="T56" s="1" t="s">
        <v>26</v>
      </c>
      <c r="U56" s="1" t="s">
        <v>26</v>
      </c>
      <c r="V56" s="1" t="s">
        <v>26</v>
      </c>
      <c r="W56" s="2">
        <v>21474583.289999999</v>
      </c>
      <c r="X56" s="1">
        <v>0.30694393029068001</v>
      </c>
      <c r="Y56" s="1" t="s">
        <v>26</v>
      </c>
      <c r="Z56" s="1" t="s">
        <v>26</v>
      </c>
      <c r="AA56" s="2" t="s">
        <v>26</v>
      </c>
      <c r="AB56" s="1" t="s">
        <v>26</v>
      </c>
      <c r="AC56" s="1" t="s">
        <v>26</v>
      </c>
      <c r="AD56" s="1" t="s">
        <v>26</v>
      </c>
      <c r="AE56" s="2">
        <v>21474583.289999999</v>
      </c>
      <c r="AF56" s="1">
        <v>4.60779862948E-3</v>
      </c>
      <c r="AG56" s="1" t="s">
        <v>26</v>
      </c>
      <c r="AH56" s="1" t="s">
        <v>26</v>
      </c>
      <c r="AI56" s="2" t="s">
        <v>26</v>
      </c>
      <c r="AJ56" s="1" t="s">
        <v>26</v>
      </c>
      <c r="AK56" s="1" t="s">
        <v>26</v>
      </c>
      <c r="AL56" s="1" t="s">
        <v>26</v>
      </c>
      <c r="AM56" s="2" t="s">
        <v>26</v>
      </c>
      <c r="AN56" s="1" t="s">
        <v>26</v>
      </c>
      <c r="AO56" s="1" t="s">
        <v>26</v>
      </c>
      <c r="AP56" s="1" t="s">
        <v>26</v>
      </c>
      <c r="AQ56" s="2" t="s">
        <v>26</v>
      </c>
      <c r="AR56" s="1" t="s">
        <v>26</v>
      </c>
      <c r="AS56" s="1" t="s">
        <v>26</v>
      </c>
      <c r="AT56" s="1" t="s">
        <v>26</v>
      </c>
      <c r="AU56" s="2" t="s">
        <v>26</v>
      </c>
      <c r="AV56" s="1" t="s">
        <v>26</v>
      </c>
      <c r="AW56" s="1" t="s">
        <v>26</v>
      </c>
      <c r="AX56" s="1" t="s">
        <v>26</v>
      </c>
      <c r="AY56" s="2">
        <v>21474583.289999999</v>
      </c>
      <c r="AZ56" s="1">
        <v>3.9722809962800002E-3</v>
      </c>
      <c r="BA56" s="1" t="s">
        <v>26</v>
      </c>
      <c r="BB56" s="1" t="s">
        <v>26</v>
      </c>
    </row>
    <row r="57" spans="1:54" s="7" customFormat="1">
      <c r="A57" s="13" t="s">
        <v>60</v>
      </c>
      <c r="B57" s="25" t="s">
        <v>25</v>
      </c>
      <c r="C57" s="55">
        <v>89210513.090000004</v>
      </c>
      <c r="D57" s="56">
        <v>1.4853181924550001E-2</v>
      </c>
      <c r="E57" s="56" t="s">
        <v>26</v>
      </c>
      <c r="F57" s="56" t="s">
        <v>26</v>
      </c>
      <c r="G57" s="55" t="s">
        <v>26</v>
      </c>
      <c r="H57" s="56" t="s">
        <v>26</v>
      </c>
      <c r="I57" s="56" t="s">
        <v>26</v>
      </c>
      <c r="J57" s="56" t="s">
        <v>26</v>
      </c>
      <c r="K57" s="55">
        <v>83141938.760000005</v>
      </c>
      <c r="L57" s="56">
        <v>2.9694002688896489E-2</v>
      </c>
      <c r="M57" s="56" t="s">
        <v>26</v>
      </c>
      <c r="N57" s="56" t="s">
        <v>26</v>
      </c>
      <c r="O57" s="55">
        <v>100120875.93000001</v>
      </c>
      <c r="P57" s="56">
        <v>4.5818233626E-4</v>
      </c>
      <c r="Q57" s="56" t="s">
        <v>26</v>
      </c>
      <c r="R57" s="56" t="s">
        <v>26</v>
      </c>
      <c r="S57" s="55">
        <v>168988209.02000001</v>
      </c>
      <c r="T57" s="56">
        <v>1.54670473466E-3</v>
      </c>
      <c r="U57" s="56" t="s">
        <v>26</v>
      </c>
      <c r="V57" s="56" t="s">
        <v>26</v>
      </c>
      <c r="W57" s="55" t="s">
        <v>26</v>
      </c>
      <c r="X57" s="56" t="s">
        <v>26</v>
      </c>
      <c r="Y57" s="56" t="s">
        <v>26</v>
      </c>
      <c r="Z57" s="56" t="s">
        <v>26</v>
      </c>
      <c r="AA57" s="55">
        <v>120961890.63</v>
      </c>
      <c r="AB57" s="56">
        <v>8.9684121216999999E-4</v>
      </c>
      <c r="AC57" s="56" t="s">
        <v>26</v>
      </c>
      <c r="AD57" s="56" t="s">
        <v>26</v>
      </c>
      <c r="AE57" s="55">
        <v>562423427.42999995</v>
      </c>
      <c r="AF57" s="56">
        <v>9.0141989456999998E-4</v>
      </c>
      <c r="AG57" s="56" t="s">
        <v>26</v>
      </c>
      <c r="AH57" s="56" t="s">
        <v>26</v>
      </c>
      <c r="AI57" s="55">
        <v>39623854.329999998</v>
      </c>
      <c r="AJ57" s="56">
        <v>2.3542478084999999E-3</v>
      </c>
      <c r="AK57" s="56" t="s">
        <v>26</v>
      </c>
      <c r="AL57" s="56" t="s">
        <v>26</v>
      </c>
      <c r="AM57" s="55" t="s">
        <v>26</v>
      </c>
      <c r="AN57" s="56" t="s">
        <v>26</v>
      </c>
      <c r="AO57" s="56" t="s">
        <v>26</v>
      </c>
      <c r="AP57" s="56" t="s">
        <v>26</v>
      </c>
      <c r="AQ57" s="55">
        <v>39623854.329999998</v>
      </c>
      <c r="AR57" s="56">
        <v>9.8006990119000009E-4</v>
      </c>
      <c r="AS57" s="56" t="s">
        <v>26</v>
      </c>
      <c r="AT57" s="56" t="s">
        <v>26</v>
      </c>
      <c r="AU57" s="55" t="s">
        <v>26</v>
      </c>
      <c r="AV57" s="56" t="s">
        <v>26</v>
      </c>
      <c r="AW57" s="56" t="s">
        <v>26</v>
      </c>
      <c r="AX57" s="56" t="s">
        <v>26</v>
      </c>
      <c r="AY57" s="55">
        <v>602047281.75999999</v>
      </c>
      <c r="AZ57" s="56">
        <v>8.5001102437999999E-4</v>
      </c>
      <c r="BA57" s="56" t="s">
        <v>26</v>
      </c>
      <c r="BB57" s="56" t="s">
        <v>26</v>
      </c>
    </row>
    <row r="58" spans="1:54" s="7" customFormat="1">
      <c r="A58" s="5" t="s">
        <v>61</v>
      </c>
      <c r="B58" s="24" t="s">
        <v>25</v>
      </c>
      <c r="C58" s="10">
        <v>49272944.829999998</v>
      </c>
      <c r="D58" s="11">
        <v>8.2037417807499999E-3</v>
      </c>
      <c r="E58" s="11">
        <v>0.09</v>
      </c>
      <c r="F58" s="11">
        <v>8.1799999999999998E-2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10" t="s">
        <v>26</v>
      </c>
      <c r="P58" s="11" t="s">
        <v>26</v>
      </c>
      <c r="Q58" s="11" t="s">
        <v>26</v>
      </c>
      <c r="R58" s="11" t="s">
        <v>26</v>
      </c>
      <c r="S58" s="10" t="s">
        <v>26</v>
      </c>
      <c r="T58" s="11" t="s">
        <v>26</v>
      </c>
      <c r="U58" s="11" t="s">
        <v>26</v>
      </c>
      <c r="V58" s="11" t="s">
        <v>26</v>
      </c>
      <c r="W58" s="10" t="s">
        <v>26</v>
      </c>
      <c r="X58" s="11" t="s">
        <v>26</v>
      </c>
      <c r="Y58" s="11" t="s">
        <v>26</v>
      </c>
      <c r="Z58" s="11" t="s">
        <v>26</v>
      </c>
      <c r="AA58" s="10" t="s">
        <v>26</v>
      </c>
      <c r="AB58" s="11" t="s">
        <v>26</v>
      </c>
      <c r="AC58" s="11" t="s">
        <v>26</v>
      </c>
      <c r="AD58" s="11" t="s">
        <v>26</v>
      </c>
      <c r="AE58" s="10">
        <v>49272944.829999998</v>
      </c>
      <c r="AF58" s="11">
        <v>7.8971839660000004E-5</v>
      </c>
      <c r="AG58" s="11">
        <v>0.09</v>
      </c>
      <c r="AH58" s="11">
        <v>8.9899999999999994E-2</v>
      </c>
      <c r="AI58" s="10" t="s">
        <v>26</v>
      </c>
      <c r="AJ58" s="11" t="s">
        <v>26</v>
      </c>
      <c r="AK58" s="11" t="s">
        <v>26</v>
      </c>
      <c r="AL58" s="11" t="s">
        <v>26</v>
      </c>
      <c r="AM58" s="10" t="s">
        <v>26</v>
      </c>
      <c r="AN58" s="11" t="s">
        <v>26</v>
      </c>
      <c r="AO58" s="11" t="s">
        <v>26</v>
      </c>
      <c r="AP58" s="11" t="s">
        <v>26</v>
      </c>
      <c r="AQ58" s="10" t="s">
        <v>26</v>
      </c>
      <c r="AR58" s="11" t="s">
        <v>26</v>
      </c>
      <c r="AS58" s="11" t="s">
        <v>26</v>
      </c>
      <c r="AT58" s="11" t="s">
        <v>26</v>
      </c>
      <c r="AU58" s="10" t="s">
        <v>26</v>
      </c>
      <c r="AV58" s="11" t="s">
        <v>26</v>
      </c>
      <c r="AW58" s="11" t="s">
        <v>26</v>
      </c>
      <c r="AX58" s="11" t="s">
        <v>26</v>
      </c>
      <c r="AY58" s="10">
        <v>49272944.829999998</v>
      </c>
      <c r="AZ58" s="11">
        <v>6.95668722E-5</v>
      </c>
      <c r="BA58" s="11">
        <v>0.09</v>
      </c>
      <c r="BB58" s="11">
        <v>8.9899999999999994E-2</v>
      </c>
    </row>
    <row r="59" spans="1:54" s="7" customFormat="1">
      <c r="A59" s="3" t="s">
        <v>36</v>
      </c>
      <c r="B59" s="31" t="s">
        <v>46</v>
      </c>
      <c r="C59" s="2">
        <v>49272944.829999998</v>
      </c>
      <c r="D59" s="1">
        <v>1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49272944.829999998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49272944.829999998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62</v>
      </c>
      <c r="B60" s="24" t="s">
        <v>25</v>
      </c>
      <c r="C60" s="10">
        <v>17863084.399999999</v>
      </c>
      <c r="D60" s="11">
        <v>2.9741297649400001E-3</v>
      </c>
      <c r="E60" s="11">
        <v>0.12</v>
      </c>
      <c r="F60" s="11">
        <v>0.11700000000000001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>
        <v>90842124.219999999</v>
      </c>
      <c r="AB60" s="11">
        <v>6.7352585493999999E-4</v>
      </c>
      <c r="AC60" s="11">
        <v>0.13500000000000001</v>
      </c>
      <c r="AD60" s="11">
        <v>0.1343</v>
      </c>
      <c r="AE60" s="10">
        <v>108705208.62</v>
      </c>
      <c r="AF60" s="11">
        <v>1.7422645095000001E-4</v>
      </c>
      <c r="AG60" s="11">
        <v>0.13250000000000001</v>
      </c>
      <c r="AH60" s="11">
        <v>0.1323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108705208.62</v>
      </c>
      <c r="AZ60" s="11">
        <v>1.5347735723000001E-4</v>
      </c>
      <c r="BA60" s="11">
        <v>0.13250000000000001</v>
      </c>
      <c r="BB60" s="11">
        <v>0.1323</v>
      </c>
    </row>
    <row r="61" spans="1:54" s="7" customFormat="1">
      <c r="A61" s="3" t="s">
        <v>36</v>
      </c>
      <c r="B61" s="31" t="s">
        <v>56</v>
      </c>
      <c r="C61" s="2">
        <v>17863084.399999999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17863084.399999999</v>
      </c>
      <c r="AF61" s="1">
        <v>0.16432592905869001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17863084.399999999</v>
      </c>
      <c r="AZ61" s="1">
        <v>0.16432592905869001</v>
      </c>
      <c r="BA61" s="1" t="s">
        <v>26</v>
      </c>
      <c r="BB61" s="1" t="s">
        <v>26</v>
      </c>
    </row>
    <row r="62" spans="1:54" s="7" customFormat="1">
      <c r="A62" s="3" t="s">
        <v>38</v>
      </c>
      <c r="B62" s="31" t="s">
        <v>43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90842124.219999999</v>
      </c>
      <c r="AB62" s="1">
        <v>1</v>
      </c>
      <c r="AC62" s="1" t="s">
        <v>26</v>
      </c>
      <c r="AD62" s="1" t="s">
        <v>26</v>
      </c>
      <c r="AE62" s="2">
        <v>90842124.219999999</v>
      </c>
      <c r="AF62" s="1">
        <v>0.83567407094130997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90842124.219999999</v>
      </c>
      <c r="AZ62" s="1">
        <v>0.83567407094130997</v>
      </c>
      <c r="BA62" s="1" t="s">
        <v>26</v>
      </c>
      <c r="BB62" s="1" t="s">
        <v>26</v>
      </c>
    </row>
    <row r="63" spans="1:54" s="7" customFormat="1">
      <c r="A63" s="5" t="s">
        <v>63</v>
      </c>
      <c r="B63" s="24" t="s">
        <v>25</v>
      </c>
      <c r="C63" s="10">
        <v>22074483.859999999</v>
      </c>
      <c r="D63" s="11">
        <v>3.67531037886E-3</v>
      </c>
      <c r="E63" s="11">
        <v>0.12</v>
      </c>
      <c r="F63" s="11">
        <v>0.1163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10">
        <v>22074483.859999999</v>
      </c>
      <c r="AF63" s="11">
        <v>3.5379712049999998E-5</v>
      </c>
      <c r="AG63" s="11">
        <v>0.12</v>
      </c>
      <c r="AH63" s="11">
        <v>0.12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10">
        <v>22074483.859999999</v>
      </c>
      <c r="AZ63" s="11">
        <v>3.1166247579999998E-5</v>
      </c>
      <c r="BA63" s="11">
        <v>0.12</v>
      </c>
      <c r="BB63" s="11">
        <v>0.12</v>
      </c>
    </row>
    <row r="64" spans="1:54" s="7" customFormat="1">
      <c r="A64" s="3" t="s">
        <v>36</v>
      </c>
      <c r="B64" s="31" t="s">
        <v>56</v>
      </c>
      <c r="C64" s="2">
        <v>22074483.859999999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22074483.859999999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22074483.859999999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64</v>
      </c>
      <c r="B65" s="24" t="s">
        <v>25</v>
      </c>
      <c r="C65" s="10" t="s">
        <v>26</v>
      </c>
      <c r="D65" s="11" t="s">
        <v>26</v>
      </c>
      <c r="E65" s="11" t="s">
        <v>26</v>
      </c>
      <c r="F65" s="11" t="s">
        <v>26</v>
      </c>
      <c r="G65" s="10" t="s">
        <v>26</v>
      </c>
      <c r="H65" s="11" t="s">
        <v>26</v>
      </c>
      <c r="I65" s="11" t="s">
        <v>26</v>
      </c>
      <c r="J65" s="11" t="s">
        <v>26</v>
      </c>
      <c r="K65" s="10">
        <v>83141938.760000005</v>
      </c>
      <c r="L65" s="11">
        <v>2.9700000000000001E-2</v>
      </c>
      <c r="M65" s="11">
        <v>0.13500000000000001</v>
      </c>
      <c r="N65" s="11">
        <v>0.10539999999999999</v>
      </c>
      <c r="O65" s="10">
        <v>100120875.93000001</v>
      </c>
      <c r="P65" s="11">
        <v>4.5818233626E-4</v>
      </c>
      <c r="Q65" s="11">
        <v>0.13500000000000001</v>
      </c>
      <c r="R65" s="11">
        <v>0.13450000000000001</v>
      </c>
      <c r="S65" s="10">
        <v>168988209.02000001</v>
      </c>
      <c r="T65" s="11">
        <v>1.54670473466E-3</v>
      </c>
      <c r="U65" s="11">
        <v>0.13500000000000001</v>
      </c>
      <c r="V65" s="11">
        <v>0.13350000000000001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>
        <v>30119766.41</v>
      </c>
      <c r="AB65" s="11">
        <v>2.2331535723E-4</v>
      </c>
      <c r="AC65" s="11">
        <v>0.13500000000000001</v>
      </c>
      <c r="AD65" s="11">
        <v>0.1348</v>
      </c>
      <c r="AE65" s="10">
        <v>382370790.12</v>
      </c>
      <c r="AF65" s="11">
        <v>6.1284189189999996E-4</v>
      </c>
      <c r="AG65" s="11">
        <v>0.13500000000000001</v>
      </c>
      <c r="AH65" s="11">
        <v>0.13439999999999999</v>
      </c>
      <c r="AI65" s="10">
        <v>39623854.329999998</v>
      </c>
      <c r="AJ65" s="11">
        <v>2.3542478084999999E-3</v>
      </c>
      <c r="AK65" s="11">
        <v>0.13500000000000001</v>
      </c>
      <c r="AL65" s="11">
        <v>0.1326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>
        <v>39623854.329999998</v>
      </c>
      <c r="AR65" s="11">
        <v>9.8006990119000009E-4</v>
      </c>
      <c r="AS65" s="11">
        <v>0.13500000000000001</v>
      </c>
      <c r="AT65" s="11">
        <v>0.13400000000000001</v>
      </c>
      <c r="AU65" s="10" t="s">
        <v>26</v>
      </c>
      <c r="AV65" s="11" t="s">
        <v>26</v>
      </c>
      <c r="AW65" s="11" t="s">
        <v>26</v>
      </c>
      <c r="AX65" s="11" t="s">
        <v>26</v>
      </c>
      <c r="AY65" s="10">
        <v>421994644.44999999</v>
      </c>
      <c r="AZ65" s="11">
        <v>5.9580054736999997E-4</v>
      </c>
      <c r="BA65" s="11">
        <v>0.13500000000000001</v>
      </c>
      <c r="BB65" s="11">
        <v>0.13439999999999999</v>
      </c>
    </row>
    <row r="66" spans="1:54" s="7" customFormat="1">
      <c r="A66" s="3" t="s">
        <v>38</v>
      </c>
      <c r="B66" s="31" t="s">
        <v>43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>
        <v>83141938.760000005</v>
      </c>
      <c r="L66" s="1">
        <v>1</v>
      </c>
      <c r="M66" s="1" t="s">
        <v>26</v>
      </c>
      <c r="N66" s="1" t="s">
        <v>26</v>
      </c>
      <c r="O66" s="2">
        <v>100120875.93000001</v>
      </c>
      <c r="P66" s="1">
        <v>1</v>
      </c>
      <c r="Q66" s="1" t="s">
        <v>26</v>
      </c>
      <c r="R66" s="1" t="s">
        <v>26</v>
      </c>
      <c r="S66" s="2">
        <v>168988209.02000001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30119766.41</v>
      </c>
      <c r="AB66" s="1">
        <v>1</v>
      </c>
      <c r="AC66" s="1" t="s">
        <v>26</v>
      </c>
      <c r="AD66" s="1" t="s">
        <v>26</v>
      </c>
      <c r="AE66" s="2">
        <v>382370790.12</v>
      </c>
      <c r="AF66" s="1">
        <v>1</v>
      </c>
      <c r="AG66" s="1" t="s">
        <v>26</v>
      </c>
      <c r="AH66" s="1" t="s">
        <v>26</v>
      </c>
      <c r="AI66" s="2">
        <v>39623854.329999998</v>
      </c>
      <c r="AJ66" s="1">
        <v>1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>
        <v>39623854.329999998</v>
      </c>
      <c r="AR66" s="1">
        <v>1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421994644.44999999</v>
      </c>
      <c r="AZ66" s="1">
        <v>1</v>
      </c>
      <c r="BA66" s="1" t="s">
        <v>26</v>
      </c>
      <c r="BB66" s="1" t="s">
        <v>26</v>
      </c>
    </row>
    <row r="67" spans="1:54" s="7" customFormat="1">
      <c r="A67" s="13" t="s">
        <v>65</v>
      </c>
      <c r="B67" s="25" t="s">
        <v>25</v>
      </c>
      <c r="C67" s="55">
        <v>644385454.44000006</v>
      </c>
      <c r="D67" s="56">
        <v>0.10728751637911001</v>
      </c>
      <c r="E67" s="56" t="s">
        <v>26</v>
      </c>
      <c r="F67" s="56" t="s">
        <v>26</v>
      </c>
      <c r="G67" s="55">
        <v>5888710325.0500002</v>
      </c>
      <c r="H67" s="56">
        <v>4.0218198460780001E-2</v>
      </c>
      <c r="I67" s="56" t="s">
        <v>26</v>
      </c>
      <c r="J67" s="56" t="s">
        <v>26</v>
      </c>
      <c r="K67" s="55">
        <v>554963934.34000003</v>
      </c>
      <c r="L67" s="56">
        <v>0.19820442972952074</v>
      </c>
      <c r="M67" s="56" t="s">
        <v>26</v>
      </c>
      <c r="N67" s="56" t="s">
        <v>26</v>
      </c>
      <c r="O67" s="55">
        <v>10398579527.77</v>
      </c>
      <c r="P67" s="56">
        <v>4.7586933470039998E-2</v>
      </c>
      <c r="Q67" s="56" t="s">
        <v>26</v>
      </c>
      <c r="R67" s="56" t="s">
        <v>26</v>
      </c>
      <c r="S67" s="55">
        <v>5466650060.0900002</v>
      </c>
      <c r="T67" s="56">
        <v>5.0034813551089997E-2</v>
      </c>
      <c r="U67" s="56" t="s">
        <v>26</v>
      </c>
      <c r="V67" s="56" t="s">
        <v>26</v>
      </c>
      <c r="W67" s="55" t="s">
        <v>26</v>
      </c>
      <c r="X67" s="56" t="s">
        <v>26</v>
      </c>
      <c r="Y67" s="56" t="s">
        <v>26</v>
      </c>
      <c r="Z67" s="56" t="s">
        <v>26</v>
      </c>
      <c r="AA67" s="55">
        <v>5405320780.5</v>
      </c>
      <c r="AB67" s="56">
        <v>4.0076377904849997E-2</v>
      </c>
      <c r="AC67" s="56" t="s">
        <v>26</v>
      </c>
      <c r="AD67" s="56" t="s">
        <v>26</v>
      </c>
      <c r="AE67" s="55">
        <v>28358610082.189999</v>
      </c>
      <c r="AF67" s="56">
        <v>4.5451547826250001E-2</v>
      </c>
      <c r="AG67" s="56" t="s">
        <v>26</v>
      </c>
      <c r="AH67" s="56" t="s">
        <v>26</v>
      </c>
      <c r="AI67" s="55">
        <v>1082156459.54</v>
      </c>
      <c r="AJ67" s="56">
        <v>6.4296230551129999E-2</v>
      </c>
      <c r="AK67" s="56" t="s">
        <v>26</v>
      </c>
      <c r="AL67" s="56" t="s">
        <v>26</v>
      </c>
      <c r="AM67" s="55">
        <v>2203537321.23</v>
      </c>
      <c r="AN67" s="56">
        <v>9.3374858505339997E-2</v>
      </c>
      <c r="AO67" s="56" t="s">
        <v>26</v>
      </c>
      <c r="AP67" s="56" t="s">
        <v>26</v>
      </c>
      <c r="AQ67" s="55">
        <v>3285693780.77</v>
      </c>
      <c r="AR67" s="56">
        <v>8.1269468442800002E-2</v>
      </c>
      <c r="AS67" s="56" t="s">
        <v>26</v>
      </c>
      <c r="AT67" s="56" t="s">
        <v>26</v>
      </c>
      <c r="AU67" s="55">
        <v>1394879402.4000001</v>
      </c>
      <c r="AV67" s="56">
        <v>3.1758432724460002E-2</v>
      </c>
      <c r="AW67" s="56" t="s">
        <v>26</v>
      </c>
      <c r="AX67" s="56" t="s">
        <v>26</v>
      </c>
      <c r="AY67" s="55">
        <v>33039183265.360001</v>
      </c>
      <c r="AZ67" s="56">
        <v>4.6646950933860003E-2</v>
      </c>
      <c r="BA67" s="56" t="s">
        <v>26</v>
      </c>
      <c r="BB67" s="56" t="s">
        <v>26</v>
      </c>
    </row>
    <row r="68" spans="1:54" s="7" customFormat="1">
      <c r="A68" s="5" t="s">
        <v>105</v>
      </c>
      <c r="B68" s="24" t="s">
        <v>25</v>
      </c>
      <c r="C68" s="10">
        <v>82846802.900000006</v>
      </c>
      <c r="D68" s="11">
        <v>1.3793650464710001E-2</v>
      </c>
      <c r="E68" s="11">
        <v>0.08</v>
      </c>
      <c r="F68" s="11">
        <v>6.6199999999999995E-2</v>
      </c>
      <c r="G68" s="10" t="s">
        <v>26</v>
      </c>
      <c r="H68" s="11" t="s">
        <v>26</v>
      </c>
      <c r="I68" s="11" t="s">
        <v>26</v>
      </c>
      <c r="J68" s="11" t="s">
        <v>26</v>
      </c>
      <c r="K68" s="10">
        <v>61905280.579999998</v>
      </c>
      <c r="L68" s="11">
        <v>2.2109366168446703E-2</v>
      </c>
      <c r="M68" s="11">
        <v>0.08</v>
      </c>
      <c r="N68" s="11">
        <v>5.79E-2</v>
      </c>
      <c r="O68" s="10" t="s">
        <v>26</v>
      </c>
      <c r="P68" s="11" t="s">
        <v>26</v>
      </c>
      <c r="Q68" s="11" t="s">
        <v>26</v>
      </c>
      <c r="R68" s="11" t="s">
        <v>26</v>
      </c>
      <c r="S68" s="10">
        <v>85794826.75</v>
      </c>
      <c r="T68" s="11">
        <v>7.8525753667999995E-4</v>
      </c>
      <c r="U68" s="11">
        <v>0.08</v>
      </c>
      <c r="V68" s="11">
        <v>7.9200000000000007E-2</v>
      </c>
      <c r="W68" s="10" t="s">
        <v>26</v>
      </c>
      <c r="X68" s="11" t="s">
        <v>26</v>
      </c>
      <c r="Y68" s="11" t="s">
        <v>26</v>
      </c>
      <c r="Z68" s="11" t="s">
        <v>26</v>
      </c>
      <c r="AA68" s="10" t="s">
        <v>26</v>
      </c>
      <c r="AB68" s="11" t="s">
        <v>26</v>
      </c>
      <c r="AC68" s="11" t="s">
        <v>26</v>
      </c>
      <c r="AD68" s="11" t="s">
        <v>26</v>
      </c>
      <c r="AE68" s="10">
        <v>230546910.22999999</v>
      </c>
      <c r="AF68" s="11">
        <v>3.6950731669E-4</v>
      </c>
      <c r="AG68" s="11">
        <v>0.08</v>
      </c>
      <c r="AH68" s="11">
        <v>7.9600000000000004E-2</v>
      </c>
      <c r="AI68" s="10" t="s">
        <v>26</v>
      </c>
      <c r="AJ68" s="11" t="s">
        <v>26</v>
      </c>
      <c r="AK68" s="11" t="s">
        <v>26</v>
      </c>
      <c r="AL68" s="11" t="s">
        <v>26</v>
      </c>
      <c r="AM68" s="10" t="s">
        <v>26</v>
      </c>
      <c r="AN68" s="11" t="s">
        <v>26</v>
      </c>
      <c r="AO68" s="11" t="s">
        <v>26</v>
      </c>
      <c r="AP68" s="11" t="s">
        <v>26</v>
      </c>
      <c r="AQ68" s="10" t="s">
        <v>26</v>
      </c>
      <c r="AR68" s="11" t="s">
        <v>26</v>
      </c>
      <c r="AS68" s="11" t="s">
        <v>26</v>
      </c>
      <c r="AT68" s="11" t="s">
        <v>26</v>
      </c>
      <c r="AU68" s="10" t="s">
        <v>26</v>
      </c>
      <c r="AV68" s="11" t="s">
        <v>26</v>
      </c>
      <c r="AW68" s="11" t="s">
        <v>26</v>
      </c>
      <c r="AX68" s="11" t="s">
        <v>26</v>
      </c>
      <c r="AY68" s="10">
        <v>230546910.22999999</v>
      </c>
      <c r="AZ68" s="11">
        <v>3.2550170271999999E-4</v>
      </c>
      <c r="BA68" s="11">
        <v>0.08</v>
      </c>
      <c r="BB68" s="11">
        <v>7.9699999999999993E-2</v>
      </c>
    </row>
    <row r="69" spans="1:54" s="7" customFormat="1">
      <c r="A69" s="3" t="s">
        <v>67</v>
      </c>
      <c r="B69" s="31" t="s">
        <v>56</v>
      </c>
      <c r="C69" s="2">
        <v>82846802.900000006</v>
      </c>
      <c r="D69" s="1">
        <v>1</v>
      </c>
      <c r="E69" s="1" t="s">
        <v>26</v>
      </c>
      <c r="F69" s="1" t="s">
        <v>26</v>
      </c>
      <c r="G69" s="2" t="s">
        <v>26</v>
      </c>
      <c r="H69" s="1" t="s">
        <v>26</v>
      </c>
      <c r="I69" s="1" t="s">
        <v>26</v>
      </c>
      <c r="J69" s="1" t="s">
        <v>26</v>
      </c>
      <c r="K69" s="2">
        <v>61905280.579999998</v>
      </c>
      <c r="L69" s="1">
        <v>1</v>
      </c>
      <c r="M69" s="1" t="s">
        <v>26</v>
      </c>
      <c r="N69" s="1" t="s">
        <v>26</v>
      </c>
      <c r="O69" s="2" t="s">
        <v>26</v>
      </c>
      <c r="P69" s="1" t="s">
        <v>26</v>
      </c>
      <c r="Q69" s="1" t="s">
        <v>26</v>
      </c>
      <c r="R69" s="1" t="s">
        <v>26</v>
      </c>
      <c r="S69" s="2">
        <v>85794826.75</v>
      </c>
      <c r="T69" s="1">
        <v>1</v>
      </c>
      <c r="U69" s="1" t="s">
        <v>26</v>
      </c>
      <c r="V69" s="1" t="s">
        <v>26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2">
        <v>230546910.22999999</v>
      </c>
      <c r="AF69" s="1">
        <v>1</v>
      </c>
      <c r="AG69" s="1" t="s">
        <v>26</v>
      </c>
      <c r="AH69" s="1" t="s">
        <v>26</v>
      </c>
      <c r="AI69" s="2" t="s">
        <v>26</v>
      </c>
      <c r="AJ69" s="1" t="s">
        <v>26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 t="s">
        <v>26</v>
      </c>
      <c r="AR69" s="1" t="s">
        <v>26</v>
      </c>
      <c r="AS69" s="1" t="s">
        <v>26</v>
      </c>
      <c r="AT69" s="1" t="s">
        <v>26</v>
      </c>
      <c r="AU69" s="2" t="s">
        <v>26</v>
      </c>
      <c r="AV69" s="1" t="s">
        <v>26</v>
      </c>
      <c r="AW69" s="1" t="s">
        <v>26</v>
      </c>
      <c r="AX69" s="1" t="s">
        <v>26</v>
      </c>
      <c r="AY69" s="2">
        <v>230546910.22999999</v>
      </c>
      <c r="AZ69" s="1">
        <v>1</v>
      </c>
      <c r="BA69" s="1" t="s">
        <v>26</v>
      </c>
      <c r="BB69" s="1" t="s">
        <v>26</v>
      </c>
    </row>
    <row r="70" spans="1:54" s="7" customFormat="1">
      <c r="A70" s="5" t="s">
        <v>66</v>
      </c>
      <c r="B70" s="24" t="s">
        <v>25</v>
      </c>
      <c r="C70" s="10" t="s">
        <v>26</v>
      </c>
      <c r="D70" s="11" t="s">
        <v>26</v>
      </c>
      <c r="E70" s="11" t="s">
        <v>26</v>
      </c>
      <c r="F70" s="11" t="s">
        <v>26</v>
      </c>
      <c r="G70" s="10">
        <v>201773164.90000001</v>
      </c>
      <c r="H70" s="11">
        <v>1.3780527045899999E-3</v>
      </c>
      <c r="I70" s="11">
        <v>0.08</v>
      </c>
      <c r="J70" s="11">
        <v>7.8600000000000003E-2</v>
      </c>
      <c r="K70" s="10">
        <v>81910694.659999996</v>
      </c>
      <c r="L70" s="11">
        <v>2.9254265942780609E-2</v>
      </c>
      <c r="M70" s="11">
        <v>0.08</v>
      </c>
      <c r="N70" s="11">
        <v>5.0799999999999998E-2</v>
      </c>
      <c r="O70" s="10">
        <v>166199072.94999999</v>
      </c>
      <c r="P70" s="11">
        <v>7.6057544264999998E-4</v>
      </c>
      <c r="Q70" s="11">
        <v>0.08</v>
      </c>
      <c r="R70" s="11">
        <v>7.9200000000000007E-2</v>
      </c>
      <c r="S70" s="10" t="s">
        <v>26</v>
      </c>
      <c r="T70" s="11" t="s">
        <v>26</v>
      </c>
      <c r="U70" s="11" t="s">
        <v>26</v>
      </c>
      <c r="V70" s="11" t="s">
        <v>26</v>
      </c>
      <c r="W70" s="10" t="s">
        <v>26</v>
      </c>
      <c r="X70" s="11" t="s">
        <v>26</v>
      </c>
      <c r="Y70" s="11" t="s">
        <v>26</v>
      </c>
      <c r="Z70" s="11" t="s">
        <v>26</v>
      </c>
      <c r="AA70" s="10">
        <v>42240111.890000001</v>
      </c>
      <c r="AB70" s="11">
        <v>3.1317858007000001E-4</v>
      </c>
      <c r="AC70" s="11">
        <v>0.08</v>
      </c>
      <c r="AD70" s="11">
        <v>7.9699999999999993E-2</v>
      </c>
      <c r="AE70" s="10">
        <v>492123044.39999998</v>
      </c>
      <c r="AF70" s="11">
        <v>7.8874648737000004E-4</v>
      </c>
      <c r="AG70" s="11">
        <v>0.08</v>
      </c>
      <c r="AH70" s="11">
        <v>7.9200000000000007E-2</v>
      </c>
      <c r="AI70" s="10" t="s">
        <v>26</v>
      </c>
      <c r="AJ70" s="11" t="s">
        <v>26</v>
      </c>
      <c r="AK70" s="11" t="s">
        <v>26</v>
      </c>
      <c r="AL70" s="11" t="s">
        <v>26</v>
      </c>
      <c r="AM70" s="10" t="s">
        <v>26</v>
      </c>
      <c r="AN70" s="11" t="s">
        <v>26</v>
      </c>
      <c r="AO70" s="11" t="s">
        <v>26</v>
      </c>
      <c r="AP70" s="11" t="s">
        <v>26</v>
      </c>
      <c r="AQ70" s="10" t="s">
        <v>26</v>
      </c>
      <c r="AR70" s="11" t="s">
        <v>26</v>
      </c>
      <c r="AS70" s="11" t="s">
        <v>26</v>
      </c>
      <c r="AT70" s="11" t="s">
        <v>26</v>
      </c>
      <c r="AU70" s="10" t="s">
        <v>26</v>
      </c>
      <c r="AV70" s="11" t="s">
        <v>26</v>
      </c>
      <c r="AW70" s="11" t="s">
        <v>26</v>
      </c>
      <c r="AX70" s="11" t="s">
        <v>26</v>
      </c>
      <c r="AY70" s="10">
        <v>492123044.39999998</v>
      </c>
      <c r="AZ70" s="11">
        <v>6.9481256002000005E-4</v>
      </c>
      <c r="BA70" s="11">
        <v>0.08</v>
      </c>
      <c r="BB70" s="11">
        <v>7.9299999999999995E-2</v>
      </c>
    </row>
    <row r="71" spans="1:54" s="7" customFormat="1">
      <c r="A71" s="3" t="s">
        <v>67</v>
      </c>
      <c r="B71" s="31" t="s">
        <v>56</v>
      </c>
      <c r="C71" s="2" t="s">
        <v>26</v>
      </c>
      <c r="D71" s="1" t="s">
        <v>26</v>
      </c>
      <c r="E71" s="1" t="s">
        <v>26</v>
      </c>
      <c r="F71" s="1" t="s">
        <v>26</v>
      </c>
      <c r="G71" s="2">
        <v>201773164.90000001</v>
      </c>
      <c r="H71" s="1">
        <v>1</v>
      </c>
      <c r="I71" s="1" t="s">
        <v>26</v>
      </c>
      <c r="J71" s="1" t="s">
        <v>26</v>
      </c>
      <c r="K71" s="2">
        <v>81910694.659999996</v>
      </c>
      <c r="L71" s="1">
        <v>1</v>
      </c>
      <c r="M71" s="1" t="s">
        <v>26</v>
      </c>
      <c r="N71" s="1" t="s">
        <v>26</v>
      </c>
      <c r="O71" s="2">
        <v>166199072.94999999</v>
      </c>
      <c r="P71" s="1">
        <v>1</v>
      </c>
      <c r="Q71" s="1" t="s">
        <v>26</v>
      </c>
      <c r="R71" s="1" t="s">
        <v>26</v>
      </c>
      <c r="S71" s="2" t="s">
        <v>26</v>
      </c>
      <c r="T71" s="1" t="s">
        <v>26</v>
      </c>
      <c r="U71" s="1" t="s">
        <v>26</v>
      </c>
      <c r="V71" s="1" t="s">
        <v>26</v>
      </c>
      <c r="W71" s="2" t="s">
        <v>26</v>
      </c>
      <c r="X71" s="1" t="s">
        <v>26</v>
      </c>
      <c r="Y71" s="1" t="s">
        <v>26</v>
      </c>
      <c r="Z71" s="1" t="s">
        <v>26</v>
      </c>
      <c r="AA71" s="2">
        <v>42240111.890000001</v>
      </c>
      <c r="AB71" s="1">
        <v>1</v>
      </c>
      <c r="AC71" s="1" t="s">
        <v>26</v>
      </c>
      <c r="AD71" s="1" t="s">
        <v>26</v>
      </c>
      <c r="AE71" s="2">
        <v>492123044.39999998</v>
      </c>
      <c r="AF71" s="1">
        <v>1</v>
      </c>
      <c r="AG71" s="1" t="s">
        <v>26</v>
      </c>
      <c r="AH71" s="1" t="s">
        <v>26</v>
      </c>
      <c r="AI71" s="2" t="s">
        <v>26</v>
      </c>
      <c r="AJ71" s="1" t="s">
        <v>26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 t="s">
        <v>26</v>
      </c>
      <c r="AR71" s="1" t="s">
        <v>26</v>
      </c>
      <c r="AS71" s="1" t="s">
        <v>26</v>
      </c>
      <c r="AT71" s="1" t="s">
        <v>26</v>
      </c>
      <c r="AU71" s="2" t="s">
        <v>26</v>
      </c>
      <c r="AV71" s="1" t="s">
        <v>26</v>
      </c>
      <c r="AW71" s="1" t="s">
        <v>26</v>
      </c>
      <c r="AX71" s="1" t="s">
        <v>26</v>
      </c>
      <c r="AY71" s="2">
        <v>492123044.39999998</v>
      </c>
      <c r="AZ71" s="1">
        <v>1</v>
      </c>
      <c r="BA71" s="1" t="s">
        <v>26</v>
      </c>
      <c r="BB71" s="1" t="s">
        <v>26</v>
      </c>
    </row>
    <row r="72" spans="1:54" s="7" customFormat="1">
      <c r="A72" s="5" t="s">
        <v>68</v>
      </c>
      <c r="B72" s="24" t="s">
        <v>25</v>
      </c>
      <c r="C72" s="10" t="s">
        <v>26</v>
      </c>
      <c r="D72" s="11" t="s">
        <v>26</v>
      </c>
      <c r="E72" s="11" t="s">
        <v>26</v>
      </c>
      <c r="F72" s="11" t="s">
        <v>26</v>
      </c>
      <c r="G72" s="10">
        <v>526249210.68000001</v>
      </c>
      <c r="H72" s="11">
        <v>3.5941308073699999E-3</v>
      </c>
      <c r="I72" s="11">
        <v>0.09</v>
      </c>
      <c r="J72" s="11">
        <v>8.6400000000000005E-2</v>
      </c>
      <c r="K72" s="10" t="s">
        <v>26</v>
      </c>
      <c r="L72" s="11" t="s">
        <v>26</v>
      </c>
      <c r="M72" s="11" t="s">
        <v>26</v>
      </c>
      <c r="N72" s="11" t="s">
        <v>26</v>
      </c>
      <c r="O72" s="10">
        <v>1157937199.95</v>
      </c>
      <c r="P72" s="11">
        <v>5.2990584290199998E-3</v>
      </c>
      <c r="Q72" s="11">
        <v>0.09</v>
      </c>
      <c r="R72" s="11">
        <v>8.4699999999999998E-2</v>
      </c>
      <c r="S72" s="10">
        <v>529694645.81</v>
      </c>
      <c r="T72" s="11">
        <v>4.8481561012300002E-3</v>
      </c>
      <c r="U72" s="11">
        <v>0.09</v>
      </c>
      <c r="V72" s="11">
        <v>8.5199999999999998E-2</v>
      </c>
      <c r="W72" s="10" t="s">
        <v>26</v>
      </c>
      <c r="X72" s="11" t="s">
        <v>26</v>
      </c>
      <c r="Y72" s="11" t="s">
        <v>26</v>
      </c>
      <c r="Z72" s="11" t="s">
        <v>26</v>
      </c>
      <c r="AA72" s="10">
        <v>1409369217.55</v>
      </c>
      <c r="AB72" s="11">
        <v>1.044941006531E-2</v>
      </c>
      <c r="AC72" s="11">
        <v>0.09</v>
      </c>
      <c r="AD72" s="11">
        <v>7.9600000000000004E-2</v>
      </c>
      <c r="AE72" s="10">
        <v>3623250273.9899998</v>
      </c>
      <c r="AF72" s="11">
        <v>5.8071369731199996E-3</v>
      </c>
      <c r="AG72" s="11">
        <v>0.09</v>
      </c>
      <c r="AH72" s="11">
        <v>8.4199999999999997E-2</v>
      </c>
      <c r="AI72" s="10">
        <v>98511378.129999995</v>
      </c>
      <c r="AJ72" s="11">
        <v>5.8530448386800004E-3</v>
      </c>
      <c r="AK72" s="11">
        <v>0.09</v>
      </c>
      <c r="AL72" s="11">
        <v>8.4099999999999994E-2</v>
      </c>
      <c r="AM72" s="10">
        <v>13858121.810000001</v>
      </c>
      <c r="AN72" s="11">
        <v>5.8723768855E-4</v>
      </c>
      <c r="AO72" s="11">
        <v>0.09</v>
      </c>
      <c r="AP72" s="11">
        <v>8.9399999999999993E-2</v>
      </c>
      <c r="AQ72" s="10">
        <v>112369499.94</v>
      </c>
      <c r="AR72" s="11">
        <v>2.7793854627499999E-3</v>
      </c>
      <c r="AS72" s="11">
        <v>0.09</v>
      </c>
      <c r="AT72" s="11">
        <v>8.72E-2</v>
      </c>
      <c r="AU72" s="10">
        <v>190773640.80000001</v>
      </c>
      <c r="AV72" s="11">
        <v>4.3435094292200004E-3</v>
      </c>
      <c r="AW72" s="11">
        <v>0.09</v>
      </c>
      <c r="AX72" s="11">
        <v>8.5699999999999998E-2</v>
      </c>
      <c r="AY72" s="10">
        <v>3926393414.73</v>
      </c>
      <c r="AZ72" s="11">
        <v>5.5435474749099996E-3</v>
      </c>
      <c r="BA72" s="11">
        <v>0.09</v>
      </c>
      <c r="BB72" s="11">
        <v>8.4500000000000006E-2</v>
      </c>
    </row>
    <row r="73" spans="1:54" s="7" customFormat="1">
      <c r="A73" s="3" t="s">
        <v>67</v>
      </c>
      <c r="B73" s="31" t="s">
        <v>37</v>
      </c>
      <c r="C73" s="2" t="s">
        <v>26</v>
      </c>
      <c r="D73" s="1" t="s">
        <v>26</v>
      </c>
      <c r="E73" s="1" t="s">
        <v>26</v>
      </c>
      <c r="F73" s="1" t="s">
        <v>26</v>
      </c>
      <c r="G73" s="2">
        <v>526249210.68000001</v>
      </c>
      <c r="H73" s="1">
        <v>1</v>
      </c>
      <c r="I73" s="1" t="s">
        <v>26</v>
      </c>
      <c r="J73" s="1" t="s">
        <v>26</v>
      </c>
      <c r="K73" s="2" t="s">
        <v>26</v>
      </c>
      <c r="L73" s="1" t="s">
        <v>26</v>
      </c>
      <c r="M73" s="1" t="s">
        <v>26</v>
      </c>
      <c r="N73" s="1" t="s">
        <v>26</v>
      </c>
      <c r="O73" s="2">
        <v>1157937199.95</v>
      </c>
      <c r="P73" s="1">
        <v>1</v>
      </c>
      <c r="Q73" s="1" t="s">
        <v>26</v>
      </c>
      <c r="R73" s="1" t="s">
        <v>26</v>
      </c>
      <c r="S73" s="2">
        <v>529694645.81</v>
      </c>
      <c r="T73" s="1">
        <v>1</v>
      </c>
      <c r="U73" s="1" t="s">
        <v>26</v>
      </c>
      <c r="V73" s="1" t="s">
        <v>26</v>
      </c>
      <c r="W73" s="2" t="s">
        <v>26</v>
      </c>
      <c r="X73" s="1" t="s">
        <v>26</v>
      </c>
      <c r="Y73" s="1" t="s">
        <v>26</v>
      </c>
      <c r="Z73" s="1" t="s">
        <v>26</v>
      </c>
      <c r="AA73" s="2">
        <v>1409369217.55</v>
      </c>
      <c r="AB73" s="1">
        <v>1</v>
      </c>
      <c r="AC73" s="1" t="s">
        <v>26</v>
      </c>
      <c r="AD73" s="1" t="s">
        <v>26</v>
      </c>
      <c r="AE73" s="2">
        <v>3623250273.9899998</v>
      </c>
      <c r="AF73" s="1">
        <v>1</v>
      </c>
      <c r="AG73" s="1" t="s">
        <v>26</v>
      </c>
      <c r="AH73" s="1" t="s">
        <v>26</v>
      </c>
      <c r="AI73" s="2">
        <v>98511378.129999995</v>
      </c>
      <c r="AJ73" s="1">
        <v>1</v>
      </c>
      <c r="AK73" s="1" t="s">
        <v>26</v>
      </c>
      <c r="AL73" s="1" t="s">
        <v>26</v>
      </c>
      <c r="AM73" s="2">
        <v>13858121.810000001</v>
      </c>
      <c r="AN73" s="1">
        <v>1</v>
      </c>
      <c r="AO73" s="1" t="s">
        <v>26</v>
      </c>
      <c r="AP73" s="1" t="s">
        <v>26</v>
      </c>
      <c r="AQ73" s="2">
        <v>112369499.94</v>
      </c>
      <c r="AR73" s="1">
        <v>1</v>
      </c>
      <c r="AS73" s="1" t="s">
        <v>26</v>
      </c>
      <c r="AT73" s="1" t="s">
        <v>26</v>
      </c>
      <c r="AU73" s="2">
        <v>190773640.80000001</v>
      </c>
      <c r="AV73" s="1">
        <v>1</v>
      </c>
      <c r="AW73" s="1" t="s">
        <v>26</v>
      </c>
      <c r="AX73" s="1" t="s">
        <v>26</v>
      </c>
      <c r="AY73" s="2">
        <v>3926393414.73</v>
      </c>
      <c r="AZ73" s="1">
        <v>1</v>
      </c>
      <c r="BA73" s="1" t="s">
        <v>26</v>
      </c>
      <c r="BB73" s="1" t="s">
        <v>26</v>
      </c>
    </row>
    <row r="74" spans="1:54" s="7" customFormat="1">
      <c r="A74" s="5" t="s">
        <v>69</v>
      </c>
      <c r="B74" s="24" t="s">
        <v>25</v>
      </c>
      <c r="C74" s="10">
        <v>311161582.18000001</v>
      </c>
      <c r="D74" s="11">
        <v>5.1807118107129999E-2</v>
      </c>
      <c r="E74" s="11">
        <v>0.08</v>
      </c>
      <c r="F74" s="11">
        <v>2.8199999999999999E-2</v>
      </c>
      <c r="G74" s="10">
        <v>468713467.25999999</v>
      </c>
      <c r="H74" s="11">
        <v>3.2011782218799999E-3</v>
      </c>
      <c r="I74" s="11">
        <v>0.08</v>
      </c>
      <c r="J74" s="11">
        <v>7.6799999999999993E-2</v>
      </c>
      <c r="K74" s="10">
        <v>164932907.44</v>
      </c>
      <c r="L74" s="11">
        <v>5.8905508700587292E-2</v>
      </c>
      <c r="M74" s="11">
        <v>0.08</v>
      </c>
      <c r="N74" s="11">
        <v>2.12E-2</v>
      </c>
      <c r="O74" s="10">
        <v>1446436114.73</v>
      </c>
      <c r="P74" s="11">
        <v>6.6193136261099997E-3</v>
      </c>
      <c r="Q74" s="11">
        <v>0.08</v>
      </c>
      <c r="R74" s="11">
        <v>7.3400000000000007E-2</v>
      </c>
      <c r="S74" s="10">
        <v>311977534.11000001</v>
      </c>
      <c r="T74" s="11">
        <v>2.8554485068099998E-3</v>
      </c>
      <c r="U74" s="11">
        <v>0.08</v>
      </c>
      <c r="V74" s="11">
        <v>7.7100000000000002E-2</v>
      </c>
      <c r="W74" s="10" t="s">
        <v>26</v>
      </c>
      <c r="X74" s="11" t="s">
        <v>26</v>
      </c>
      <c r="Y74" s="11" t="s">
        <v>26</v>
      </c>
      <c r="Z74" s="11" t="s">
        <v>26</v>
      </c>
      <c r="AA74" s="10" t="s">
        <v>26</v>
      </c>
      <c r="AB74" s="11" t="s">
        <v>26</v>
      </c>
      <c r="AC74" s="11" t="s">
        <v>26</v>
      </c>
      <c r="AD74" s="11" t="s">
        <v>26</v>
      </c>
      <c r="AE74" s="10">
        <v>2703221605.7199998</v>
      </c>
      <c r="AF74" s="11">
        <v>4.3325679834500001E-3</v>
      </c>
      <c r="AG74" s="11">
        <v>0.08</v>
      </c>
      <c r="AH74" s="11">
        <v>7.5700000000000003E-2</v>
      </c>
      <c r="AI74" s="10" t="s">
        <v>26</v>
      </c>
      <c r="AJ74" s="11" t="s">
        <v>26</v>
      </c>
      <c r="AK74" s="11" t="s">
        <v>26</v>
      </c>
      <c r="AL74" s="11" t="s">
        <v>26</v>
      </c>
      <c r="AM74" s="10" t="s">
        <v>26</v>
      </c>
      <c r="AN74" s="11" t="s">
        <v>26</v>
      </c>
      <c r="AO74" s="11" t="s">
        <v>26</v>
      </c>
      <c r="AP74" s="11" t="s">
        <v>26</v>
      </c>
      <c r="AQ74" s="10" t="s">
        <v>26</v>
      </c>
      <c r="AR74" s="11" t="s">
        <v>26</v>
      </c>
      <c r="AS74" s="11" t="s">
        <v>26</v>
      </c>
      <c r="AT74" s="11" t="s">
        <v>26</v>
      </c>
      <c r="AU74" s="10" t="s">
        <v>26</v>
      </c>
      <c r="AV74" s="11" t="s">
        <v>26</v>
      </c>
      <c r="AW74" s="11" t="s">
        <v>26</v>
      </c>
      <c r="AX74" s="11" t="s">
        <v>26</v>
      </c>
      <c r="AY74" s="10">
        <v>2703221605.7199998</v>
      </c>
      <c r="AZ74" s="11">
        <v>3.81659088218E-3</v>
      </c>
      <c r="BA74" s="11">
        <v>0.08</v>
      </c>
      <c r="BB74" s="11">
        <v>7.6200000000000004E-2</v>
      </c>
    </row>
    <row r="75" spans="1:54" s="7" customFormat="1">
      <c r="A75" s="3" t="s">
        <v>67</v>
      </c>
      <c r="B75" s="31" t="s">
        <v>56</v>
      </c>
      <c r="C75" s="2">
        <v>311161582.18000001</v>
      </c>
      <c r="D75" s="1">
        <v>1</v>
      </c>
      <c r="E75" s="1" t="s">
        <v>26</v>
      </c>
      <c r="F75" s="1" t="s">
        <v>26</v>
      </c>
      <c r="G75" s="2">
        <v>468713467.25999999</v>
      </c>
      <c r="H75" s="1">
        <v>1</v>
      </c>
      <c r="I75" s="1" t="s">
        <v>26</v>
      </c>
      <c r="J75" s="1" t="s">
        <v>26</v>
      </c>
      <c r="K75" s="2">
        <v>164932907.44</v>
      </c>
      <c r="L75" s="1">
        <v>1</v>
      </c>
      <c r="M75" s="1" t="s">
        <v>26</v>
      </c>
      <c r="N75" s="1" t="s">
        <v>26</v>
      </c>
      <c r="O75" s="2">
        <v>1446436114.73</v>
      </c>
      <c r="P75" s="1">
        <v>1</v>
      </c>
      <c r="Q75" s="1" t="s">
        <v>26</v>
      </c>
      <c r="R75" s="1" t="s">
        <v>26</v>
      </c>
      <c r="S75" s="2">
        <v>311977534.11000001</v>
      </c>
      <c r="T75" s="1">
        <v>1</v>
      </c>
      <c r="U75" s="1" t="s">
        <v>26</v>
      </c>
      <c r="V75" s="1" t="s">
        <v>26</v>
      </c>
      <c r="W75" s="2" t="s">
        <v>26</v>
      </c>
      <c r="X75" s="1" t="s">
        <v>26</v>
      </c>
      <c r="Y75" s="1" t="s">
        <v>26</v>
      </c>
      <c r="Z75" s="1" t="s">
        <v>26</v>
      </c>
      <c r="AA75" s="2" t="s">
        <v>26</v>
      </c>
      <c r="AB75" s="1" t="s">
        <v>26</v>
      </c>
      <c r="AC75" s="1" t="s">
        <v>26</v>
      </c>
      <c r="AD75" s="1" t="s">
        <v>26</v>
      </c>
      <c r="AE75" s="2">
        <v>2703221605.7199998</v>
      </c>
      <c r="AF75" s="1">
        <v>1</v>
      </c>
      <c r="AG75" s="1" t="s">
        <v>26</v>
      </c>
      <c r="AH75" s="1" t="s">
        <v>26</v>
      </c>
      <c r="AI75" s="2" t="s">
        <v>26</v>
      </c>
      <c r="AJ75" s="1" t="s">
        <v>26</v>
      </c>
      <c r="AK75" s="1" t="s">
        <v>26</v>
      </c>
      <c r="AL75" s="1" t="s">
        <v>26</v>
      </c>
      <c r="AM75" s="2" t="s">
        <v>26</v>
      </c>
      <c r="AN75" s="1" t="s">
        <v>26</v>
      </c>
      <c r="AO75" s="1" t="s">
        <v>26</v>
      </c>
      <c r="AP75" s="1" t="s">
        <v>26</v>
      </c>
      <c r="AQ75" s="2" t="s">
        <v>26</v>
      </c>
      <c r="AR75" s="1" t="s">
        <v>26</v>
      </c>
      <c r="AS75" s="1" t="s">
        <v>26</v>
      </c>
      <c r="AT75" s="1" t="s">
        <v>26</v>
      </c>
      <c r="AU75" s="2" t="s">
        <v>26</v>
      </c>
      <c r="AV75" s="1" t="s">
        <v>26</v>
      </c>
      <c r="AW75" s="1" t="s">
        <v>26</v>
      </c>
      <c r="AX75" s="1" t="s">
        <v>26</v>
      </c>
      <c r="AY75" s="2">
        <v>2703221605.7199998</v>
      </c>
      <c r="AZ75" s="1">
        <v>1</v>
      </c>
      <c r="BA75" s="1" t="s">
        <v>26</v>
      </c>
      <c r="BB75" s="1" t="s">
        <v>26</v>
      </c>
    </row>
    <row r="76" spans="1:54" s="7" customFormat="1">
      <c r="A76" s="5" t="s">
        <v>70</v>
      </c>
      <c r="B76" s="24" t="s">
        <v>25</v>
      </c>
      <c r="C76" s="10" t="s">
        <v>26</v>
      </c>
      <c r="D76" s="11" t="s">
        <v>26</v>
      </c>
      <c r="E76" s="11" t="s">
        <v>26</v>
      </c>
      <c r="F76" s="11" t="s">
        <v>26</v>
      </c>
      <c r="G76" s="10">
        <v>2657699432.8099999</v>
      </c>
      <c r="H76" s="11">
        <v>1.8151323012640001E-2</v>
      </c>
      <c r="I76" s="11">
        <v>0.09</v>
      </c>
      <c r="J76" s="11">
        <v>7.1800000000000003E-2</v>
      </c>
      <c r="K76" s="10" t="s">
        <v>26</v>
      </c>
      <c r="L76" s="11" t="s">
        <v>26</v>
      </c>
      <c r="M76" s="11" t="s">
        <v>26</v>
      </c>
      <c r="N76" s="11" t="s">
        <v>26</v>
      </c>
      <c r="O76" s="10">
        <v>2237148212.6399999</v>
      </c>
      <c r="P76" s="11">
        <v>1.023784285856E-2</v>
      </c>
      <c r="Q76" s="11">
        <v>0.09</v>
      </c>
      <c r="R76" s="11">
        <v>7.9799999999999996E-2</v>
      </c>
      <c r="S76" s="10">
        <v>1400583040.26</v>
      </c>
      <c r="T76" s="11">
        <v>1.281916905453E-2</v>
      </c>
      <c r="U76" s="11">
        <v>0.09</v>
      </c>
      <c r="V76" s="11">
        <v>7.7200000000000005E-2</v>
      </c>
      <c r="W76" s="10" t="s">
        <v>26</v>
      </c>
      <c r="X76" s="11" t="s">
        <v>26</v>
      </c>
      <c r="Y76" s="11" t="s">
        <v>26</v>
      </c>
      <c r="Z76" s="11" t="s">
        <v>26</v>
      </c>
      <c r="AA76" s="10">
        <v>1867420297.6199999</v>
      </c>
      <c r="AB76" s="11">
        <v>1.3845513447529999E-2</v>
      </c>
      <c r="AC76" s="11">
        <v>0.09</v>
      </c>
      <c r="AD76" s="11">
        <v>7.6200000000000004E-2</v>
      </c>
      <c r="AE76" s="10">
        <v>8162850983.3299999</v>
      </c>
      <c r="AF76" s="11">
        <v>1.308294767593E-2</v>
      </c>
      <c r="AG76" s="11">
        <v>0.09</v>
      </c>
      <c r="AH76" s="11">
        <v>7.6899999999999996E-2</v>
      </c>
      <c r="AI76" s="10">
        <v>16639111.390000001</v>
      </c>
      <c r="AJ76" s="11">
        <v>9.8861133495999997E-4</v>
      </c>
      <c r="AK76" s="11">
        <v>0.09</v>
      </c>
      <c r="AL76" s="11">
        <v>8.8999999999999996E-2</v>
      </c>
      <c r="AM76" s="10">
        <v>119070935.81</v>
      </c>
      <c r="AN76" s="11">
        <v>5.0456289876499999E-3</v>
      </c>
      <c r="AO76" s="11">
        <v>0.09</v>
      </c>
      <c r="AP76" s="11">
        <v>8.5000000000000006E-2</v>
      </c>
      <c r="AQ76" s="10">
        <v>135710047.19999999</v>
      </c>
      <c r="AR76" s="11">
        <v>3.3566985039300001E-3</v>
      </c>
      <c r="AS76" s="11">
        <v>0.09</v>
      </c>
      <c r="AT76" s="11">
        <v>8.6599999999999996E-2</v>
      </c>
      <c r="AU76" s="10">
        <v>490206772.58999997</v>
      </c>
      <c r="AV76" s="11">
        <v>1.1160964009919999E-2</v>
      </c>
      <c r="AW76" s="11">
        <v>0.09</v>
      </c>
      <c r="AX76" s="11">
        <v>7.8799999999999995E-2</v>
      </c>
      <c r="AY76" s="10">
        <v>8788767803.1200008</v>
      </c>
      <c r="AZ76" s="11">
        <v>1.240857611971E-2</v>
      </c>
      <c r="BA76" s="11">
        <v>0.09</v>
      </c>
      <c r="BB76" s="11">
        <v>7.7600000000000002E-2</v>
      </c>
    </row>
    <row r="77" spans="1:54" s="7" customFormat="1">
      <c r="A77" s="3" t="s">
        <v>67</v>
      </c>
      <c r="B77" s="31" t="s">
        <v>37</v>
      </c>
      <c r="C77" s="2" t="s">
        <v>26</v>
      </c>
      <c r="D77" s="1" t="s">
        <v>26</v>
      </c>
      <c r="E77" s="1" t="s">
        <v>26</v>
      </c>
      <c r="F77" s="1" t="s">
        <v>26</v>
      </c>
      <c r="G77" s="2">
        <v>2657699432.8099999</v>
      </c>
      <c r="H77" s="1">
        <v>1</v>
      </c>
      <c r="I77" s="1" t="s">
        <v>26</v>
      </c>
      <c r="J77" s="1" t="s">
        <v>26</v>
      </c>
      <c r="K77" s="2" t="s">
        <v>26</v>
      </c>
      <c r="L77" s="1" t="s">
        <v>26</v>
      </c>
      <c r="M77" s="1" t="s">
        <v>26</v>
      </c>
      <c r="N77" s="1" t="s">
        <v>26</v>
      </c>
      <c r="O77" s="2">
        <v>2237148212.6399999</v>
      </c>
      <c r="P77" s="1">
        <v>1</v>
      </c>
      <c r="Q77" s="1" t="s">
        <v>26</v>
      </c>
      <c r="R77" s="1" t="s">
        <v>26</v>
      </c>
      <c r="S77" s="2">
        <v>1400583040.26</v>
      </c>
      <c r="T77" s="1">
        <v>1</v>
      </c>
      <c r="U77" s="1" t="s">
        <v>26</v>
      </c>
      <c r="V77" s="1" t="s">
        <v>26</v>
      </c>
      <c r="W77" s="2" t="s">
        <v>26</v>
      </c>
      <c r="X77" s="1" t="s">
        <v>26</v>
      </c>
      <c r="Y77" s="1" t="s">
        <v>26</v>
      </c>
      <c r="Z77" s="1" t="s">
        <v>26</v>
      </c>
      <c r="AA77" s="2">
        <v>1867420297.6199999</v>
      </c>
      <c r="AB77" s="1">
        <v>1</v>
      </c>
      <c r="AC77" s="1" t="s">
        <v>26</v>
      </c>
      <c r="AD77" s="1" t="s">
        <v>26</v>
      </c>
      <c r="AE77" s="2">
        <v>8162850983.3299999</v>
      </c>
      <c r="AF77" s="1">
        <v>1</v>
      </c>
      <c r="AG77" s="1" t="s">
        <v>26</v>
      </c>
      <c r="AH77" s="1" t="s">
        <v>26</v>
      </c>
      <c r="AI77" s="2">
        <v>16639111.390000001</v>
      </c>
      <c r="AJ77" s="1">
        <v>1</v>
      </c>
      <c r="AK77" s="1" t="s">
        <v>26</v>
      </c>
      <c r="AL77" s="1" t="s">
        <v>26</v>
      </c>
      <c r="AM77" s="2">
        <v>119070935.81</v>
      </c>
      <c r="AN77" s="1">
        <v>1</v>
      </c>
      <c r="AO77" s="1" t="s">
        <v>26</v>
      </c>
      <c r="AP77" s="1" t="s">
        <v>26</v>
      </c>
      <c r="AQ77" s="2">
        <v>135710047.19999999</v>
      </c>
      <c r="AR77" s="1">
        <v>1</v>
      </c>
      <c r="AS77" s="1" t="s">
        <v>26</v>
      </c>
      <c r="AT77" s="1" t="s">
        <v>26</v>
      </c>
      <c r="AU77" s="2">
        <v>490206772.58999997</v>
      </c>
      <c r="AV77" s="1">
        <v>1</v>
      </c>
      <c r="AW77" s="1" t="s">
        <v>26</v>
      </c>
      <c r="AX77" s="1" t="s">
        <v>26</v>
      </c>
      <c r="AY77" s="2">
        <v>8788767803.1200008</v>
      </c>
      <c r="AZ77" s="1">
        <v>1</v>
      </c>
      <c r="BA77" s="1" t="s">
        <v>26</v>
      </c>
      <c r="BB77" s="1" t="s">
        <v>26</v>
      </c>
    </row>
    <row r="78" spans="1:54" s="7" customFormat="1">
      <c r="A78" s="5" t="s">
        <v>71</v>
      </c>
      <c r="B78" s="24" t="s">
        <v>25</v>
      </c>
      <c r="C78" s="10">
        <v>87713633.609999999</v>
      </c>
      <c r="D78" s="11">
        <v>1.460395767434E-2</v>
      </c>
      <c r="E78" s="11">
        <v>0.08</v>
      </c>
      <c r="F78" s="11">
        <v>6.54E-2</v>
      </c>
      <c r="G78" s="10">
        <v>223052209.28999999</v>
      </c>
      <c r="H78" s="11">
        <v>1.5233824598500001E-3</v>
      </c>
      <c r="I78" s="11">
        <v>0.08</v>
      </c>
      <c r="J78" s="11">
        <v>7.85E-2</v>
      </c>
      <c r="K78" s="10">
        <v>105576758.91</v>
      </c>
      <c r="L78" s="11">
        <v>3.7706560728732713E-2</v>
      </c>
      <c r="M78" s="11">
        <v>0.08</v>
      </c>
      <c r="N78" s="11">
        <v>4.24E-2</v>
      </c>
      <c r="O78" s="10">
        <v>2750987634.54</v>
      </c>
      <c r="P78" s="11">
        <v>1.2589321954229999E-2</v>
      </c>
      <c r="Q78" s="11">
        <v>0.08</v>
      </c>
      <c r="R78" s="11">
        <v>6.7400000000000002E-2</v>
      </c>
      <c r="S78" s="10">
        <v>2901937082.4899998</v>
      </c>
      <c r="T78" s="11">
        <v>2.6560668647779999E-2</v>
      </c>
      <c r="U78" s="11">
        <v>0.08</v>
      </c>
      <c r="V78" s="11">
        <v>5.3400000000000003E-2</v>
      </c>
      <c r="W78" s="10" t="s">
        <v>26</v>
      </c>
      <c r="X78" s="11" t="s">
        <v>26</v>
      </c>
      <c r="Y78" s="11" t="s">
        <v>26</v>
      </c>
      <c r="Z78" s="11" t="s">
        <v>26</v>
      </c>
      <c r="AA78" s="10">
        <v>1891124278.24</v>
      </c>
      <c r="AB78" s="11">
        <v>1.4021260590710001E-2</v>
      </c>
      <c r="AC78" s="11">
        <v>0.08</v>
      </c>
      <c r="AD78" s="11">
        <v>6.6000000000000003E-2</v>
      </c>
      <c r="AE78" s="10">
        <v>7960391597.0799999</v>
      </c>
      <c r="AF78" s="11">
        <v>1.275845742587E-2</v>
      </c>
      <c r="AG78" s="11">
        <v>0.08</v>
      </c>
      <c r="AH78" s="11">
        <v>6.7199999999999996E-2</v>
      </c>
      <c r="AI78" s="10">
        <v>618368749.76999998</v>
      </c>
      <c r="AJ78" s="11">
        <v>3.6740324701040002E-2</v>
      </c>
      <c r="AK78" s="11">
        <v>0.08</v>
      </c>
      <c r="AL78" s="11">
        <v>4.3299999999999998E-2</v>
      </c>
      <c r="AM78" s="10">
        <v>1695786873.46</v>
      </c>
      <c r="AN78" s="11">
        <v>7.1858941456980005E-2</v>
      </c>
      <c r="AO78" s="11">
        <v>0.08</v>
      </c>
      <c r="AP78" s="11">
        <v>8.0999999999999996E-3</v>
      </c>
      <c r="AQ78" s="10">
        <v>2314155623.23</v>
      </c>
      <c r="AR78" s="11">
        <v>5.7239112936980002E-2</v>
      </c>
      <c r="AS78" s="11">
        <v>0.08</v>
      </c>
      <c r="AT78" s="11">
        <v>2.2800000000000001E-2</v>
      </c>
      <c r="AU78" s="10">
        <v>713898989.00999999</v>
      </c>
      <c r="AV78" s="11">
        <v>1.625395928531E-2</v>
      </c>
      <c r="AW78" s="11">
        <v>0.08</v>
      </c>
      <c r="AX78" s="11">
        <v>6.3700000000000007E-2</v>
      </c>
      <c r="AY78" s="10">
        <v>10988446209.32</v>
      </c>
      <c r="AZ78" s="11">
        <v>1.551423069537E-2</v>
      </c>
      <c r="BA78" s="11">
        <v>0.08</v>
      </c>
      <c r="BB78" s="11">
        <v>6.4500000000000002E-2</v>
      </c>
    </row>
    <row r="79" spans="1:54" s="7" customFormat="1">
      <c r="A79" s="3" t="s">
        <v>67</v>
      </c>
      <c r="B79" s="31" t="s">
        <v>56</v>
      </c>
      <c r="C79" s="2">
        <v>87713633.609999999</v>
      </c>
      <c r="D79" s="1">
        <v>1</v>
      </c>
      <c r="E79" s="1" t="s">
        <v>26</v>
      </c>
      <c r="F79" s="1" t="s">
        <v>26</v>
      </c>
      <c r="G79" s="2">
        <v>223052209.28999999</v>
      </c>
      <c r="H79" s="1">
        <v>1</v>
      </c>
      <c r="I79" s="1" t="s">
        <v>26</v>
      </c>
      <c r="J79" s="1" t="s">
        <v>26</v>
      </c>
      <c r="K79" s="2">
        <v>105576758.91</v>
      </c>
      <c r="L79" s="1">
        <v>1</v>
      </c>
      <c r="M79" s="1" t="s">
        <v>26</v>
      </c>
      <c r="N79" s="1" t="s">
        <v>26</v>
      </c>
      <c r="O79" s="2">
        <v>2750987634.54</v>
      </c>
      <c r="P79" s="1">
        <v>1</v>
      </c>
      <c r="Q79" s="1" t="s">
        <v>26</v>
      </c>
      <c r="R79" s="1" t="s">
        <v>26</v>
      </c>
      <c r="S79" s="2">
        <v>2901937082.4899998</v>
      </c>
      <c r="T79" s="1">
        <v>1</v>
      </c>
      <c r="U79" s="1" t="s">
        <v>26</v>
      </c>
      <c r="V79" s="1" t="s">
        <v>26</v>
      </c>
      <c r="W79" s="2" t="s">
        <v>26</v>
      </c>
      <c r="X79" s="1" t="s">
        <v>26</v>
      </c>
      <c r="Y79" s="1" t="s">
        <v>26</v>
      </c>
      <c r="Z79" s="1" t="s">
        <v>26</v>
      </c>
      <c r="AA79" s="2">
        <v>1891124278.24</v>
      </c>
      <c r="AB79" s="1">
        <v>1</v>
      </c>
      <c r="AC79" s="1" t="s">
        <v>26</v>
      </c>
      <c r="AD79" s="1" t="s">
        <v>26</v>
      </c>
      <c r="AE79" s="2">
        <v>7960391597.0799999</v>
      </c>
      <c r="AF79" s="1">
        <v>1</v>
      </c>
      <c r="AG79" s="1" t="s">
        <v>26</v>
      </c>
      <c r="AH79" s="1" t="s">
        <v>26</v>
      </c>
      <c r="AI79" s="2">
        <v>618368749.76999998</v>
      </c>
      <c r="AJ79" s="1">
        <v>1</v>
      </c>
      <c r="AK79" s="1" t="s">
        <v>26</v>
      </c>
      <c r="AL79" s="1" t="s">
        <v>26</v>
      </c>
      <c r="AM79" s="2">
        <v>1695786873.46</v>
      </c>
      <c r="AN79" s="1">
        <v>1</v>
      </c>
      <c r="AO79" s="1" t="s">
        <v>26</v>
      </c>
      <c r="AP79" s="1" t="s">
        <v>26</v>
      </c>
      <c r="AQ79" s="2">
        <v>2314155623.23</v>
      </c>
      <c r="AR79" s="1">
        <v>1</v>
      </c>
      <c r="AS79" s="1" t="s">
        <v>26</v>
      </c>
      <c r="AT79" s="1" t="s">
        <v>26</v>
      </c>
      <c r="AU79" s="2">
        <v>713898989.00999999</v>
      </c>
      <c r="AV79" s="1">
        <v>1</v>
      </c>
      <c r="AW79" s="1" t="s">
        <v>26</v>
      </c>
      <c r="AX79" s="1" t="s">
        <v>26</v>
      </c>
      <c r="AY79" s="2">
        <v>10988446209.32</v>
      </c>
      <c r="AZ79" s="1">
        <v>1</v>
      </c>
      <c r="BA79" s="1" t="s">
        <v>26</v>
      </c>
      <c r="BB79" s="1" t="s">
        <v>26</v>
      </c>
    </row>
    <row r="80" spans="1:54" s="7" customFormat="1">
      <c r="A80" s="5" t="s">
        <v>72</v>
      </c>
      <c r="B80" s="24" t="s">
        <v>25</v>
      </c>
      <c r="C80" s="10">
        <v>91279097.299999997</v>
      </c>
      <c r="D80" s="11">
        <v>1.5197592650739999E-2</v>
      </c>
      <c r="E80" s="11">
        <v>0.08</v>
      </c>
      <c r="F80" s="11">
        <v>6.4799999999999996E-2</v>
      </c>
      <c r="G80" s="10">
        <v>864803543.19000006</v>
      </c>
      <c r="H80" s="11">
        <v>5.9063595608800003E-3</v>
      </c>
      <c r="I80" s="11">
        <v>0.08</v>
      </c>
      <c r="J80" s="11">
        <v>7.4099999999999999E-2</v>
      </c>
      <c r="K80" s="10">
        <v>106927537.69</v>
      </c>
      <c r="L80" s="11">
        <v>3.8188989083467226E-2</v>
      </c>
      <c r="M80" s="11">
        <v>0.08</v>
      </c>
      <c r="N80" s="11">
        <v>4.19E-2</v>
      </c>
      <c r="O80" s="10">
        <v>1846621426.1900001</v>
      </c>
      <c r="P80" s="11">
        <v>8.4506783563799998E-3</v>
      </c>
      <c r="Q80" s="11">
        <v>0.08</v>
      </c>
      <c r="R80" s="11">
        <v>7.1499999999999994E-2</v>
      </c>
      <c r="S80" s="10" t="s">
        <v>26</v>
      </c>
      <c r="T80" s="11" t="s">
        <v>26</v>
      </c>
      <c r="U80" s="11" t="s">
        <v>26</v>
      </c>
      <c r="V80" s="11" t="s">
        <v>26</v>
      </c>
      <c r="W80" s="10" t="s">
        <v>26</v>
      </c>
      <c r="X80" s="11" t="s">
        <v>26</v>
      </c>
      <c r="Y80" s="11" t="s">
        <v>26</v>
      </c>
      <c r="Z80" s="11" t="s">
        <v>26</v>
      </c>
      <c r="AA80" s="10" t="s">
        <v>26</v>
      </c>
      <c r="AB80" s="11" t="s">
        <v>26</v>
      </c>
      <c r="AC80" s="11" t="s">
        <v>26</v>
      </c>
      <c r="AD80" s="11" t="s">
        <v>26</v>
      </c>
      <c r="AE80" s="10">
        <v>2909631604.3699999</v>
      </c>
      <c r="AF80" s="11">
        <v>4.66339004766E-3</v>
      </c>
      <c r="AG80" s="11">
        <v>0.08</v>
      </c>
      <c r="AH80" s="11">
        <v>7.5300000000000006E-2</v>
      </c>
      <c r="AI80" s="10" t="s">
        <v>26</v>
      </c>
      <c r="AJ80" s="11" t="s">
        <v>26</v>
      </c>
      <c r="AK80" s="11" t="s">
        <v>26</v>
      </c>
      <c r="AL80" s="11" t="s">
        <v>26</v>
      </c>
      <c r="AM80" s="10">
        <v>374821390.14999998</v>
      </c>
      <c r="AN80" s="11">
        <v>1.588305037216E-2</v>
      </c>
      <c r="AO80" s="11">
        <v>0.08</v>
      </c>
      <c r="AP80" s="11">
        <v>6.4100000000000004E-2</v>
      </c>
      <c r="AQ80" s="10">
        <v>374821390.14999998</v>
      </c>
      <c r="AR80" s="11">
        <v>9.2709598553499997E-3</v>
      </c>
      <c r="AS80" s="11">
        <v>0.08</v>
      </c>
      <c r="AT80" s="11">
        <v>7.0699999999999999E-2</v>
      </c>
      <c r="AU80" s="10" t="s">
        <v>26</v>
      </c>
      <c r="AV80" s="11" t="s">
        <v>26</v>
      </c>
      <c r="AW80" s="11" t="s">
        <v>26</v>
      </c>
      <c r="AX80" s="11" t="s">
        <v>26</v>
      </c>
      <c r="AY80" s="10">
        <v>3284452994.52</v>
      </c>
      <c r="AZ80" s="11">
        <v>4.6372126226400003E-3</v>
      </c>
      <c r="BA80" s="11">
        <v>0.08</v>
      </c>
      <c r="BB80" s="11">
        <v>7.5399999999999995E-2</v>
      </c>
    </row>
    <row r="81" spans="1:54" s="7" customFormat="1">
      <c r="A81" s="3" t="s">
        <v>67</v>
      </c>
      <c r="B81" s="31" t="s">
        <v>56</v>
      </c>
      <c r="C81" s="2">
        <v>91279097.299999997</v>
      </c>
      <c r="D81" s="1">
        <v>1</v>
      </c>
      <c r="E81" s="1" t="s">
        <v>26</v>
      </c>
      <c r="F81" s="1" t="s">
        <v>26</v>
      </c>
      <c r="G81" s="2">
        <v>864803543.19000006</v>
      </c>
      <c r="H81" s="1">
        <v>1</v>
      </c>
      <c r="I81" s="1" t="s">
        <v>26</v>
      </c>
      <c r="J81" s="1" t="s">
        <v>26</v>
      </c>
      <c r="K81" s="2">
        <v>106927537.69</v>
      </c>
      <c r="L81" s="1">
        <v>1</v>
      </c>
      <c r="M81" s="1" t="s">
        <v>26</v>
      </c>
      <c r="N81" s="1" t="s">
        <v>26</v>
      </c>
      <c r="O81" s="2">
        <v>1846621426.1900001</v>
      </c>
      <c r="P81" s="1">
        <v>1</v>
      </c>
      <c r="Q81" s="1" t="s">
        <v>26</v>
      </c>
      <c r="R81" s="1" t="s">
        <v>26</v>
      </c>
      <c r="S81" s="2" t="s">
        <v>26</v>
      </c>
      <c r="T81" s="1" t="s">
        <v>26</v>
      </c>
      <c r="U81" s="1" t="s">
        <v>26</v>
      </c>
      <c r="V81" s="1" t="s">
        <v>26</v>
      </c>
      <c r="W81" s="2" t="s">
        <v>26</v>
      </c>
      <c r="X81" s="1" t="s">
        <v>26</v>
      </c>
      <c r="Y81" s="1" t="s">
        <v>26</v>
      </c>
      <c r="Z81" s="1" t="s">
        <v>26</v>
      </c>
      <c r="AA81" s="2" t="s">
        <v>26</v>
      </c>
      <c r="AB81" s="1" t="s">
        <v>26</v>
      </c>
      <c r="AC81" s="1" t="s">
        <v>26</v>
      </c>
      <c r="AD81" s="1" t="s">
        <v>26</v>
      </c>
      <c r="AE81" s="2">
        <v>2909631604.3699999</v>
      </c>
      <c r="AF81" s="1">
        <v>1</v>
      </c>
      <c r="AG81" s="1" t="s">
        <v>26</v>
      </c>
      <c r="AH81" s="1" t="s">
        <v>26</v>
      </c>
      <c r="AI81" s="2" t="s">
        <v>26</v>
      </c>
      <c r="AJ81" s="1" t="s">
        <v>26</v>
      </c>
      <c r="AK81" s="1" t="s">
        <v>26</v>
      </c>
      <c r="AL81" s="1" t="s">
        <v>26</v>
      </c>
      <c r="AM81" s="2">
        <v>374821390.14999998</v>
      </c>
      <c r="AN81" s="1">
        <v>1</v>
      </c>
      <c r="AO81" s="1" t="s">
        <v>26</v>
      </c>
      <c r="AP81" s="1" t="s">
        <v>26</v>
      </c>
      <c r="AQ81" s="2">
        <v>374821390.14999998</v>
      </c>
      <c r="AR81" s="1">
        <v>1</v>
      </c>
      <c r="AS81" s="1" t="s">
        <v>26</v>
      </c>
      <c r="AT81" s="1" t="s">
        <v>26</v>
      </c>
      <c r="AU81" s="2" t="s">
        <v>26</v>
      </c>
      <c r="AV81" s="1" t="s">
        <v>26</v>
      </c>
      <c r="AW81" s="1" t="s">
        <v>26</v>
      </c>
      <c r="AX81" s="1" t="s">
        <v>26</v>
      </c>
      <c r="AY81" s="2">
        <v>3284452994.52</v>
      </c>
      <c r="AZ81" s="1">
        <v>1</v>
      </c>
      <c r="BA81" s="1" t="s">
        <v>26</v>
      </c>
      <c r="BB81" s="1" t="s">
        <v>26</v>
      </c>
    </row>
    <row r="82" spans="1:54" s="7" customFormat="1">
      <c r="A82" s="5" t="s">
        <v>73</v>
      </c>
      <c r="B82" s="24" t="s">
        <v>25</v>
      </c>
      <c r="C82" s="10">
        <v>58614868.469999999</v>
      </c>
      <c r="D82" s="11">
        <v>9.7591334778000007E-3</v>
      </c>
      <c r="E82" s="11">
        <v>0.06</v>
      </c>
      <c r="F82" s="11">
        <v>5.0200000000000002E-2</v>
      </c>
      <c r="G82" s="10">
        <v>316961541.51999998</v>
      </c>
      <c r="H82" s="11">
        <v>2.1647561991699998E-3</v>
      </c>
      <c r="I82" s="11">
        <v>0.06</v>
      </c>
      <c r="J82" s="11">
        <v>5.7799999999999997E-2</v>
      </c>
      <c r="K82" s="10">
        <v>33710755.060000002</v>
      </c>
      <c r="L82" s="11">
        <v>1.2039739105506167E-2</v>
      </c>
      <c r="M82" s="11">
        <v>0.06</v>
      </c>
      <c r="N82" s="11">
        <v>4.8000000000000001E-2</v>
      </c>
      <c r="O82" s="10">
        <v>408558616.07999998</v>
      </c>
      <c r="P82" s="11">
        <v>1.8696834149399999E-3</v>
      </c>
      <c r="Q82" s="11">
        <v>0.06</v>
      </c>
      <c r="R82" s="11">
        <v>5.8099999999999999E-2</v>
      </c>
      <c r="S82" s="10">
        <v>129667402.91</v>
      </c>
      <c r="T82" s="11">
        <v>1.1868117141099999E-3</v>
      </c>
      <c r="U82" s="11">
        <v>0.06</v>
      </c>
      <c r="V82" s="11">
        <v>5.8799999999999998E-2</v>
      </c>
      <c r="W82" s="10" t="s">
        <v>26</v>
      </c>
      <c r="X82" s="11" t="s">
        <v>26</v>
      </c>
      <c r="Y82" s="11" t="s">
        <v>26</v>
      </c>
      <c r="Z82" s="11" t="s">
        <v>26</v>
      </c>
      <c r="AA82" s="10">
        <v>41446965.200000003</v>
      </c>
      <c r="AB82" s="11">
        <v>3.072979954E-4</v>
      </c>
      <c r="AC82" s="11">
        <v>0.06</v>
      </c>
      <c r="AD82" s="11">
        <v>5.9700000000000003E-2</v>
      </c>
      <c r="AE82" s="10">
        <v>988960149.24000001</v>
      </c>
      <c r="AF82" s="11">
        <v>1.5850483994499999E-3</v>
      </c>
      <c r="AG82" s="11">
        <v>0.06</v>
      </c>
      <c r="AH82" s="11">
        <v>5.8400000000000001E-2</v>
      </c>
      <c r="AI82" s="10">
        <v>231659793.25</v>
      </c>
      <c r="AJ82" s="11">
        <v>1.376404617366E-2</v>
      </c>
      <c r="AK82" s="11">
        <v>0.06</v>
      </c>
      <c r="AL82" s="11">
        <v>4.6199999999999998E-2</v>
      </c>
      <c r="AM82" s="10" t="s">
        <v>26</v>
      </c>
      <c r="AN82" s="11" t="s">
        <v>26</v>
      </c>
      <c r="AO82" s="11" t="s">
        <v>26</v>
      </c>
      <c r="AP82" s="11" t="s">
        <v>26</v>
      </c>
      <c r="AQ82" s="10">
        <v>231659793.25</v>
      </c>
      <c r="AR82" s="11">
        <v>5.7299521845799997E-3</v>
      </c>
      <c r="AS82" s="11">
        <v>0.06</v>
      </c>
      <c r="AT82" s="11">
        <v>5.4300000000000001E-2</v>
      </c>
      <c r="AU82" s="10" t="s">
        <v>26</v>
      </c>
      <c r="AV82" s="11" t="s">
        <v>26</v>
      </c>
      <c r="AW82" s="11" t="s">
        <v>26</v>
      </c>
      <c r="AX82" s="11" t="s">
        <v>26</v>
      </c>
      <c r="AY82" s="10">
        <v>1220619942.49</v>
      </c>
      <c r="AZ82" s="11">
        <v>1.7233536951800001E-3</v>
      </c>
      <c r="BA82" s="11">
        <v>0.06</v>
      </c>
      <c r="BB82" s="11">
        <v>5.8299999999999998E-2</v>
      </c>
    </row>
    <row r="83" spans="1:54" s="7" customFormat="1">
      <c r="A83" s="3" t="s">
        <v>67</v>
      </c>
      <c r="B83" s="31" t="s">
        <v>46</v>
      </c>
      <c r="C83" s="2">
        <v>58614868.469999999</v>
      </c>
      <c r="D83" s="1">
        <v>1</v>
      </c>
      <c r="E83" s="1" t="s">
        <v>26</v>
      </c>
      <c r="F83" s="1" t="s">
        <v>26</v>
      </c>
      <c r="G83" s="2">
        <v>316961541.51999998</v>
      </c>
      <c r="H83" s="1">
        <v>1</v>
      </c>
      <c r="I83" s="1" t="s">
        <v>26</v>
      </c>
      <c r="J83" s="1" t="s">
        <v>26</v>
      </c>
      <c r="K83" s="2">
        <v>33710755.060000002</v>
      </c>
      <c r="L83" s="1">
        <v>1</v>
      </c>
      <c r="M83" s="1" t="s">
        <v>26</v>
      </c>
      <c r="N83" s="1" t="s">
        <v>26</v>
      </c>
      <c r="O83" s="2">
        <v>408558616.07999998</v>
      </c>
      <c r="P83" s="1">
        <v>1</v>
      </c>
      <c r="Q83" s="1" t="s">
        <v>26</v>
      </c>
      <c r="R83" s="1" t="s">
        <v>26</v>
      </c>
      <c r="S83" s="2">
        <v>129667402.91</v>
      </c>
      <c r="T83" s="1">
        <v>1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>
        <v>41446965.200000003</v>
      </c>
      <c r="AB83" s="1">
        <v>1</v>
      </c>
      <c r="AC83" s="1" t="s">
        <v>26</v>
      </c>
      <c r="AD83" s="1" t="s">
        <v>26</v>
      </c>
      <c r="AE83" s="2">
        <v>988960149.24000001</v>
      </c>
      <c r="AF83" s="1">
        <v>1</v>
      </c>
      <c r="AG83" s="1" t="s">
        <v>26</v>
      </c>
      <c r="AH83" s="1" t="s">
        <v>26</v>
      </c>
      <c r="AI83" s="2">
        <v>231659793.25</v>
      </c>
      <c r="AJ83" s="1">
        <v>1</v>
      </c>
      <c r="AK83" s="1" t="s">
        <v>26</v>
      </c>
      <c r="AL83" s="1" t="s">
        <v>26</v>
      </c>
      <c r="AM83" s="2" t="s">
        <v>26</v>
      </c>
      <c r="AN83" s="1" t="s">
        <v>26</v>
      </c>
      <c r="AO83" s="1" t="s">
        <v>26</v>
      </c>
      <c r="AP83" s="1" t="s">
        <v>26</v>
      </c>
      <c r="AQ83" s="2">
        <v>231659793.25</v>
      </c>
      <c r="AR83" s="1">
        <v>1</v>
      </c>
      <c r="AS83" s="1" t="s">
        <v>26</v>
      </c>
      <c r="AT83" s="1" t="s">
        <v>26</v>
      </c>
      <c r="AU83" s="2" t="s">
        <v>26</v>
      </c>
      <c r="AV83" s="1" t="s">
        <v>26</v>
      </c>
      <c r="AW83" s="1" t="s">
        <v>26</v>
      </c>
      <c r="AX83" s="1" t="s">
        <v>26</v>
      </c>
      <c r="AY83" s="2">
        <v>1220619942.49</v>
      </c>
      <c r="AZ83" s="1">
        <v>1</v>
      </c>
      <c r="BA83" s="1" t="s">
        <v>26</v>
      </c>
      <c r="BB83" s="1" t="s">
        <v>26</v>
      </c>
    </row>
    <row r="84" spans="1:54" s="7" customFormat="1">
      <c r="A84" s="5" t="s">
        <v>74</v>
      </c>
      <c r="B84" s="24" t="s">
        <v>25</v>
      </c>
      <c r="C84" s="10">
        <v>12769469.98</v>
      </c>
      <c r="D84" s="11">
        <v>2.1260640043799998E-3</v>
      </c>
      <c r="E84" s="11">
        <v>0.06</v>
      </c>
      <c r="F84" s="11">
        <v>5.79E-2</v>
      </c>
      <c r="G84" s="10">
        <v>629457755.39999998</v>
      </c>
      <c r="H84" s="11">
        <v>4.2990154943900001E-3</v>
      </c>
      <c r="I84" s="11">
        <v>0.06</v>
      </c>
      <c r="J84" s="11">
        <v>5.57E-2</v>
      </c>
      <c r="K84" s="10" t="s">
        <v>26</v>
      </c>
      <c r="L84" s="11" t="s">
        <v>26</v>
      </c>
      <c r="M84" s="11" t="s">
        <v>26</v>
      </c>
      <c r="N84" s="11" t="s">
        <v>26</v>
      </c>
      <c r="O84" s="10">
        <v>384691250.69</v>
      </c>
      <c r="P84" s="11">
        <v>1.76045938815E-3</v>
      </c>
      <c r="Q84" s="11">
        <v>0.06</v>
      </c>
      <c r="R84" s="11">
        <v>5.8200000000000002E-2</v>
      </c>
      <c r="S84" s="10">
        <v>106995527.76000001</v>
      </c>
      <c r="T84" s="11">
        <v>9.7930198995999996E-4</v>
      </c>
      <c r="U84" s="11">
        <v>0.06</v>
      </c>
      <c r="V84" s="11">
        <v>5.8999999999999997E-2</v>
      </c>
      <c r="W84" s="10" t="s">
        <v>26</v>
      </c>
      <c r="X84" s="11" t="s">
        <v>26</v>
      </c>
      <c r="Y84" s="11" t="s">
        <v>26</v>
      </c>
      <c r="Z84" s="11" t="s">
        <v>26</v>
      </c>
      <c r="AA84" s="10">
        <v>153719910</v>
      </c>
      <c r="AB84" s="11">
        <v>1.13971722583E-3</v>
      </c>
      <c r="AC84" s="11">
        <v>0.06</v>
      </c>
      <c r="AD84" s="11">
        <v>5.8900000000000001E-2</v>
      </c>
      <c r="AE84" s="10">
        <v>1287633913.8299999</v>
      </c>
      <c r="AF84" s="11">
        <v>2.0637455167099999E-3</v>
      </c>
      <c r="AG84" s="11">
        <v>0.06</v>
      </c>
      <c r="AH84" s="11">
        <v>5.79E-2</v>
      </c>
      <c r="AI84" s="10">
        <v>116977427</v>
      </c>
      <c r="AJ84" s="11">
        <v>6.9502035027999998E-3</v>
      </c>
      <c r="AK84" s="11">
        <v>0.06</v>
      </c>
      <c r="AL84" s="11">
        <v>5.2999999999999999E-2</v>
      </c>
      <c r="AM84" s="10" t="s">
        <v>26</v>
      </c>
      <c r="AN84" s="11" t="s">
        <v>26</v>
      </c>
      <c r="AO84" s="11" t="s">
        <v>26</v>
      </c>
      <c r="AP84" s="11" t="s">
        <v>26</v>
      </c>
      <c r="AQ84" s="10">
        <v>116977427</v>
      </c>
      <c r="AR84" s="11">
        <v>2.89335949921E-3</v>
      </c>
      <c r="AS84" s="11">
        <v>0.06</v>
      </c>
      <c r="AT84" s="11">
        <v>5.7099999999999998E-2</v>
      </c>
      <c r="AU84" s="10" t="s">
        <v>26</v>
      </c>
      <c r="AV84" s="11" t="s">
        <v>26</v>
      </c>
      <c r="AW84" s="11" t="s">
        <v>26</v>
      </c>
      <c r="AX84" s="11" t="s">
        <v>26</v>
      </c>
      <c r="AY84" s="10">
        <v>1404611340.8299999</v>
      </c>
      <c r="AZ84" s="11">
        <v>1.9831251811099999E-3</v>
      </c>
      <c r="BA84" s="11">
        <v>0.06</v>
      </c>
      <c r="BB84" s="11">
        <v>5.8000000000000003E-2</v>
      </c>
    </row>
    <row r="85" spans="1:54" s="7" customFormat="1">
      <c r="A85" s="3" t="s">
        <v>67</v>
      </c>
      <c r="B85" s="31" t="s">
        <v>46</v>
      </c>
      <c r="C85" s="2">
        <v>12769469.98</v>
      </c>
      <c r="D85" s="1">
        <v>1</v>
      </c>
      <c r="E85" s="1" t="s">
        <v>26</v>
      </c>
      <c r="F85" s="1" t="s">
        <v>26</v>
      </c>
      <c r="G85" s="2">
        <v>629457755.39999998</v>
      </c>
      <c r="H85" s="1">
        <v>1</v>
      </c>
      <c r="I85" s="1" t="s">
        <v>26</v>
      </c>
      <c r="J85" s="1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>
        <v>384691250.69</v>
      </c>
      <c r="P85" s="1">
        <v>1</v>
      </c>
      <c r="Q85" s="1" t="s">
        <v>26</v>
      </c>
      <c r="R85" s="1" t="s">
        <v>26</v>
      </c>
      <c r="S85" s="2">
        <v>106995527.76000001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>
        <v>153719910</v>
      </c>
      <c r="AB85" s="1">
        <v>1</v>
      </c>
      <c r="AC85" s="1" t="s">
        <v>26</v>
      </c>
      <c r="AD85" s="1" t="s">
        <v>26</v>
      </c>
      <c r="AE85" s="2">
        <v>1287633913.8299999</v>
      </c>
      <c r="AF85" s="1">
        <v>1</v>
      </c>
      <c r="AG85" s="1" t="s">
        <v>26</v>
      </c>
      <c r="AH85" s="1" t="s">
        <v>26</v>
      </c>
      <c r="AI85" s="2">
        <v>116977427</v>
      </c>
      <c r="AJ85" s="1">
        <v>1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116977427</v>
      </c>
      <c r="AR85" s="1">
        <v>1</v>
      </c>
      <c r="AS85" s="1" t="s">
        <v>26</v>
      </c>
      <c r="AT85" s="1" t="s">
        <v>26</v>
      </c>
      <c r="AU85" s="2" t="s">
        <v>26</v>
      </c>
      <c r="AV85" s="1" t="s">
        <v>26</v>
      </c>
      <c r="AW85" s="1" t="s">
        <v>26</v>
      </c>
      <c r="AX85" s="1" t="s">
        <v>26</v>
      </c>
      <c r="AY85" s="2">
        <v>1404611340.8299999</v>
      </c>
      <c r="AZ85" s="1">
        <v>1</v>
      </c>
      <c r="BA85" s="1" t="s">
        <v>26</v>
      </c>
      <c r="BB85" s="1" t="s">
        <v>26</v>
      </c>
    </row>
    <row r="86" spans="1:54" s="7" customFormat="1">
      <c r="A86" s="13" t="s">
        <v>75</v>
      </c>
      <c r="B86" s="25" t="s">
        <v>25</v>
      </c>
      <c r="C86" s="55" t="s">
        <v>26</v>
      </c>
      <c r="D86" s="56" t="s">
        <v>26</v>
      </c>
      <c r="E86" s="56" t="s">
        <v>26</v>
      </c>
      <c r="F86" s="56" t="s">
        <v>26</v>
      </c>
      <c r="G86" s="55" t="s">
        <v>26</v>
      </c>
      <c r="H86" s="56" t="s">
        <v>26</v>
      </c>
      <c r="I86" s="56" t="s">
        <v>26</v>
      </c>
      <c r="J86" s="56" t="s">
        <v>26</v>
      </c>
      <c r="K86" s="55" t="s">
        <v>26</v>
      </c>
      <c r="L86" s="56" t="s">
        <v>26</v>
      </c>
      <c r="M86" s="56" t="s">
        <v>26</v>
      </c>
      <c r="N86" s="56" t="s">
        <v>26</v>
      </c>
      <c r="O86" s="55">
        <v>130565972.5</v>
      </c>
      <c r="P86" s="56">
        <v>5.9750797983999999E-4</v>
      </c>
      <c r="Q86" s="56" t="s">
        <v>26</v>
      </c>
      <c r="R86" s="56" t="s">
        <v>26</v>
      </c>
      <c r="S86" s="55">
        <v>243852830.84</v>
      </c>
      <c r="T86" s="56">
        <v>2.2319209737000001E-3</v>
      </c>
      <c r="U86" s="56" t="s">
        <v>26</v>
      </c>
      <c r="V86" s="56" t="s">
        <v>26</v>
      </c>
      <c r="W86" s="55" t="s">
        <v>26</v>
      </c>
      <c r="X86" s="56" t="s">
        <v>26</v>
      </c>
      <c r="Y86" s="56" t="s">
        <v>26</v>
      </c>
      <c r="Z86" s="56" t="s">
        <v>26</v>
      </c>
      <c r="AA86" s="55">
        <v>145189361.41999999</v>
      </c>
      <c r="AB86" s="56">
        <v>1.07646964025E-3</v>
      </c>
      <c r="AC86" s="56" t="s">
        <v>26</v>
      </c>
      <c r="AD86" s="56" t="s">
        <v>26</v>
      </c>
      <c r="AE86" s="55">
        <v>519608164.75999999</v>
      </c>
      <c r="AF86" s="56">
        <v>8.3279805614999995E-4</v>
      </c>
      <c r="AG86" s="56" t="s">
        <v>26</v>
      </c>
      <c r="AH86" s="56" t="s">
        <v>26</v>
      </c>
      <c r="AI86" s="55">
        <v>10896707.98</v>
      </c>
      <c r="AJ86" s="56">
        <v>6.4742694308000004E-4</v>
      </c>
      <c r="AK86" s="56" t="s">
        <v>26</v>
      </c>
      <c r="AL86" s="56" t="s">
        <v>26</v>
      </c>
      <c r="AM86" s="55" t="s">
        <v>26</v>
      </c>
      <c r="AN86" s="56" t="s">
        <v>26</v>
      </c>
      <c r="AO86" s="56" t="s">
        <v>26</v>
      </c>
      <c r="AP86" s="56" t="s">
        <v>26</v>
      </c>
      <c r="AQ86" s="55">
        <v>10896707.98</v>
      </c>
      <c r="AR86" s="56">
        <v>2.6952288448E-4</v>
      </c>
      <c r="AS86" s="56" t="s">
        <v>26</v>
      </c>
      <c r="AT86" s="56" t="s">
        <v>26</v>
      </c>
      <c r="AU86" s="55">
        <v>32690123.940000001</v>
      </c>
      <c r="AV86" s="56">
        <v>7.4428448805000005E-4</v>
      </c>
      <c r="AW86" s="56" t="s">
        <v>26</v>
      </c>
      <c r="AX86" s="56" t="s">
        <v>26</v>
      </c>
      <c r="AY86" s="55">
        <v>563194996.67999995</v>
      </c>
      <c r="AZ86" s="56">
        <v>7.9515674360000003E-4</v>
      </c>
      <c r="BA86" s="56" t="s">
        <v>26</v>
      </c>
      <c r="BB86" s="56" t="s">
        <v>26</v>
      </c>
    </row>
    <row r="87" spans="1:54" s="7" customFormat="1">
      <c r="A87" s="5" t="s">
        <v>76</v>
      </c>
      <c r="B87" s="24" t="s">
        <v>25</v>
      </c>
      <c r="C87" s="10" t="s">
        <v>26</v>
      </c>
      <c r="D87" s="11" t="s">
        <v>26</v>
      </c>
      <c r="E87" s="11" t="s">
        <v>26</v>
      </c>
      <c r="F87" s="11" t="s">
        <v>26</v>
      </c>
      <c r="G87" s="10" t="s">
        <v>26</v>
      </c>
      <c r="H87" s="11" t="s">
        <v>26</v>
      </c>
      <c r="I87" s="11" t="s">
        <v>26</v>
      </c>
      <c r="J87" s="11" t="s">
        <v>26</v>
      </c>
      <c r="K87" s="10" t="s">
        <v>26</v>
      </c>
      <c r="L87" s="11" t="s">
        <v>26</v>
      </c>
      <c r="M87" s="11" t="s">
        <v>26</v>
      </c>
      <c r="N87" s="11" t="s">
        <v>26</v>
      </c>
      <c r="O87" s="10" t="s">
        <v>26</v>
      </c>
      <c r="P87" s="11" t="s">
        <v>26</v>
      </c>
      <c r="Q87" s="11" t="s">
        <v>26</v>
      </c>
      <c r="R87" s="11" t="s">
        <v>26</v>
      </c>
      <c r="S87" s="10">
        <v>87173663.840000004</v>
      </c>
      <c r="T87" s="11">
        <v>7.9787767075999996E-4</v>
      </c>
      <c r="U87" s="11">
        <v>0.1</v>
      </c>
      <c r="V87" s="11">
        <v>9.9199999999999997E-2</v>
      </c>
      <c r="W87" s="10" t="s">
        <v>26</v>
      </c>
      <c r="X87" s="11" t="s">
        <v>26</v>
      </c>
      <c r="Y87" s="11" t="s">
        <v>26</v>
      </c>
      <c r="Z87" s="11" t="s">
        <v>26</v>
      </c>
      <c r="AA87" s="10" t="s">
        <v>26</v>
      </c>
      <c r="AB87" s="11" t="s">
        <v>26</v>
      </c>
      <c r="AC87" s="11" t="s">
        <v>26</v>
      </c>
      <c r="AD87" s="11" t="s">
        <v>26</v>
      </c>
      <c r="AE87" s="10">
        <v>87173663.840000004</v>
      </c>
      <c r="AF87" s="11">
        <v>1.3971693040000001E-4</v>
      </c>
      <c r="AG87" s="11">
        <v>0.1</v>
      </c>
      <c r="AH87" s="11">
        <v>9.9900000000000003E-2</v>
      </c>
      <c r="AI87" s="10">
        <v>10896707.98</v>
      </c>
      <c r="AJ87" s="11">
        <v>6.4742694308000004E-4</v>
      </c>
      <c r="AK87" s="11">
        <v>0.1</v>
      </c>
      <c r="AL87" s="11">
        <v>9.9400000000000002E-2</v>
      </c>
      <c r="AM87" s="10" t="s">
        <v>26</v>
      </c>
      <c r="AN87" s="11" t="s">
        <v>26</v>
      </c>
      <c r="AO87" s="11" t="s">
        <v>26</v>
      </c>
      <c r="AP87" s="11" t="s">
        <v>26</v>
      </c>
      <c r="AQ87" s="10">
        <v>10896707.98</v>
      </c>
      <c r="AR87" s="11">
        <v>2.6952288448E-4</v>
      </c>
      <c r="AS87" s="11">
        <v>0.1</v>
      </c>
      <c r="AT87" s="11">
        <v>9.9699999999999997E-2</v>
      </c>
      <c r="AU87" s="10">
        <v>32690123.940000001</v>
      </c>
      <c r="AV87" s="11">
        <v>7.4428448805000005E-4</v>
      </c>
      <c r="AW87" s="11">
        <v>0.1</v>
      </c>
      <c r="AX87" s="11">
        <v>9.9299999999999999E-2</v>
      </c>
      <c r="AY87" s="10">
        <v>130760495.76000001</v>
      </c>
      <c r="AZ87" s="11">
        <v>1.8461650159E-4</v>
      </c>
      <c r="BA87" s="11">
        <v>0.1</v>
      </c>
      <c r="BB87" s="11">
        <v>9.98E-2</v>
      </c>
    </row>
    <row r="88" spans="1:54" s="7" customFormat="1">
      <c r="A88" s="3" t="s">
        <v>77</v>
      </c>
      <c r="B88" s="31" t="s">
        <v>29</v>
      </c>
      <c r="C88" s="2" t="s">
        <v>26</v>
      </c>
      <c r="D88" s="1" t="s">
        <v>26</v>
      </c>
      <c r="E88" s="1" t="s">
        <v>26</v>
      </c>
      <c r="F88" s="1" t="s">
        <v>26</v>
      </c>
      <c r="G88" s="2" t="s">
        <v>26</v>
      </c>
      <c r="H88" s="1" t="s">
        <v>26</v>
      </c>
      <c r="I88" s="1" t="s">
        <v>26</v>
      </c>
      <c r="J88" s="1" t="s">
        <v>26</v>
      </c>
      <c r="K88" s="2" t="s">
        <v>26</v>
      </c>
      <c r="L88" s="1" t="s">
        <v>26</v>
      </c>
      <c r="M88" s="1" t="s">
        <v>26</v>
      </c>
      <c r="N88" s="1" t="s">
        <v>26</v>
      </c>
      <c r="O88" s="2" t="s">
        <v>26</v>
      </c>
      <c r="P88" s="1" t="s">
        <v>26</v>
      </c>
      <c r="Q88" s="1" t="s">
        <v>26</v>
      </c>
      <c r="R88" s="1" t="s">
        <v>26</v>
      </c>
      <c r="S88" s="2">
        <v>87173663.840000004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 t="s">
        <v>26</v>
      </c>
      <c r="AB88" s="1" t="s">
        <v>26</v>
      </c>
      <c r="AC88" s="1" t="s">
        <v>26</v>
      </c>
      <c r="AD88" s="1" t="s">
        <v>26</v>
      </c>
      <c r="AE88" s="2">
        <v>87173663.840000004</v>
      </c>
      <c r="AF88" s="1">
        <v>1</v>
      </c>
      <c r="AG88" s="1" t="s">
        <v>26</v>
      </c>
      <c r="AH88" s="1" t="s">
        <v>26</v>
      </c>
      <c r="AI88" s="2">
        <v>10896707.98</v>
      </c>
      <c r="AJ88" s="1">
        <v>1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>
        <v>10896707.98</v>
      </c>
      <c r="AR88" s="1">
        <v>1</v>
      </c>
      <c r="AS88" s="1" t="s">
        <v>26</v>
      </c>
      <c r="AT88" s="1" t="s">
        <v>26</v>
      </c>
      <c r="AU88" s="2">
        <v>32690123.940000001</v>
      </c>
      <c r="AV88" s="1">
        <v>1</v>
      </c>
      <c r="AW88" s="1" t="s">
        <v>26</v>
      </c>
      <c r="AX88" s="1" t="s">
        <v>26</v>
      </c>
      <c r="AY88" s="2">
        <v>130760495.76000001</v>
      </c>
      <c r="AZ88" s="1">
        <v>1</v>
      </c>
      <c r="BA88" s="1" t="s">
        <v>26</v>
      </c>
      <c r="BB88" s="1" t="s">
        <v>26</v>
      </c>
    </row>
    <row r="89" spans="1:54" s="7" customFormat="1">
      <c r="A89" s="5" t="s">
        <v>78</v>
      </c>
      <c r="B89" s="24" t="s">
        <v>25</v>
      </c>
      <c r="C89" s="10" t="s">
        <v>26</v>
      </c>
      <c r="D89" s="11" t="s">
        <v>26</v>
      </c>
      <c r="E89" s="11" t="s">
        <v>26</v>
      </c>
      <c r="F89" s="11" t="s">
        <v>26</v>
      </c>
      <c r="G89" s="10" t="s">
        <v>26</v>
      </c>
      <c r="H89" s="11" t="s">
        <v>26</v>
      </c>
      <c r="I89" s="11" t="s">
        <v>26</v>
      </c>
      <c r="J89" s="11" t="s">
        <v>26</v>
      </c>
      <c r="K89" s="10" t="s">
        <v>26</v>
      </c>
      <c r="L89" s="11" t="s">
        <v>26</v>
      </c>
      <c r="M89" s="11" t="s">
        <v>26</v>
      </c>
      <c r="N89" s="11" t="s">
        <v>26</v>
      </c>
      <c r="O89" s="10">
        <v>130565972.5</v>
      </c>
      <c r="P89" s="11">
        <v>5.9750797983999999E-4</v>
      </c>
      <c r="Q89" s="11">
        <v>0.09</v>
      </c>
      <c r="R89" s="11">
        <v>8.9399999999999993E-2</v>
      </c>
      <c r="S89" s="10">
        <v>156679167</v>
      </c>
      <c r="T89" s="11">
        <v>1.43404330294E-3</v>
      </c>
      <c r="U89" s="11">
        <v>0.09</v>
      </c>
      <c r="V89" s="11">
        <v>8.8599999999999998E-2</v>
      </c>
      <c r="W89" s="10" t="s">
        <v>26</v>
      </c>
      <c r="X89" s="11" t="s">
        <v>26</v>
      </c>
      <c r="Y89" s="11" t="s">
        <v>26</v>
      </c>
      <c r="Z89" s="11" t="s">
        <v>26</v>
      </c>
      <c r="AA89" s="10">
        <v>145189361.41999999</v>
      </c>
      <c r="AB89" s="11">
        <v>1.07646964025E-3</v>
      </c>
      <c r="AC89" s="11">
        <v>0.09</v>
      </c>
      <c r="AD89" s="11">
        <v>8.8900000000000007E-2</v>
      </c>
      <c r="AE89" s="10">
        <v>432434500.92000002</v>
      </c>
      <c r="AF89" s="11">
        <v>6.9308112574000002E-4</v>
      </c>
      <c r="AG89" s="11">
        <v>0.09</v>
      </c>
      <c r="AH89" s="11">
        <v>8.9300000000000004E-2</v>
      </c>
      <c r="AI89" s="10" t="s">
        <v>26</v>
      </c>
      <c r="AJ89" s="11" t="s">
        <v>26</v>
      </c>
      <c r="AK89" s="11" t="s">
        <v>26</v>
      </c>
      <c r="AL89" s="11" t="s">
        <v>26</v>
      </c>
      <c r="AM89" s="10" t="s">
        <v>26</v>
      </c>
      <c r="AN89" s="11" t="s">
        <v>26</v>
      </c>
      <c r="AO89" s="11" t="s">
        <v>26</v>
      </c>
      <c r="AP89" s="11" t="s">
        <v>26</v>
      </c>
      <c r="AQ89" s="10" t="s">
        <v>26</v>
      </c>
      <c r="AR89" s="11" t="s">
        <v>26</v>
      </c>
      <c r="AS89" s="11" t="s">
        <v>26</v>
      </c>
      <c r="AT89" s="11" t="s">
        <v>26</v>
      </c>
      <c r="AU89" s="10" t="s">
        <v>26</v>
      </c>
      <c r="AV89" s="11" t="s">
        <v>26</v>
      </c>
      <c r="AW89" s="11" t="s">
        <v>26</v>
      </c>
      <c r="AX89" s="11" t="s">
        <v>26</v>
      </c>
      <c r="AY89" s="10">
        <v>432434500.92000002</v>
      </c>
      <c r="AZ89" s="11">
        <v>6.1054024200999995E-4</v>
      </c>
      <c r="BA89" s="11">
        <v>0.09</v>
      </c>
      <c r="BB89" s="11">
        <v>8.9399999999999993E-2</v>
      </c>
    </row>
    <row r="90" spans="1:54" s="7" customFormat="1">
      <c r="A90" s="3" t="s">
        <v>77</v>
      </c>
      <c r="B90" s="31" t="s">
        <v>37</v>
      </c>
      <c r="C90" s="2" t="s">
        <v>26</v>
      </c>
      <c r="D90" s="1" t="s">
        <v>26</v>
      </c>
      <c r="E90" s="1" t="s">
        <v>26</v>
      </c>
      <c r="F90" s="1" t="s">
        <v>26</v>
      </c>
      <c r="G90" s="2" t="s">
        <v>26</v>
      </c>
      <c r="H90" s="1" t="s">
        <v>26</v>
      </c>
      <c r="I90" s="1" t="s">
        <v>26</v>
      </c>
      <c r="J90" s="1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>
        <v>130565972.5</v>
      </c>
      <c r="P90" s="1">
        <v>1</v>
      </c>
      <c r="Q90" s="1" t="s">
        <v>26</v>
      </c>
      <c r="R90" s="1" t="s">
        <v>26</v>
      </c>
      <c r="S90" s="2">
        <v>156679167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>
        <v>145189361.41999999</v>
      </c>
      <c r="AB90" s="1">
        <v>1</v>
      </c>
      <c r="AC90" s="1" t="s">
        <v>26</v>
      </c>
      <c r="AD90" s="1" t="s">
        <v>26</v>
      </c>
      <c r="AE90" s="2">
        <v>432434500.92000002</v>
      </c>
      <c r="AF90" s="1">
        <v>1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 t="s">
        <v>26</v>
      </c>
      <c r="AV90" s="1" t="s">
        <v>26</v>
      </c>
      <c r="AW90" s="1" t="s">
        <v>26</v>
      </c>
      <c r="AX90" s="1" t="s">
        <v>26</v>
      </c>
      <c r="AY90" s="2">
        <v>432434500.92000002</v>
      </c>
      <c r="AZ90" s="1">
        <v>1</v>
      </c>
      <c r="BA90" s="1" t="s">
        <v>26</v>
      </c>
      <c r="BB90" s="1" t="s">
        <v>26</v>
      </c>
    </row>
    <row r="91" spans="1:54" s="7" customFormat="1">
      <c r="A91" s="13" t="s">
        <v>79</v>
      </c>
      <c r="B91" s="25" t="s">
        <v>25</v>
      </c>
      <c r="C91" s="55" t="s">
        <v>26</v>
      </c>
      <c r="D91" s="56" t="s">
        <v>26</v>
      </c>
      <c r="E91" s="56" t="s">
        <v>26</v>
      </c>
      <c r="F91" s="56" t="s">
        <v>26</v>
      </c>
      <c r="G91" s="55">
        <v>685499478.29999995</v>
      </c>
      <c r="H91" s="56">
        <v>4.6817643492799996E-3</v>
      </c>
      <c r="I91" s="56">
        <v>0.05</v>
      </c>
      <c r="J91" s="56">
        <f>+I91-H91</f>
        <v>4.5318235650720004E-2</v>
      </c>
      <c r="K91" s="55">
        <v>23050010.600000001</v>
      </c>
      <c r="L91" s="56">
        <v>8.2322722676847603E-3</v>
      </c>
      <c r="M91" s="56">
        <v>0.05</v>
      </c>
      <c r="N91" s="56">
        <v>4.1767727732315241E-2</v>
      </c>
      <c r="O91" s="55">
        <v>1988063414.4200001</v>
      </c>
      <c r="P91" s="56">
        <v>9.0979581570299999E-3</v>
      </c>
      <c r="Q91" s="56">
        <v>0.05</v>
      </c>
      <c r="R91" s="56">
        <f>+Q91-P91</f>
        <v>4.0902041842969999E-2</v>
      </c>
      <c r="S91" s="55">
        <v>1279748695.1199999</v>
      </c>
      <c r="T91" s="56">
        <v>1.171320400039E-2</v>
      </c>
      <c r="U91" s="56">
        <v>0.05</v>
      </c>
      <c r="V91" s="56">
        <f>+U91-T91</f>
        <v>3.8286795999610004E-2</v>
      </c>
      <c r="W91" s="55" t="s">
        <v>26</v>
      </c>
      <c r="X91" s="56" t="s">
        <v>26</v>
      </c>
      <c r="Y91" s="56" t="s">
        <v>26</v>
      </c>
      <c r="Z91" s="56" t="s">
        <v>26</v>
      </c>
      <c r="AA91" s="55">
        <v>363046656.48000002</v>
      </c>
      <c r="AB91" s="56">
        <v>2.69171721587E-3</v>
      </c>
      <c r="AC91" s="56">
        <v>0.05</v>
      </c>
      <c r="AD91" s="56">
        <f>+AC91-AB91</f>
        <v>4.7308282784130004E-2</v>
      </c>
      <c r="AE91" s="55">
        <v>4339408254.9200001</v>
      </c>
      <c r="AF91" s="56">
        <v>6.9549537605899997E-3</v>
      </c>
      <c r="AG91" s="56">
        <v>0.05</v>
      </c>
      <c r="AH91" s="56">
        <f>+AG91-AF91</f>
        <v>4.3045046239410002E-2</v>
      </c>
      <c r="AI91" s="55" t="s">
        <v>26</v>
      </c>
      <c r="AJ91" s="56" t="s">
        <v>26</v>
      </c>
      <c r="AK91" s="56" t="s">
        <v>26</v>
      </c>
      <c r="AL91" s="56" t="s">
        <v>26</v>
      </c>
      <c r="AM91" s="55" t="s">
        <v>26</v>
      </c>
      <c r="AN91" s="56" t="s">
        <v>26</v>
      </c>
      <c r="AO91" s="56" t="s">
        <v>26</v>
      </c>
      <c r="AP91" s="56" t="s">
        <v>26</v>
      </c>
      <c r="AQ91" s="55" t="s">
        <v>26</v>
      </c>
      <c r="AR91" s="56" t="s">
        <v>26</v>
      </c>
      <c r="AS91" s="56" t="s">
        <v>26</v>
      </c>
      <c r="AT91" s="56" t="s">
        <v>26</v>
      </c>
      <c r="AU91" s="55">
        <v>624688542</v>
      </c>
      <c r="AV91" s="56">
        <v>1.4222827436339999E-2</v>
      </c>
      <c r="AW91" s="56">
        <v>0.05</v>
      </c>
      <c r="AX91" s="56">
        <f>+AW91-AV91</f>
        <v>3.5777172563660004E-2</v>
      </c>
      <c r="AY91" s="55">
        <v>4964096796.9200001</v>
      </c>
      <c r="AZ91" s="56">
        <v>7.0086472131300004E-3</v>
      </c>
      <c r="BA91" s="56">
        <v>0.05</v>
      </c>
      <c r="BB91" s="56">
        <f>+BA91-AZ91</f>
        <v>4.2991352786870003E-2</v>
      </c>
    </row>
    <row r="92" spans="1:54" s="7" customFormat="1">
      <c r="A92" s="5" t="s">
        <v>80</v>
      </c>
      <c r="B92" s="24" t="s">
        <v>25</v>
      </c>
      <c r="C92" s="10" t="s">
        <v>26</v>
      </c>
      <c r="D92" s="11" t="s">
        <v>26</v>
      </c>
      <c r="E92" s="11" t="s">
        <v>26</v>
      </c>
      <c r="F92" s="11" t="s">
        <v>26</v>
      </c>
      <c r="G92" s="10" t="s">
        <v>26</v>
      </c>
      <c r="H92" s="11" t="s">
        <v>26</v>
      </c>
      <c r="I92" s="11" t="s">
        <v>26</v>
      </c>
      <c r="J92" s="11" t="s">
        <v>26</v>
      </c>
      <c r="K92" s="10" t="s">
        <v>26</v>
      </c>
      <c r="L92" s="11" t="s">
        <v>26</v>
      </c>
      <c r="M92" s="11" t="s">
        <v>26</v>
      </c>
      <c r="N92" s="11" t="s">
        <v>26</v>
      </c>
      <c r="O92" s="10" t="s">
        <v>26</v>
      </c>
      <c r="P92" s="11" t="s">
        <v>26</v>
      </c>
      <c r="Q92" s="11" t="s">
        <v>26</v>
      </c>
      <c r="R92" s="11" t="s">
        <v>26</v>
      </c>
      <c r="S92" s="10">
        <v>588248377.04999995</v>
      </c>
      <c r="T92" s="11">
        <v>5.3840830387699998E-3</v>
      </c>
      <c r="U92" s="1" t="s">
        <v>26</v>
      </c>
      <c r="V92" s="1" t="s">
        <v>26</v>
      </c>
      <c r="W92" s="10" t="s">
        <v>26</v>
      </c>
      <c r="X92" s="11" t="s">
        <v>26</v>
      </c>
      <c r="Y92" s="11" t="s">
        <v>26</v>
      </c>
      <c r="Z92" s="11" t="s">
        <v>26</v>
      </c>
      <c r="AA92" s="10" t="s">
        <v>26</v>
      </c>
      <c r="AB92" s="11" t="s">
        <v>26</v>
      </c>
      <c r="AC92" s="11" t="s">
        <v>26</v>
      </c>
      <c r="AD92" s="11" t="s">
        <v>26</v>
      </c>
      <c r="AE92" s="10">
        <v>588248377.04999995</v>
      </c>
      <c r="AF92" s="11">
        <v>9.4281063725000004E-4</v>
      </c>
      <c r="AG92" s="11" t="s">
        <v>26</v>
      </c>
      <c r="AH92" s="11" t="s">
        <v>26</v>
      </c>
      <c r="AI92" s="10" t="s">
        <v>26</v>
      </c>
      <c r="AJ92" s="11" t="s">
        <v>26</v>
      </c>
      <c r="AK92" s="11" t="s">
        <v>26</v>
      </c>
      <c r="AL92" s="11" t="s">
        <v>26</v>
      </c>
      <c r="AM92" s="10" t="s">
        <v>26</v>
      </c>
      <c r="AN92" s="11" t="s">
        <v>26</v>
      </c>
      <c r="AO92" s="11" t="s">
        <v>26</v>
      </c>
      <c r="AP92" s="11" t="s">
        <v>26</v>
      </c>
      <c r="AQ92" s="10" t="s">
        <v>26</v>
      </c>
      <c r="AR92" s="11" t="s">
        <v>26</v>
      </c>
      <c r="AS92" s="11" t="s">
        <v>26</v>
      </c>
      <c r="AT92" s="11" t="s">
        <v>26</v>
      </c>
      <c r="AU92" s="10">
        <v>624688542</v>
      </c>
      <c r="AV92" s="11">
        <v>1.4222827436339999E-2</v>
      </c>
      <c r="AW92" s="11" t="s">
        <v>26</v>
      </c>
      <c r="AX92" s="11" t="s">
        <v>26</v>
      </c>
      <c r="AY92" s="10">
        <v>1212936919.05</v>
      </c>
      <c r="AZ92" s="11">
        <v>1.7125062836599999E-3</v>
      </c>
      <c r="BA92" s="11" t="s">
        <v>26</v>
      </c>
      <c r="BB92" s="11" t="s">
        <v>26</v>
      </c>
    </row>
    <row r="93" spans="1:54" s="7" customFormat="1">
      <c r="A93" s="3" t="s">
        <v>81</v>
      </c>
      <c r="B93" s="31" t="s">
        <v>37</v>
      </c>
      <c r="C93" s="2" t="s">
        <v>26</v>
      </c>
      <c r="D93" s="1" t="s">
        <v>26</v>
      </c>
      <c r="E93" s="1" t="s">
        <v>26</v>
      </c>
      <c r="F93" s="1" t="s">
        <v>26</v>
      </c>
      <c r="G93" s="2" t="s">
        <v>26</v>
      </c>
      <c r="H93" s="1" t="s">
        <v>26</v>
      </c>
      <c r="I93" s="1" t="s">
        <v>26</v>
      </c>
      <c r="J93" s="1" t="s">
        <v>26</v>
      </c>
      <c r="K93" s="2" t="s">
        <v>26</v>
      </c>
      <c r="L93" s="1" t="s">
        <v>26</v>
      </c>
      <c r="M93" s="1" t="s">
        <v>26</v>
      </c>
      <c r="N93" s="1" t="s">
        <v>26</v>
      </c>
      <c r="O93" s="2" t="s">
        <v>26</v>
      </c>
      <c r="P93" s="1" t="s">
        <v>26</v>
      </c>
      <c r="Q93" s="1" t="s">
        <v>26</v>
      </c>
      <c r="R93" s="1" t="s">
        <v>26</v>
      </c>
      <c r="S93" s="2">
        <v>588248377.04999995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 t="s">
        <v>26</v>
      </c>
      <c r="AB93" s="1" t="s">
        <v>26</v>
      </c>
      <c r="AC93" s="1" t="s">
        <v>26</v>
      </c>
      <c r="AD93" s="1" t="s">
        <v>26</v>
      </c>
      <c r="AE93" s="2">
        <v>588248377.04999995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>
        <v>624688542</v>
      </c>
      <c r="AV93" s="1">
        <v>1</v>
      </c>
      <c r="AW93" s="1" t="s">
        <v>26</v>
      </c>
      <c r="AX93" s="1" t="s">
        <v>26</v>
      </c>
      <c r="AY93" s="2">
        <v>1212936919.05</v>
      </c>
      <c r="AZ93" s="1">
        <v>1</v>
      </c>
      <c r="BA93" s="1" t="s">
        <v>26</v>
      </c>
      <c r="BB93" s="1" t="s">
        <v>26</v>
      </c>
    </row>
    <row r="94" spans="1:54" s="7" customFormat="1">
      <c r="A94" s="5" t="s">
        <v>82</v>
      </c>
      <c r="B94" s="24" t="s">
        <v>25</v>
      </c>
      <c r="C94" s="10" t="s">
        <v>26</v>
      </c>
      <c r="D94" s="11" t="s">
        <v>26</v>
      </c>
      <c r="E94" s="11" t="s">
        <v>26</v>
      </c>
      <c r="F94" s="11" t="s">
        <v>26</v>
      </c>
      <c r="G94" s="10">
        <v>685499478.29999995</v>
      </c>
      <c r="H94" s="11">
        <v>4.6817643492799996E-3</v>
      </c>
      <c r="I94" s="1" t="s">
        <v>26</v>
      </c>
      <c r="J94" s="1" t="s">
        <v>26</v>
      </c>
      <c r="K94" s="10">
        <v>23050010.600000001</v>
      </c>
      <c r="L94" s="11">
        <v>8.2150246600800007E-3</v>
      </c>
      <c r="M94" s="1" t="s">
        <v>26</v>
      </c>
      <c r="N94" s="1" t="s">
        <v>26</v>
      </c>
      <c r="O94" s="10">
        <v>1988063414.4200001</v>
      </c>
      <c r="P94" s="11">
        <v>9.0979581570299999E-3</v>
      </c>
      <c r="Q94" s="1" t="s">
        <v>26</v>
      </c>
      <c r="R94" s="1" t="s">
        <v>26</v>
      </c>
      <c r="S94" s="10">
        <v>691500318.07000005</v>
      </c>
      <c r="T94" s="11">
        <v>6.3291209616200004E-3</v>
      </c>
      <c r="U94" s="1" t="s">
        <v>26</v>
      </c>
      <c r="V94" s="1" t="s">
        <v>26</v>
      </c>
      <c r="W94" s="10" t="s">
        <v>26</v>
      </c>
      <c r="X94" s="11" t="s">
        <v>26</v>
      </c>
      <c r="Y94" s="11" t="s">
        <v>26</v>
      </c>
      <c r="Z94" s="11" t="s">
        <v>26</v>
      </c>
      <c r="AA94" s="10">
        <v>363046656.48000002</v>
      </c>
      <c r="AB94" s="11">
        <v>2.69171721587E-3</v>
      </c>
      <c r="AC94" s="1" t="s">
        <v>26</v>
      </c>
      <c r="AD94" s="1" t="s">
        <v>26</v>
      </c>
      <c r="AE94" s="10">
        <v>3751159877.8699999</v>
      </c>
      <c r="AF94" s="11">
        <v>6.01214312333E-3</v>
      </c>
      <c r="AG94" s="11" t="s">
        <v>26</v>
      </c>
      <c r="AH94" s="11" t="s">
        <v>26</v>
      </c>
      <c r="AI94" s="10" t="s">
        <v>26</v>
      </c>
      <c r="AJ94" s="11" t="s">
        <v>26</v>
      </c>
      <c r="AK94" s="11" t="s">
        <v>26</v>
      </c>
      <c r="AL94" s="11" t="s">
        <v>26</v>
      </c>
      <c r="AM94" s="10" t="s">
        <v>26</v>
      </c>
      <c r="AN94" s="11" t="s">
        <v>26</v>
      </c>
      <c r="AO94" s="11" t="s">
        <v>26</v>
      </c>
      <c r="AP94" s="11" t="s">
        <v>26</v>
      </c>
      <c r="AQ94" s="10" t="s">
        <v>26</v>
      </c>
      <c r="AR94" s="11" t="s">
        <v>26</v>
      </c>
      <c r="AS94" s="11" t="s">
        <v>26</v>
      </c>
      <c r="AT94" s="11" t="s">
        <v>26</v>
      </c>
      <c r="AU94" s="10" t="s">
        <v>26</v>
      </c>
      <c r="AV94" s="11" t="s">
        <v>26</v>
      </c>
      <c r="AW94" s="11" t="s">
        <v>26</v>
      </c>
      <c r="AX94" s="11" t="s">
        <v>26</v>
      </c>
      <c r="AY94" s="10">
        <v>3751159877.8699999</v>
      </c>
      <c r="AZ94" s="11">
        <v>5.2961409294699996E-3</v>
      </c>
      <c r="BA94" s="1" t="s">
        <v>26</v>
      </c>
      <c r="BB94" s="1" t="s">
        <v>26</v>
      </c>
    </row>
    <row r="95" spans="1:54" s="7" customFormat="1">
      <c r="A95" s="3" t="s">
        <v>83</v>
      </c>
      <c r="B95" s="31" t="s">
        <v>37</v>
      </c>
      <c r="C95" s="2" t="s">
        <v>26</v>
      </c>
      <c r="D95" s="1" t="s">
        <v>26</v>
      </c>
      <c r="E95" s="1" t="s">
        <v>26</v>
      </c>
      <c r="F95" s="1" t="s">
        <v>26</v>
      </c>
      <c r="G95" s="2">
        <v>685499478.29999995</v>
      </c>
      <c r="H95" s="1">
        <v>1</v>
      </c>
      <c r="I95" s="1" t="s">
        <v>26</v>
      </c>
      <c r="J95" s="1" t="s">
        <v>26</v>
      </c>
      <c r="K95" s="2">
        <v>23050010.600000001</v>
      </c>
      <c r="L95" s="1">
        <v>1</v>
      </c>
      <c r="M95" s="1" t="s">
        <v>26</v>
      </c>
      <c r="N95" s="1" t="s">
        <v>26</v>
      </c>
      <c r="O95" s="2">
        <v>1988063414.4200001</v>
      </c>
      <c r="P95" s="1">
        <v>1</v>
      </c>
      <c r="Q95" s="1" t="s">
        <v>26</v>
      </c>
      <c r="R95" s="1" t="s">
        <v>26</v>
      </c>
      <c r="S95" s="2">
        <v>691500318.07000005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363046656.48000002</v>
      </c>
      <c r="AB95" s="1">
        <v>1</v>
      </c>
      <c r="AC95" s="1" t="s">
        <v>26</v>
      </c>
      <c r="AD95" s="1" t="s">
        <v>26</v>
      </c>
      <c r="AE95" s="2">
        <v>3751159877.8699999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3751159877.8699999</v>
      </c>
      <c r="AZ95" s="1">
        <v>1</v>
      </c>
      <c r="BA95" s="1" t="s">
        <v>26</v>
      </c>
      <c r="BB95" s="1" t="s">
        <v>26</v>
      </c>
    </row>
    <row r="96" spans="1:54" s="7" customFormat="1">
      <c r="A96" s="13" t="s">
        <v>84</v>
      </c>
      <c r="B96" s="25" t="s">
        <v>25</v>
      </c>
      <c r="C96" s="55" t="s">
        <v>26</v>
      </c>
      <c r="D96" s="56" t="s">
        <v>26</v>
      </c>
      <c r="E96" s="56" t="s">
        <v>26</v>
      </c>
      <c r="F96" s="56" t="s">
        <v>26</v>
      </c>
      <c r="G96" s="55">
        <v>6695504791.2600002</v>
      </c>
      <c r="H96" s="56">
        <v>4.5728372704040003E-2</v>
      </c>
      <c r="I96" s="56">
        <v>0.15</v>
      </c>
      <c r="J96" s="56">
        <f>+I96-H96</f>
        <v>0.10427162729595998</v>
      </c>
      <c r="K96" s="55">
        <v>92474964.700000003</v>
      </c>
      <c r="L96" s="56">
        <v>3.3027277104806928E-2</v>
      </c>
      <c r="M96" s="56">
        <v>0.15</v>
      </c>
      <c r="N96" s="56">
        <v>0.11697272289519306</v>
      </c>
      <c r="O96" s="55">
        <v>23153974597.720001</v>
      </c>
      <c r="P96" s="56">
        <v>0.10595934240886</v>
      </c>
      <c r="Q96" s="56">
        <v>0.15</v>
      </c>
      <c r="R96" s="56">
        <f>+Q96-P96</f>
        <v>4.4040657591139995E-2</v>
      </c>
      <c r="S96" s="55">
        <v>4949230067.6999998</v>
      </c>
      <c r="T96" s="56">
        <v>4.5299004131749997E-2</v>
      </c>
      <c r="U96" s="56">
        <v>0.15</v>
      </c>
      <c r="V96" s="56">
        <f>+U96-T96</f>
        <v>0.10470099586824999</v>
      </c>
      <c r="W96" s="55" t="s">
        <v>26</v>
      </c>
      <c r="X96" s="56" t="s">
        <v>26</v>
      </c>
      <c r="Y96" s="56" t="s">
        <v>26</v>
      </c>
      <c r="Z96" s="56" t="s">
        <v>26</v>
      </c>
      <c r="AA96" s="55">
        <v>5882372098.1700001</v>
      </c>
      <c r="AB96" s="56">
        <v>4.3613353722439997E-2</v>
      </c>
      <c r="AC96" s="56">
        <v>0.15</v>
      </c>
      <c r="AD96" s="56">
        <f>+AC96-AB96</f>
        <v>0.10638664627756</v>
      </c>
      <c r="AE96" s="55">
        <v>40773556519.550003</v>
      </c>
      <c r="AF96" s="56">
        <v>6.5349509331499994E-2</v>
      </c>
      <c r="AG96" s="56">
        <v>0.15</v>
      </c>
      <c r="AH96" s="56">
        <f>+AG96-AF96</f>
        <v>8.46504906685E-2</v>
      </c>
      <c r="AI96" s="55" t="s">
        <v>26</v>
      </c>
      <c r="AJ96" s="56" t="s">
        <v>26</v>
      </c>
      <c r="AK96" s="56" t="s">
        <v>26</v>
      </c>
      <c r="AL96" s="56" t="s">
        <v>26</v>
      </c>
      <c r="AM96" s="55" t="s">
        <v>26</v>
      </c>
      <c r="AN96" s="56" t="s">
        <v>26</v>
      </c>
      <c r="AO96" s="56" t="s">
        <v>26</v>
      </c>
      <c r="AP96" s="56" t="s">
        <v>26</v>
      </c>
      <c r="AQ96" s="55" t="s">
        <v>26</v>
      </c>
      <c r="AR96" s="56" t="s">
        <v>26</v>
      </c>
      <c r="AS96" s="56" t="s">
        <v>26</v>
      </c>
      <c r="AT96" s="56" t="s">
        <v>26</v>
      </c>
      <c r="AU96" s="55">
        <v>1836022997.95</v>
      </c>
      <c r="AV96" s="56">
        <v>4.1802332703899998E-2</v>
      </c>
      <c r="AW96" s="56">
        <v>0.15</v>
      </c>
      <c r="AX96" s="56">
        <f>+AW96-AV96</f>
        <v>0.1081976672961</v>
      </c>
      <c r="AY96" s="55">
        <v>42609579517.5</v>
      </c>
      <c r="AZ96" s="56">
        <v>6.0159082901700002E-2</v>
      </c>
      <c r="BA96" s="56">
        <v>0.15</v>
      </c>
      <c r="BB96" s="56">
        <f>+BA96-AZ96</f>
        <v>8.9840917098299999E-2</v>
      </c>
    </row>
    <row r="97" spans="1:54" s="7" customFormat="1">
      <c r="A97" s="5" t="s">
        <v>85</v>
      </c>
      <c r="B97" s="24" t="s">
        <v>25</v>
      </c>
      <c r="C97" s="10" t="s">
        <v>26</v>
      </c>
      <c r="D97" s="11" t="s">
        <v>26</v>
      </c>
      <c r="E97" s="11" t="s">
        <v>26</v>
      </c>
      <c r="F97" s="11" t="s">
        <v>26</v>
      </c>
      <c r="G97" s="10">
        <v>528299628.31999999</v>
      </c>
      <c r="H97" s="11">
        <v>3.6081345703399999E-3</v>
      </c>
      <c r="I97" s="11" t="s">
        <v>26</v>
      </c>
      <c r="J97" s="11" t="s">
        <v>26</v>
      </c>
      <c r="K97" s="10">
        <v>62152897.450000003</v>
      </c>
      <c r="L97" s="11">
        <v>2.2197802114411601E-2</v>
      </c>
      <c r="M97" s="1" t="s">
        <v>26</v>
      </c>
      <c r="N97" s="1" t="s">
        <v>26</v>
      </c>
      <c r="O97" s="10" t="s">
        <v>26</v>
      </c>
      <c r="P97" s="11" t="s">
        <v>26</v>
      </c>
      <c r="Q97" s="11" t="s">
        <v>26</v>
      </c>
      <c r="R97" s="11" t="s">
        <v>26</v>
      </c>
      <c r="S97" s="10">
        <v>275450340.95999998</v>
      </c>
      <c r="T97" s="11">
        <v>2.5211246926400001E-3</v>
      </c>
      <c r="U97" s="11" t="s">
        <v>26</v>
      </c>
      <c r="V97" s="11" t="s">
        <v>26</v>
      </c>
      <c r="W97" s="10" t="s">
        <v>26</v>
      </c>
      <c r="X97" s="11" t="s">
        <v>26</v>
      </c>
      <c r="Y97" s="11" t="s">
        <v>26</v>
      </c>
      <c r="Z97" s="11" t="s">
        <v>26</v>
      </c>
      <c r="AA97" s="10">
        <v>221772838.63</v>
      </c>
      <c r="AB97" s="11">
        <v>1.64427837882E-3</v>
      </c>
      <c r="AC97" s="11" t="s">
        <v>26</v>
      </c>
      <c r="AD97" s="11" t="s">
        <v>26</v>
      </c>
      <c r="AE97" s="10">
        <v>1087675705.3599999</v>
      </c>
      <c r="AF97" s="11">
        <v>1.7432640104099999E-3</v>
      </c>
      <c r="AG97" s="11" t="s">
        <v>26</v>
      </c>
      <c r="AH97" s="11" t="s">
        <v>26</v>
      </c>
      <c r="AI97" s="10" t="s">
        <v>26</v>
      </c>
      <c r="AJ97" s="11" t="s">
        <v>26</v>
      </c>
      <c r="AK97" s="11" t="s">
        <v>26</v>
      </c>
      <c r="AL97" s="11" t="s">
        <v>26</v>
      </c>
      <c r="AM97" s="10" t="s">
        <v>26</v>
      </c>
      <c r="AN97" s="11" t="s">
        <v>26</v>
      </c>
      <c r="AO97" s="11" t="s">
        <v>26</v>
      </c>
      <c r="AP97" s="11" t="s">
        <v>26</v>
      </c>
      <c r="AQ97" s="10" t="s">
        <v>26</v>
      </c>
      <c r="AR97" s="11" t="s">
        <v>26</v>
      </c>
      <c r="AS97" s="11" t="s">
        <v>26</v>
      </c>
      <c r="AT97" s="11" t="s">
        <v>26</v>
      </c>
      <c r="AU97" s="10" t="s">
        <v>26</v>
      </c>
      <c r="AV97" s="11" t="s">
        <v>26</v>
      </c>
      <c r="AW97" s="11" t="s">
        <v>26</v>
      </c>
      <c r="AX97" s="11" t="s">
        <v>26</v>
      </c>
      <c r="AY97" s="10">
        <v>1087675705.3599999</v>
      </c>
      <c r="AZ97" s="11">
        <v>1.5356540400000001E-3</v>
      </c>
      <c r="BA97" s="11" t="s">
        <v>26</v>
      </c>
      <c r="BB97" s="11" t="s">
        <v>26</v>
      </c>
    </row>
    <row r="98" spans="1:54" s="7" customFormat="1">
      <c r="A98" s="3" t="s">
        <v>86</v>
      </c>
      <c r="B98" s="31" t="s">
        <v>46</v>
      </c>
      <c r="C98" s="2" t="s">
        <v>26</v>
      </c>
      <c r="D98" s="1" t="s">
        <v>26</v>
      </c>
      <c r="E98" s="1" t="s">
        <v>26</v>
      </c>
      <c r="F98" s="1" t="s">
        <v>26</v>
      </c>
      <c r="G98" s="2">
        <v>528299628.31999999</v>
      </c>
      <c r="H98" s="1">
        <v>1</v>
      </c>
      <c r="I98" s="11" t="s">
        <v>26</v>
      </c>
      <c r="J98" s="11" t="s">
        <v>26</v>
      </c>
      <c r="K98" s="2">
        <v>62152897.450000003</v>
      </c>
      <c r="L98" s="1">
        <v>1</v>
      </c>
      <c r="M98" s="1" t="s">
        <v>26</v>
      </c>
      <c r="N98" s="1" t="s">
        <v>26</v>
      </c>
      <c r="O98" s="2" t="s">
        <v>26</v>
      </c>
      <c r="P98" s="1" t="s">
        <v>26</v>
      </c>
      <c r="Q98" s="1" t="s">
        <v>26</v>
      </c>
      <c r="R98" s="1" t="s">
        <v>26</v>
      </c>
      <c r="S98" s="2">
        <v>275450340.95999998</v>
      </c>
      <c r="T98" s="1">
        <v>1</v>
      </c>
      <c r="U98" s="11" t="s">
        <v>26</v>
      </c>
      <c r="V98" s="1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2">
        <v>221772838.63</v>
      </c>
      <c r="AB98" s="1">
        <v>1</v>
      </c>
      <c r="AC98" s="11" t="s">
        <v>26</v>
      </c>
      <c r="AD98" s="11" t="s">
        <v>26</v>
      </c>
      <c r="AE98" s="2">
        <v>1087675705.3599999</v>
      </c>
      <c r="AF98" s="1">
        <v>1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2" t="s">
        <v>26</v>
      </c>
      <c r="AV98" s="1" t="s">
        <v>26</v>
      </c>
      <c r="AW98" s="1" t="s">
        <v>26</v>
      </c>
      <c r="AX98" s="1" t="s">
        <v>26</v>
      </c>
      <c r="AY98" s="2">
        <v>1087675705.3599999</v>
      </c>
      <c r="AZ98" s="1">
        <v>1</v>
      </c>
      <c r="BA98" s="11" t="s">
        <v>26</v>
      </c>
      <c r="BB98" s="11" t="s">
        <v>26</v>
      </c>
    </row>
    <row r="99" spans="1:54" s="7" customFormat="1">
      <c r="A99" s="5" t="s">
        <v>87</v>
      </c>
      <c r="B99" s="24" t="s">
        <v>25</v>
      </c>
      <c r="C99" s="10" t="s">
        <v>26</v>
      </c>
      <c r="D99" s="11" t="s">
        <v>26</v>
      </c>
      <c r="E99" s="11" t="s">
        <v>26</v>
      </c>
      <c r="F99" s="11" t="s">
        <v>26</v>
      </c>
      <c r="G99" s="10">
        <v>1894168404.55</v>
      </c>
      <c r="H99" s="11">
        <v>1.2936625611940001E-2</v>
      </c>
      <c r="I99" s="11" t="s">
        <v>26</v>
      </c>
      <c r="J99" s="11" t="s">
        <v>26</v>
      </c>
      <c r="K99" s="10" t="s">
        <v>26</v>
      </c>
      <c r="L99" s="11" t="s">
        <v>26</v>
      </c>
      <c r="M99" s="11" t="s">
        <v>26</v>
      </c>
      <c r="N99" s="11" t="s">
        <v>26</v>
      </c>
      <c r="O99" s="10">
        <v>3396731418.0700002</v>
      </c>
      <c r="P99" s="11">
        <v>1.554443388884E-2</v>
      </c>
      <c r="Q99" s="1" t="s">
        <v>26</v>
      </c>
      <c r="R99" s="1" t="s">
        <v>26</v>
      </c>
      <c r="S99" s="10">
        <v>1237919894.5799999</v>
      </c>
      <c r="T99" s="11">
        <v>1.1330355964930001E-2</v>
      </c>
      <c r="U99" s="11" t="s">
        <v>26</v>
      </c>
      <c r="V99" s="11" t="s">
        <v>26</v>
      </c>
      <c r="W99" s="10" t="s">
        <v>26</v>
      </c>
      <c r="X99" s="11" t="s">
        <v>26</v>
      </c>
      <c r="Y99" s="11" t="s">
        <v>26</v>
      </c>
      <c r="Z99" s="11" t="s">
        <v>26</v>
      </c>
      <c r="AA99" s="10">
        <v>1892960677.8299999</v>
      </c>
      <c r="AB99" s="11">
        <v>1.4034876109E-2</v>
      </c>
      <c r="AC99" s="11" t="s">
        <v>26</v>
      </c>
      <c r="AD99" s="11" t="s">
        <v>26</v>
      </c>
      <c r="AE99" s="10">
        <v>8421780395.0299997</v>
      </c>
      <c r="AF99" s="11">
        <v>1.3497944832190001E-2</v>
      </c>
      <c r="AG99" s="1" t="s">
        <v>26</v>
      </c>
      <c r="AH99" s="1" t="s">
        <v>26</v>
      </c>
      <c r="AI99" s="10" t="s">
        <v>26</v>
      </c>
      <c r="AJ99" s="11" t="s">
        <v>26</v>
      </c>
      <c r="AK99" s="11" t="s">
        <v>26</v>
      </c>
      <c r="AL99" s="11" t="s">
        <v>26</v>
      </c>
      <c r="AM99" s="10" t="s">
        <v>26</v>
      </c>
      <c r="AN99" s="11" t="s">
        <v>26</v>
      </c>
      <c r="AO99" s="11" t="s">
        <v>26</v>
      </c>
      <c r="AP99" s="11" t="s">
        <v>26</v>
      </c>
      <c r="AQ99" s="10" t="s">
        <v>26</v>
      </c>
      <c r="AR99" s="11" t="s">
        <v>26</v>
      </c>
      <c r="AS99" s="11" t="s">
        <v>26</v>
      </c>
      <c r="AT99" s="11" t="s">
        <v>26</v>
      </c>
      <c r="AU99" s="10">
        <v>310536734.52999997</v>
      </c>
      <c r="AV99" s="11">
        <v>7.0702599630300001E-3</v>
      </c>
      <c r="AW99" s="1" t="s">
        <v>26</v>
      </c>
      <c r="AX99" s="1" t="s">
        <v>26</v>
      </c>
      <c r="AY99" s="10">
        <v>8732317129.5599995</v>
      </c>
      <c r="AZ99" s="11">
        <v>1.232887524519E-2</v>
      </c>
      <c r="BA99" s="11" t="s">
        <v>26</v>
      </c>
      <c r="BB99" s="11" t="s">
        <v>26</v>
      </c>
    </row>
    <row r="100" spans="1:54" s="7" customFormat="1">
      <c r="A100" s="3" t="s">
        <v>86</v>
      </c>
      <c r="B100" s="31" t="s">
        <v>46</v>
      </c>
      <c r="C100" s="2" t="s">
        <v>26</v>
      </c>
      <c r="D100" s="1" t="s">
        <v>26</v>
      </c>
      <c r="E100" s="1" t="s">
        <v>26</v>
      </c>
      <c r="F100" s="1" t="s">
        <v>26</v>
      </c>
      <c r="G100" s="2">
        <v>1894168404.55</v>
      </c>
      <c r="H100" s="1">
        <v>1</v>
      </c>
      <c r="I100" s="11" t="s">
        <v>26</v>
      </c>
      <c r="J100" s="11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2">
        <v>3396731418.0700002</v>
      </c>
      <c r="P100" s="1">
        <v>1</v>
      </c>
      <c r="Q100" s="1" t="s">
        <v>26</v>
      </c>
      <c r="R100" s="1" t="s">
        <v>26</v>
      </c>
      <c r="S100" s="2">
        <v>1237919894.5799999</v>
      </c>
      <c r="T100" s="1">
        <v>1</v>
      </c>
      <c r="U100" s="11" t="s">
        <v>26</v>
      </c>
      <c r="V100" s="1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2">
        <v>1892960677.8299999</v>
      </c>
      <c r="AB100" s="1">
        <v>1</v>
      </c>
      <c r="AC100" s="11" t="s">
        <v>26</v>
      </c>
      <c r="AD100" s="11" t="s">
        <v>26</v>
      </c>
      <c r="AE100" s="2">
        <v>8421780395.0299997</v>
      </c>
      <c r="AF100" s="1">
        <v>1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>
        <v>310536734.52999997</v>
      </c>
      <c r="AV100" s="1">
        <v>1</v>
      </c>
      <c r="AW100" s="1" t="s">
        <v>26</v>
      </c>
      <c r="AX100" s="1" t="s">
        <v>26</v>
      </c>
      <c r="AY100" s="2">
        <v>8732317129.5599995</v>
      </c>
      <c r="AZ100" s="1">
        <v>1</v>
      </c>
      <c r="BA100" s="11" t="s">
        <v>26</v>
      </c>
      <c r="BB100" s="11" t="s">
        <v>26</v>
      </c>
    </row>
    <row r="101" spans="1:54" s="8" customFormat="1">
      <c r="A101" s="5" t="s">
        <v>88</v>
      </c>
      <c r="B101" s="24" t="s">
        <v>25</v>
      </c>
      <c r="C101" s="10" t="s">
        <v>26</v>
      </c>
      <c r="D101" s="11" t="s">
        <v>26</v>
      </c>
      <c r="E101" s="11" t="s">
        <v>26</v>
      </c>
      <c r="F101" s="11" t="s">
        <v>26</v>
      </c>
      <c r="G101" s="10">
        <v>1473994794.96</v>
      </c>
      <c r="H101" s="11">
        <v>1.006696066228E-2</v>
      </c>
      <c r="I101" s="11" t="s">
        <v>26</v>
      </c>
      <c r="J101" s="11" t="s">
        <v>26</v>
      </c>
      <c r="K101" s="10" t="s">
        <v>26</v>
      </c>
      <c r="L101" s="11" t="s">
        <v>26</v>
      </c>
      <c r="M101" s="11" t="s">
        <v>26</v>
      </c>
      <c r="N101" s="11" t="s">
        <v>26</v>
      </c>
      <c r="O101" s="10">
        <v>1417302687.47</v>
      </c>
      <c r="P101" s="11">
        <v>6.4859905639500001E-3</v>
      </c>
      <c r="Q101" s="1" t="s">
        <v>26</v>
      </c>
      <c r="R101" s="1" t="s">
        <v>26</v>
      </c>
      <c r="S101" s="10">
        <v>1417302687.47</v>
      </c>
      <c r="T101" s="11">
        <v>1.29721995982E-2</v>
      </c>
      <c r="U101" s="11" t="s">
        <v>26</v>
      </c>
      <c r="V101" s="11" t="s">
        <v>26</v>
      </c>
      <c r="W101" s="10" t="s">
        <v>26</v>
      </c>
      <c r="X101" s="11" t="s">
        <v>26</v>
      </c>
      <c r="Y101" s="11" t="s">
        <v>26</v>
      </c>
      <c r="Z101" s="11" t="s">
        <v>26</v>
      </c>
      <c r="AA101" s="10">
        <v>1359760198.3599999</v>
      </c>
      <c r="AB101" s="11">
        <v>1.008159659387E-2</v>
      </c>
      <c r="AC101" s="11" t="s">
        <v>26</v>
      </c>
      <c r="AD101" s="11" t="s">
        <v>26</v>
      </c>
      <c r="AE101" s="10">
        <v>5668360368.2600002</v>
      </c>
      <c r="AF101" s="11">
        <v>9.0849217090599992E-3</v>
      </c>
      <c r="AG101" s="1" t="s">
        <v>26</v>
      </c>
      <c r="AH101" s="1" t="s">
        <v>26</v>
      </c>
      <c r="AI101" s="10" t="s">
        <v>26</v>
      </c>
      <c r="AJ101" s="11" t="s">
        <v>26</v>
      </c>
      <c r="AK101" s="11" t="s">
        <v>26</v>
      </c>
      <c r="AL101" s="11" t="s">
        <v>26</v>
      </c>
      <c r="AM101" s="10" t="s">
        <v>26</v>
      </c>
      <c r="AN101" s="11" t="s">
        <v>26</v>
      </c>
      <c r="AO101" s="11" t="s">
        <v>26</v>
      </c>
      <c r="AP101" s="11" t="s">
        <v>26</v>
      </c>
      <c r="AQ101" s="10" t="s">
        <v>26</v>
      </c>
      <c r="AR101" s="11" t="s">
        <v>26</v>
      </c>
      <c r="AS101" s="11" t="s">
        <v>26</v>
      </c>
      <c r="AT101" s="11" t="s">
        <v>26</v>
      </c>
      <c r="AU101" s="10" t="s">
        <v>26</v>
      </c>
      <c r="AV101" s="11" t="s">
        <v>26</v>
      </c>
      <c r="AW101" s="1" t="s">
        <v>26</v>
      </c>
      <c r="AX101" s="1" t="s">
        <v>26</v>
      </c>
      <c r="AY101" s="10">
        <v>5668360368.2600002</v>
      </c>
      <c r="AZ101" s="11">
        <v>8.0029741004800006E-3</v>
      </c>
      <c r="BA101" s="11" t="s">
        <v>26</v>
      </c>
      <c r="BB101" s="11" t="s">
        <v>26</v>
      </c>
    </row>
    <row r="102" spans="1:54" s="7" customFormat="1">
      <c r="A102" s="3" t="s">
        <v>86</v>
      </c>
      <c r="B102" s="31" t="s">
        <v>46</v>
      </c>
      <c r="C102" s="2" t="s">
        <v>26</v>
      </c>
      <c r="D102" s="1" t="s">
        <v>26</v>
      </c>
      <c r="E102" s="1" t="s">
        <v>26</v>
      </c>
      <c r="F102" s="1" t="s">
        <v>26</v>
      </c>
      <c r="G102" s="2">
        <v>1473994794.96</v>
      </c>
      <c r="H102" s="1">
        <v>1</v>
      </c>
      <c r="I102" s="11" t="s">
        <v>26</v>
      </c>
      <c r="J102" s="11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2">
        <v>1417302687.47</v>
      </c>
      <c r="P102" s="1">
        <v>1</v>
      </c>
      <c r="Q102" s="1" t="s">
        <v>26</v>
      </c>
      <c r="R102" s="1" t="s">
        <v>26</v>
      </c>
      <c r="S102" s="2">
        <v>1417302687.47</v>
      </c>
      <c r="T102" s="1">
        <v>1</v>
      </c>
      <c r="U102" s="11" t="s">
        <v>26</v>
      </c>
      <c r="V102" s="1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22">
        <v>1359760198.3599999</v>
      </c>
      <c r="AB102" s="23">
        <v>1</v>
      </c>
      <c r="AC102" s="29" t="s">
        <v>26</v>
      </c>
      <c r="AD102" s="11" t="s">
        <v>26</v>
      </c>
      <c r="AE102" s="2">
        <v>5668360368.2600002</v>
      </c>
      <c r="AF102" s="1">
        <v>1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2" t="s">
        <v>26</v>
      </c>
      <c r="AV102" s="1" t="s">
        <v>26</v>
      </c>
      <c r="AW102" s="1" t="s">
        <v>26</v>
      </c>
      <c r="AX102" s="1" t="s">
        <v>26</v>
      </c>
      <c r="AY102" s="2">
        <v>5668360368.2600002</v>
      </c>
      <c r="AZ102" s="1">
        <v>1</v>
      </c>
      <c r="BA102" s="11" t="s">
        <v>26</v>
      </c>
      <c r="BB102" s="11" t="s">
        <v>26</v>
      </c>
    </row>
    <row r="103" spans="1:54" s="8" customFormat="1">
      <c r="A103" s="5" t="s">
        <v>89</v>
      </c>
      <c r="B103" s="24" t="s">
        <v>25</v>
      </c>
      <c r="C103" s="10" t="s">
        <v>26</v>
      </c>
      <c r="D103" s="11" t="s">
        <v>26</v>
      </c>
      <c r="E103" s="11" t="s">
        <v>26</v>
      </c>
      <c r="F103" s="11" t="s">
        <v>26</v>
      </c>
      <c r="G103" s="10" t="s">
        <v>26</v>
      </c>
      <c r="H103" s="11" t="s">
        <v>26</v>
      </c>
      <c r="I103" s="11" t="s">
        <v>26</v>
      </c>
      <c r="J103" s="11" t="s">
        <v>26</v>
      </c>
      <c r="K103" s="10" t="s">
        <v>26</v>
      </c>
      <c r="L103" s="11" t="s">
        <v>26</v>
      </c>
      <c r="M103" s="11" t="s">
        <v>26</v>
      </c>
      <c r="N103" s="11" t="s">
        <v>26</v>
      </c>
      <c r="O103" s="10">
        <v>3438279994.2800002</v>
      </c>
      <c r="P103" s="11">
        <v>1.5734572294439999E-2</v>
      </c>
      <c r="Q103" s="1" t="s">
        <v>26</v>
      </c>
      <c r="R103" s="1" t="s">
        <v>26</v>
      </c>
      <c r="S103" s="10">
        <v>617199272.97000003</v>
      </c>
      <c r="T103" s="11">
        <v>5.6490629924100004E-3</v>
      </c>
      <c r="U103" s="11" t="s">
        <v>26</v>
      </c>
      <c r="V103" s="11" t="s">
        <v>26</v>
      </c>
      <c r="W103" s="10" t="s">
        <v>26</v>
      </c>
      <c r="X103" s="11" t="s">
        <v>26</v>
      </c>
      <c r="Y103" s="11" t="s">
        <v>26</v>
      </c>
      <c r="Z103" s="11" t="s">
        <v>26</v>
      </c>
      <c r="AA103" s="10">
        <v>1234078516.6800001</v>
      </c>
      <c r="AB103" s="11">
        <v>9.1497616898400004E-3</v>
      </c>
      <c r="AC103" s="11" t="s">
        <v>26</v>
      </c>
      <c r="AD103" s="11" t="s">
        <v>26</v>
      </c>
      <c r="AE103" s="10">
        <v>5289557783.9300003</v>
      </c>
      <c r="AF103" s="11">
        <v>8.4777987320000005E-3</v>
      </c>
      <c r="AG103" s="1" t="s">
        <v>26</v>
      </c>
      <c r="AH103" s="1" t="s">
        <v>26</v>
      </c>
      <c r="AI103" s="10" t="s">
        <v>26</v>
      </c>
      <c r="AJ103" s="11" t="s">
        <v>26</v>
      </c>
      <c r="AK103" s="11" t="s">
        <v>26</v>
      </c>
      <c r="AL103" s="11" t="s">
        <v>26</v>
      </c>
      <c r="AM103" s="10" t="s">
        <v>26</v>
      </c>
      <c r="AN103" s="11" t="s">
        <v>26</v>
      </c>
      <c r="AO103" s="11" t="s">
        <v>26</v>
      </c>
      <c r="AP103" s="11" t="s">
        <v>26</v>
      </c>
      <c r="AQ103" s="10" t="s">
        <v>26</v>
      </c>
      <c r="AR103" s="11" t="s">
        <v>26</v>
      </c>
      <c r="AS103" s="11" t="s">
        <v>26</v>
      </c>
      <c r="AT103" s="11" t="s">
        <v>26</v>
      </c>
      <c r="AU103" s="10">
        <v>342888484.98000002</v>
      </c>
      <c r="AV103" s="11">
        <v>7.8068404074899999E-3</v>
      </c>
      <c r="AW103" s="1" t="s">
        <v>26</v>
      </c>
      <c r="AX103" s="1" t="s">
        <v>26</v>
      </c>
      <c r="AY103" s="10">
        <v>5632446268.9099998</v>
      </c>
      <c r="AZ103" s="11">
        <v>7.9522681488000003E-3</v>
      </c>
      <c r="BA103" s="11" t="s">
        <v>26</v>
      </c>
      <c r="BB103" s="11" t="s">
        <v>26</v>
      </c>
    </row>
    <row r="104" spans="1:54" s="7" customFormat="1">
      <c r="A104" s="3" t="s">
        <v>86</v>
      </c>
      <c r="B104" s="31" t="s">
        <v>46</v>
      </c>
      <c r="C104" s="2" t="s">
        <v>26</v>
      </c>
      <c r="D104" s="1" t="s">
        <v>26</v>
      </c>
      <c r="E104" s="1" t="s">
        <v>26</v>
      </c>
      <c r="F104" s="1" t="s">
        <v>26</v>
      </c>
      <c r="G104" s="2" t="s">
        <v>26</v>
      </c>
      <c r="H104" s="1" t="s">
        <v>26</v>
      </c>
      <c r="I104" s="11" t="s">
        <v>26</v>
      </c>
      <c r="J104" s="11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2">
        <v>3438279994.2800002</v>
      </c>
      <c r="P104" s="1">
        <v>1</v>
      </c>
      <c r="Q104" s="1" t="s">
        <v>26</v>
      </c>
      <c r="R104" s="1" t="s">
        <v>26</v>
      </c>
      <c r="S104" s="2">
        <v>617199272.97000003</v>
      </c>
      <c r="T104" s="1">
        <v>1</v>
      </c>
      <c r="U104" s="11" t="s">
        <v>26</v>
      </c>
      <c r="V104" s="1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>
        <v>1234078516.6800001</v>
      </c>
      <c r="AB104" s="1">
        <v>1</v>
      </c>
      <c r="AC104" s="11" t="s">
        <v>26</v>
      </c>
      <c r="AD104" s="11" t="s">
        <v>26</v>
      </c>
      <c r="AE104" s="2">
        <v>5289557783.9300003</v>
      </c>
      <c r="AF104" s="1">
        <v>1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>
        <v>342888484.98000002</v>
      </c>
      <c r="AV104" s="1">
        <v>1</v>
      </c>
      <c r="AW104" s="1" t="s">
        <v>26</v>
      </c>
      <c r="AX104" s="1" t="s">
        <v>26</v>
      </c>
      <c r="AY104" s="2">
        <v>5632446268.9099998</v>
      </c>
      <c r="AZ104" s="1">
        <v>1</v>
      </c>
      <c r="BA104" s="11" t="s">
        <v>26</v>
      </c>
      <c r="BB104" s="11" t="s">
        <v>26</v>
      </c>
    </row>
    <row r="105" spans="1:54" s="7" customFormat="1">
      <c r="A105" s="5" t="s">
        <v>106</v>
      </c>
      <c r="B105" s="24" t="s">
        <v>25</v>
      </c>
      <c r="C105" s="10" t="s">
        <v>26</v>
      </c>
      <c r="D105" s="11" t="s">
        <v>26</v>
      </c>
      <c r="E105" s="11" t="s">
        <v>26</v>
      </c>
      <c r="F105" s="11" t="s">
        <v>26</v>
      </c>
      <c r="G105" s="10" t="s">
        <v>26</v>
      </c>
      <c r="H105" s="11" t="s">
        <v>26</v>
      </c>
      <c r="I105" s="11" t="s">
        <v>26</v>
      </c>
      <c r="J105" s="11" t="s">
        <v>26</v>
      </c>
      <c r="K105" s="10" t="s">
        <v>26</v>
      </c>
      <c r="L105" s="11" t="s">
        <v>26</v>
      </c>
      <c r="M105" s="11" t="s">
        <v>26</v>
      </c>
      <c r="N105" s="11" t="s">
        <v>26</v>
      </c>
      <c r="O105" s="10">
        <v>654206403</v>
      </c>
      <c r="P105" s="11">
        <v>2.9938393500899998E-3</v>
      </c>
      <c r="Q105" s="1" t="s">
        <v>26</v>
      </c>
      <c r="R105" s="1" t="s">
        <v>26</v>
      </c>
      <c r="S105" s="10" t="s">
        <v>26</v>
      </c>
      <c r="T105" s="11" t="s">
        <v>26</v>
      </c>
      <c r="U105" s="11" t="s">
        <v>26</v>
      </c>
      <c r="V105" s="11" t="s">
        <v>26</v>
      </c>
      <c r="W105" s="10" t="s">
        <v>26</v>
      </c>
      <c r="X105" s="11" t="s">
        <v>26</v>
      </c>
      <c r="Y105" s="11" t="s">
        <v>26</v>
      </c>
      <c r="Z105" s="11" t="s">
        <v>26</v>
      </c>
      <c r="AA105" s="10" t="s">
        <v>26</v>
      </c>
      <c r="AB105" s="11" t="s">
        <v>26</v>
      </c>
      <c r="AC105" s="11" t="s">
        <v>26</v>
      </c>
      <c r="AD105" s="11" t="s">
        <v>26</v>
      </c>
      <c r="AE105" s="10">
        <v>654206403</v>
      </c>
      <c r="AF105" s="11">
        <v>1.0485243644899999E-3</v>
      </c>
      <c r="AG105" s="1" t="s">
        <v>26</v>
      </c>
      <c r="AH105" s="1" t="s">
        <v>26</v>
      </c>
      <c r="AI105" s="10" t="s">
        <v>26</v>
      </c>
      <c r="AJ105" s="11" t="s">
        <v>26</v>
      </c>
      <c r="AK105" s="11" t="s">
        <v>26</v>
      </c>
      <c r="AL105" s="11" t="s">
        <v>26</v>
      </c>
      <c r="AM105" s="10" t="s">
        <v>26</v>
      </c>
      <c r="AN105" s="11" t="s">
        <v>26</v>
      </c>
      <c r="AO105" s="11" t="s">
        <v>26</v>
      </c>
      <c r="AP105" s="11" t="s">
        <v>26</v>
      </c>
      <c r="AQ105" s="10" t="s">
        <v>26</v>
      </c>
      <c r="AR105" s="11" t="s">
        <v>26</v>
      </c>
      <c r="AS105" s="11" t="s">
        <v>26</v>
      </c>
      <c r="AT105" s="11" t="s">
        <v>26</v>
      </c>
      <c r="AU105" s="10" t="s">
        <v>26</v>
      </c>
      <c r="AV105" s="11" t="s">
        <v>26</v>
      </c>
      <c r="AW105" s="1" t="s">
        <v>26</v>
      </c>
      <c r="AX105" s="1" t="s">
        <v>26</v>
      </c>
      <c r="AY105" s="10">
        <v>654206403</v>
      </c>
      <c r="AZ105" s="11">
        <v>9.2365279542000001E-4</v>
      </c>
      <c r="BA105" s="11" t="s">
        <v>26</v>
      </c>
      <c r="BB105" s="11" t="s">
        <v>26</v>
      </c>
    </row>
    <row r="106" spans="1:54" s="7" customFormat="1">
      <c r="A106" s="3" t="s">
        <v>86</v>
      </c>
      <c r="B106" s="31" t="s">
        <v>46</v>
      </c>
      <c r="C106" s="2" t="s">
        <v>26</v>
      </c>
      <c r="D106" s="1" t="s">
        <v>26</v>
      </c>
      <c r="E106" s="1" t="s">
        <v>26</v>
      </c>
      <c r="F106" s="1" t="s">
        <v>26</v>
      </c>
      <c r="G106" s="2" t="s">
        <v>26</v>
      </c>
      <c r="H106" s="1" t="s">
        <v>26</v>
      </c>
      <c r="I106" s="11" t="s">
        <v>26</v>
      </c>
      <c r="J106" s="11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2">
        <v>654206403</v>
      </c>
      <c r="P106" s="1">
        <v>1</v>
      </c>
      <c r="Q106" s="1" t="s">
        <v>26</v>
      </c>
      <c r="R106" s="1" t="s">
        <v>26</v>
      </c>
      <c r="S106" s="2" t="s">
        <v>26</v>
      </c>
      <c r="T106" s="1" t="s">
        <v>26</v>
      </c>
      <c r="U106" s="11" t="s">
        <v>26</v>
      </c>
      <c r="V106" s="1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2" t="s">
        <v>26</v>
      </c>
      <c r="AB106" s="1" t="s">
        <v>26</v>
      </c>
      <c r="AC106" s="11" t="s">
        <v>26</v>
      </c>
      <c r="AD106" s="11" t="s">
        <v>26</v>
      </c>
      <c r="AE106" s="2">
        <v>654206403</v>
      </c>
      <c r="AF106" s="1">
        <v>1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 t="s">
        <v>26</v>
      </c>
      <c r="AV106" s="1" t="s">
        <v>26</v>
      </c>
      <c r="AW106" s="1" t="s">
        <v>26</v>
      </c>
      <c r="AX106" s="1" t="s">
        <v>26</v>
      </c>
      <c r="AY106" s="2">
        <v>654206403</v>
      </c>
      <c r="AZ106" s="1">
        <v>1</v>
      </c>
      <c r="BA106" s="11" t="s">
        <v>26</v>
      </c>
      <c r="BB106" s="11" t="s">
        <v>26</v>
      </c>
    </row>
    <row r="107" spans="1:54" s="7" customFormat="1">
      <c r="A107" s="5" t="s">
        <v>90</v>
      </c>
      <c r="B107" s="24" t="s">
        <v>25</v>
      </c>
      <c r="C107" s="10" t="s">
        <v>26</v>
      </c>
      <c r="D107" s="11" t="s">
        <v>26</v>
      </c>
      <c r="E107" s="11" t="s">
        <v>26</v>
      </c>
      <c r="F107" s="11" t="s">
        <v>26</v>
      </c>
      <c r="G107" s="10" t="s">
        <v>26</v>
      </c>
      <c r="H107" s="11" t="s">
        <v>26</v>
      </c>
      <c r="I107" s="11" t="s">
        <v>26</v>
      </c>
      <c r="J107" s="11" t="s">
        <v>26</v>
      </c>
      <c r="K107" s="10" t="s">
        <v>26</v>
      </c>
      <c r="L107" s="11" t="s">
        <v>26</v>
      </c>
      <c r="M107" s="11" t="s">
        <v>26</v>
      </c>
      <c r="N107" s="11" t="s">
        <v>26</v>
      </c>
      <c r="O107" s="10">
        <v>336280879.42000002</v>
      </c>
      <c r="P107" s="11">
        <v>1.5389194065900001E-3</v>
      </c>
      <c r="Q107" s="1" t="s">
        <v>26</v>
      </c>
      <c r="R107" s="1" t="s">
        <v>26</v>
      </c>
      <c r="S107" s="10" t="s">
        <v>26</v>
      </c>
      <c r="T107" s="11" t="s">
        <v>26</v>
      </c>
      <c r="U107" s="11" t="s">
        <v>26</v>
      </c>
      <c r="V107" s="11" t="s">
        <v>26</v>
      </c>
      <c r="W107" s="10" t="s">
        <v>26</v>
      </c>
      <c r="X107" s="11" t="s">
        <v>26</v>
      </c>
      <c r="Y107" s="11" t="s">
        <v>26</v>
      </c>
      <c r="Z107" s="11" t="s">
        <v>26</v>
      </c>
      <c r="AA107" s="10">
        <v>336280879.42000002</v>
      </c>
      <c r="AB107" s="11">
        <v>2.49326916072E-3</v>
      </c>
      <c r="AC107" s="11" t="s">
        <v>26</v>
      </c>
      <c r="AD107" s="11" t="s">
        <v>26</v>
      </c>
      <c r="AE107" s="10">
        <v>672561758.84000003</v>
      </c>
      <c r="AF107" s="11">
        <v>1.0779432722300001E-3</v>
      </c>
      <c r="AG107" s="1" t="s">
        <v>26</v>
      </c>
      <c r="AH107" s="1" t="s">
        <v>26</v>
      </c>
      <c r="AI107" s="10" t="s">
        <v>26</v>
      </c>
      <c r="AJ107" s="11" t="s">
        <v>26</v>
      </c>
      <c r="AK107" s="11" t="s">
        <v>26</v>
      </c>
      <c r="AL107" s="11" t="s">
        <v>26</v>
      </c>
      <c r="AM107" s="10" t="s">
        <v>26</v>
      </c>
      <c r="AN107" s="11" t="s">
        <v>26</v>
      </c>
      <c r="AO107" s="11" t="s">
        <v>26</v>
      </c>
      <c r="AP107" s="11" t="s">
        <v>26</v>
      </c>
      <c r="AQ107" s="10" t="s">
        <v>26</v>
      </c>
      <c r="AR107" s="11" t="s">
        <v>26</v>
      </c>
      <c r="AS107" s="11" t="s">
        <v>26</v>
      </c>
      <c r="AT107" s="11" t="s">
        <v>26</v>
      </c>
      <c r="AU107" s="10" t="s">
        <v>26</v>
      </c>
      <c r="AV107" s="11" t="s">
        <v>26</v>
      </c>
      <c r="AW107" s="1" t="s">
        <v>26</v>
      </c>
      <c r="AX107" s="1" t="s">
        <v>26</v>
      </c>
      <c r="AY107" s="10">
        <v>672561758.84000003</v>
      </c>
      <c r="AZ107" s="11">
        <v>9.4956812681000003E-4</v>
      </c>
      <c r="BA107" s="11" t="s">
        <v>26</v>
      </c>
      <c r="BB107" s="11" t="s">
        <v>26</v>
      </c>
    </row>
    <row r="108" spans="1:54" s="7" customFormat="1">
      <c r="A108" s="3" t="s">
        <v>86</v>
      </c>
      <c r="B108" s="31" t="s">
        <v>46</v>
      </c>
      <c r="C108" s="2" t="s">
        <v>26</v>
      </c>
      <c r="D108" s="1" t="s">
        <v>26</v>
      </c>
      <c r="E108" s="1" t="s">
        <v>26</v>
      </c>
      <c r="F108" s="1" t="s">
        <v>26</v>
      </c>
      <c r="G108" s="2" t="s">
        <v>26</v>
      </c>
      <c r="H108" s="1" t="s">
        <v>26</v>
      </c>
      <c r="I108" s="11" t="s">
        <v>26</v>
      </c>
      <c r="J108" s="11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2">
        <v>336280879.42000002</v>
      </c>
      <c r="P108" s="1">
        <v>1</v>
      </c>
      <c r="Q108" s="1" t="s">
        <v>26</v>
      </c>
      <c r="R108" s="1" t="s">
        <v>26</v>
      </c>
      <c r="S108" s="2" t="s">
        <v>26</v>
      </c>
      <c r="T108" s="1" t="s">
        <v>26</v>
      </c>
      <c r="U108" s="11" t="s">
        <v>26</v>
      </c>
      <c r="V108" s="1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>
        <v>336280879.42000002</v>
      </c>
      <c r="AB108" s="1">
        <v>1</v>
      </c>
      <c r="AC108" s="11" t="s">
        <v>26</v>
      </c>
      <c r="AD108" s="11" t="s">
        <v>26</v>
      </c>
      <c r="AE108" s="2">
        <v>672561758.84000003</v>
      </c>
      <c r="AF108" s="1">
        <v>1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2">
        <v>672561758.84000003</v>
      </c>
      <c r="AZ108" s="1">
        <v>1</v>
      </c>
      <c r="BA108" s="11" t="s">
        <v>26</v>
      </c>
      <c r="BB108" s="11" t="s">
        <v>26</v>
      </c>
    </row>
    <row r="109" spans="1:54" s="8" customFormat="1">
      <c r="A109" s="5" t="s">
        <v>118</v>
      </c>
      <c r="B109" s="24" t="s">
        <v>25</v>
      </c>
      <c r="C109" s="10" t="s">
        <v>26</v>
      </c>
      <c r="D109" s="11" t="s">
        <v>26</v>
      </c>
      <c r="E109" s="11" t="s">
        <v>26</v>
      </c>
      <c r="F109" s="11" t="s">
        <v>26</v>
      </c>
      <c r="G109" s="10" t="s">
        <v>26</v>
      </c>
      <c r="H109" s="11" t="s">
        <v>26</v>
      </c>
      <c r="I109" s="11" t="s">
        <v>26</v>
      </c>
      <c r="J109" s="11" t="s">
        <v>26</v>
      </c>
      <c r="K109" s="10" t="s">
        <v>26</v>
      </c>
      <c r="L109" s="11" t="s">
        <v>26</v>
      </c>
      <c r="M109" s="11" t="s">
        <v>26</v>
      </c>
      <c r="N109" s="11" t="s">
        <v>26</v>
      </c>
      <c r="O109" s="10">
        <v>4578716349.4899998</v>
      </c>
      <c r="P109" s="11">
        <v>2.095354175246E-2</v>
      </c>
      <c r="Q109" s="1" t="s">
        <v>26</v>
      </c>
      <c r="R109" s="1" t="s">
        <v>26</v>
      </c>
      <c r="S109" s="10" t="s">
        <v>26</v>
      </c>
      <c r="T109" s="11" t="s">
        <v>26</v>
      </c>
      <c r="U109" s="11" t="s">
        <v>26</v>
      </c>
      <c r="V109" s="11" t="s">
        <v>26</v>
      </c>
      <c r="W109" s="10" t="s">
        <v>26</v>
      </c>
      <c r="X109" s="11" t="s">
        <v>26</v>
      </c>
      <c r="Y109" s="11" t="s">
        <v>26</v>
      </c>
      <c r="Z109" s="11" t="s">
        <v>26</v>
      </c>
      <c r="AA109" s="10" t="s">
        <v>26</v>
      </c>
      <c r="AB109" s="11" t="s">
        <v>26</v>
      </c>
      <c r="AC109" s="11" t="s">
        <v>26</v>
      </c>
      <c r="AD109" s="11" t="s">
        <v>26</v>
      </c>
      <c r="AE109" s="10">
        <v>4578716349.4899998</v>
      </c>
      <c r="AF109" s="11">
        <v>7.3385029992099997E-3</v>
      </c>
      <c r="AG109" s="1" t="s">
        <v>26</v>
      </c>
      <c r="AH109" s="1" t="s">
        <v>26</v>
      </c>
      <c r="AI109" s="10" t="s">
        <v>26</v>
      </c>
      <c r="AJ109" s="11" t="s">
        <v>26</v>
      </c>
      <c r="AK109" s="11" t="s">
        <v>26</v>
      </c>
      <c r="AL109" s="11" t="s">
        <v>26</v>
      </c>
      <c r="AM109" s="10" t="s">
        <v>26</v>
      </c>
      <c r="AN109" s="11" t="s">
        <v>26</v>
      </c>
      <c r="AO109" s="11" t="s">
        <v>26</v>
      </c>
      <c r="AP109" s="11" t="s">
        <v>26</v>
      </c>
      <c r="AQ109" s="10" t="s">
        <v>26</v>
      </c>
      <c r="AR109" s="11" t="s">
        <v>26</v>
      </c>
      <c r="AS109" s="11" t="s">
        <v>26</v>
      </c>
      <c r="AT109" s="11" t="s">
        <v>26</v>
      </c>
      <c r="AU109" s="10" t="s">
        <v>26</v>
      </c>
      <c r="AV109" s="11" t="s">
        <v>26</v>
      </c>
      <c r="AW109" s="1" t="s">
        <v>26</v>
      </c>
      <c r="AX109" s="1" t="s">
        <v>26</v>
      </c>
      <c r="AY109" s="10">
        <v>4578716349.4899998</v>
      </c>
      <c r="AZ109" s="11">
        <v>6.46454106263E-3</v>
      </c>
      <c r="BA109" s="11" t="s">
        <v>26</v>
      </c>
      <c r="BB109" s="11" t="s">
        <v>26</v>
      </c>
    </row>
    <row r="110" spans="1:54" s="8" customFormat="1">
      <c r="A110" s="3" t="s">
        <v>86</v>
      </c>
      <c r="B110" s="31" t="s">
        <v>46</v>
      </c>
      <c r="C110" s="2" t="s">
        <v>26</v>
      </c>
      <c r="D110" s="1" t="s">
        <v>26</v>
      </c>
      <c r="E110" s="1" t="s">
        <v>26</v>
      </c>
      <c r="F110" s="1" t="s">
        <v>26</v>
      </c>
      <c r="G110" s="2" t="s">
        <v>26</v>
      </c>
      <c r="H110" s="1" t="s">
        <v>26</v>
      </c>
      <c r="I110" s="11" t="s">
        <v>26</v>
      </c>
      <c r="J110" s="11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>
        <v>4578716349.4899998</v>
      </c>
      <c r="P110" s="1">
        <v>1</v>
      </c>
      <c r="Q110" s="1" t="s">
        <v>26</v>
      </c>
      <c r="R110" s="1" t="s">
        <v>26</v>
      </c>
      <c r="S110" s="2" t="s">
        <v>26</v>
      </c>
      <c r="T110" s="1" t="s">
        <v>26</v>
      </c>
      <c r="U110" s="11" t="s">
        <v>26</v>
      </c>
      <c r="V110" s="1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1" t="s">
        <v>26</v>
      </c>
      <c r="AD110" s="11" t="s">
        <v>26</v>
      </c>
      <c r="AE110" s="2">
        <v>4578716349.4899998</v>
      </c>
      <c r="AF110" s="1">
        <v>1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2" t="s">
        <v>26</v>
      </c>
      <c r="AV110" s="1" t="s">
        <v>26</v>
      </c>
      <c r="AW110" s="1" t="s">
        <v>26</v>
      </c>
      <c r="AX110" s="1" t="s">
        <v>26</v>
      </c>
      <c r="AY110" s="2">
        <v>4578716349.4899998</v>
      </c>
      <c r="AZ110" s="1">
        <v>1</v>
      </c>
      <c r="BA110" s="11" t="s">
        <v>26</v>
      </c>
      <c r="BB110" s="11" t="s">
        <v>26</v>
      </c>
    </row>
    <row r="111" spans="1:54" s="7" customFormat="1" ht="14.25" customHeight="1">
      <c r="A111" s="5" t="s">
        <v>91</v>
      </c>
      <c r="B111" s="24" t="s">
        <v>25</v>
      </c>
      <c r="C111" s="10" t="s">
        <v>26</v>
      </c>
      <c r="D111" s="11" t="s">
        <v>26</v>
      </c>
      <c r="E111" s="11" t="s">
        <v>26</v>
      </c>
      <c r="F111" s="11" t="s">
        <v>26</v>
      </c>
      <c r="G111" s="10" t="s">
        <v>26</v>
      </c>
      <c r="H111" s="11" t="s">
        <v>26</v>
      </c>
      <c r="I111" s="11" t="s">
        <v>26</v>
      </c>
      <c r="J111" s="11" t="s">
        <v>26</v>
      </c>
      <c r="K111" s="10" t="s">
        <v>26</v>
      </c>
      <c r="L111" s="11" t="s">
        <v>26</v>
      </c>
      <c r="M111" s="11" t="s">
        <v>26</v>
      </c>
      <c r="N111" s="11" t="s">
        <v>26</v>
      </c>
      <c r="O111" s="10" t="s">
        <v>26</v>
      </c>
      <c r="P111" s="11" t="s">
        <v>26</v>
      </c>
      <c r="Q111" s="1" t="s">
        <v>26</v>
      </c>
      <c r="R111" s="1" t="s">
        <v>26</v>
      </c>
      <c r="S111" s="10">
        <v>140270539.37</v>
      </c>
      <c r="T111" s="11">
        <v>1.2838594398700001E-3</v>
      </c>
      <c r="U111" s="11" t="s">
        <v>26</v>
      </c>
      <c r="V111" s="11" t="s">
        <v>26</v>
      </c>
      <c r="W111" s="10" t="s">
        <v>26</v>
      </c>
      <c r="X111" s="11" t="s">
        <v>26</v>
      </c>
      <c r="Y111" s="11" t="s">
        <v>26</v>
      </c>
      <c r="Z111" s="11" t="s">
        <v>26</v>
      </c>
      <c r="AA111" s="10" t="s">
        <v>26</v>
      </c>
      <c r="AB111" s="11" t="s">
        <v>26</v>
      </c>
      <c r="AC111" s="11" t="s">
        <v>26</v>
      </c>
      <c r="AD111" s="11" t="s">
        <v>26</v>
      </c>
      <c r="AE111" s="10">
        <v>140270539.37</v>
      </c>
      <c r="AF111" s="11">
        <v>2.2481754608E-4</v>
      </c>
      <c r="AG111" s="1" t="s">
        <v>26</v>
      </c>
      <c r="AH111" s="1" t="s">
        <v>26</v>
      </c>
      <c r="AI111" s="10" t="s">
        <v>26</v>
      </c>
      <c r="AJ111" s="11" t="s">
        <v>26</v>
      </c>
      <c r="AK111" s="11" t="s">
        <v>26</v>
      </c>
      <c r="AL111" s="11" t="s">
        <v>26</v>
      </c>
      <c r="AM111" s="10" t="s">
        <v>26</v>
      </c>
      <c r="AN111" s="11" t="s">
        <v>26</v>
      </c>
      <c r="AO111" s="11" t="s">
        <v>26</v>
      </c>
      <c r="AP111" s="11" t="s">
        <v>26</v>
      </c>
      <c r="AQ111" s="10" t="s">
        <v>26</v>
      </c>
      <c r="AR111" s="11" t="s">
        <v>26</v>
      </c>
      <c r="AS111" s="11" t="s">
        <v>26</v>
      </c>
      <c r="AT111" s="11" t="s">
        <v>26</v>
      </c>
      <c r="AU111" s="10">
        <v>179689632.56</v>
      </c>
      <c r="AV111" s="11">
        <v>4.0911501719199999E-3</v>
      </c>
      <c r="AW111" s="1" t="s">
        <v>26</v>
      </c>
      <c r="AX111" s="1" t="s">
        <v>26</v>
      </c>
      <c r="AY111" s="10">
        <v>319960171.93000001</v>
      </c>
      <c r="AZ111" s="11">
        <v>4.5174138600999998E-4</v>
      </c>
      <c r="BA111" s="11" t="s">
        <v>26</v>
      </c>
      <c r="BB111" s="11" t="s">
        <v>26</v>
      </c>
    </row>
    <row r="112" spans="1:54" s="7" customFormat="1">
      <c r="A112" s="3" t="s">
        <v>86</v>
      </c>
      <c r="B112" s="31" t="s">
        <v>46</v>
      </c>
      <c r="C112" s="2" t="s">
        <v>26</v>
      </c>
      <c r="D112" s="1" t="s">
        <v>26</v>
      </c>
      <c r="E112" s="1" t="s">
        <v>26</v>
      </c>
      <c r="F112" s="1" t="s">
        <v>26</v>
      </c>
      <c r="G112" s="2" t="s">
        <v>26</v>
      </c>
      <c r="H112" s="1" t="s">
        <v>26</v>
      </c>
      <c r="I112" s="11" t="s">
        <v>26</v>
      </c>
      <c r="J112" s="11" t="s">
        <v>26</v>
      </c>
      <c r="K112" s="2" t="s">
        <v>26</v>
      </c>
      <c r="L112" s="1" t="s">
        <v>26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2">
        <v>140270539.37</v>
      </c>
      <c r="T112" s="1">
        <v>1</v>
      </c>
      <c r="U112" s="11" t="s">
        <v>26</v>
      </c>
      <c r="V112" s="1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1" t="s">
        <v>26</v>
      </c>
      <c r="AD112" s="11" t="s">
        <v>26</v>
      </c>
      <c r="AE112" s="2">
        <v>140270539.37</v>
      </c>
      <c r="AF112" s="1">
        <v>1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>
        <v>179689632.56</v>
      </c>
      <c r="AV112" s="1">
        <v>1</v>
      </c>
      <c r="AW112" s="1" t="s">
        <v>26</v>
      </c>
      <c r="AX112" s="1" t="s">
        <v>26</v>
      </c>
      <c r="AY112" s="2">
        <v>319960171.93000001</v>
      </c>
      <c r="AZ112" s="1">
        <v>1</v>
      </c>
      <c r="BA112" s="11" t="s">
        <v>26</v>
      </c>
      <c r="BB112" s="11" t="s">
        <v>26</v>
      </c>
    </row>
    <row r="113" spans="1:54" s="7" customFormat="1">
      <c r="A113" s="5" t="s">
        <v>120</v>
      </c>
      <c r="B113" s="24" t="s">
        <v>25</v>
      </c>
      <c r="C113" s="10" t="s">
        <v>26</v>
      </c>
      <c r="D113" s="11" t="s">
        <v>26</v>
      </c>
      <c r="E113" s="11" t="s">
        <v>26</v>
      </c>
      <c r="F113" s="11" t="s">
        <v>26</v>
      </c>
      <c r="G113" s="10" t="s">
        <v>26</v>
      </c>
      <c r="H113" s="11" t="s">
        <v>26</v>
      </c>
      <c r="I113" s="11" t="s">
        <v>26</v>
      </c>
      <c r="J113" s="11" t="s">
        <v>26</v>
      </c>
      <c r="K113" s="28">
        <v>30322067.25</v>
      </c>
      <c r="L113" s="11">
        <v>1.082947499039533E-2</v>
      </c>
      <c r="M113" s="1" t="s">
        <v>26</v>
      </c>
      <c r="N113" s="1" t="s">
        <v>26</v>
      </c>
      <c r="O113" s="10" t="s">
        <v>26</v>
      </c>
      <c r="P113" s="11" t="s">
        <v>26</v>
      </c>
      <c r="Q113" s="1" t="s">
        <v>26</v>
      </c>
      <c r="R113" s="1" t="s">
        <v>26</v>
      </c>
      <c r="S113" s="10" t="s">
        <v>26</v>
      </c>
      <c r="T113" s="11" t="s">
        <v>26</v>
      </c>
      <c r="U113" s="11" t="s">
        <v>26</v>
      </c>
      <c r="V113" s="11" t="s">
        <v>26</v>
      </c>
      <c r="W113" s="10" t="s">
        <v>26</v>
      </c>
      <c r="X113" s="11" t="s">
        <v>26</v>
      </c>
      <c r="Y113" s="11" t="s">
        <v>26</v>
      </c>
      <c r="Z113" s="11" t="s">
        <v>26</v>
      </c>
      <c r="AA113" s="10" t="s">
        <v>26</v>
      </c>
      <c r="AB113" s="11" t="s">
        <v>26</v>
      </c>
      <c r="AC113" s="11" t="s">
        <v>26</v>
      </c>
      <c r="AD113" s="11" t="s">
        <v>26</v>
      </c>
      <c r="AE113" s="10">
        <v>30322067.25</v>
      </c>
      <c r="AF113" s="11">
        <v>4.8598463949999998E-5</v>
      </c>
      <c r="AG113" s="1" t="s">
        <v>26</v>
      </c>
      <c r="AH113" s="1" t="s">
        <v>26</v>
      </c>
      <c r="AI113" s="10" t="s">
        <v>26</v>
      </c>
      <c r="AJ113" s="11" t="s">
        <v>26</v>
      </c>
      <c r="AK113" s="11" t="s">
        <v>26</v>
      </c>
      <c r="AL113" s="11" t="s">
        <v>26</v>
      </c>
      <c r="AM113" s="10" t="s">
        <v>26</v>
      </c>
      <c r="AN113" s="11" t="s">
        <v>26</v>
      </c>
      <c r="AO113" s="11" t="s">
        <v>26</v>
      </c>
      <c r="AP113" s="11" t="s">
        <v>26</v>
      </c>
      <c r="AQ113" s="10" t="s">
        <v>26</v>
      </c>
      <c r="AR113" s="11" t="s">
        <v>26</v>
      </c>
      <c r="AS113" s="11" t="s">
        <v>26</v>
      </c>
      <c r="AT113" s="11" t="s">
        <v>26</v>
      </c>
      <c r="AU113" s="10" t="s">
        <v>26</v>
      </c>
      <c r="AV113" s="11" t="s">
        <v>26</v>
      </c>
      <c r="AW113" s="1" t="s">
        <v>26</v>
      </c>
      <c r="AX113" s="1" t="s">
        <v>26</v>
      </c>
      <c r="AY113" s="10">
        <v>30322067.25</v>
      </c>
      <c r="AZ113" s="11">
        <v>4.2810742990000001E-5</v>
      </c>
      <c r="BA113" s="11" t="s">
        <v>26</v>
      </c>
      <c r="BB113" s="11" t="s">
        <v>26</v>
      </c>
    </row>
    <row r="114" spans="1:54" s="7" customFormat="1">
      <c r="A114" s="3" t="s">
        <v>86</v>
      </c>
      <c r="B114" s="31" t="s">
        <v>46</v>
      </c>
      <c r="C114" s="2" t="s">
        <v>26</v>
      </c>
      <c r="D114" s="1" t="s">
        <v>26</v>
      </c>
      <c r="E114" s="1" t="s">
        <v>26</v>
      </c>
      <c r="F114" s="1" t="s">
        <v>26</v>
      </c>
      <c r="G114" s="2" t="s">
        <v>26</v>
      </c>
      <c r="H114" s="1" t="s">
        <v>26</v>
      </c>
      <c r="I114" s="11" t="s">
        <v>26</v>
      </c>
      <c r="J114" s="11" t="s">
        <v>26</v>
      </c>
      <c r="K114" s="22">
        <v>30322067.25</v>
      </c>
      <c r="L114" s="1">
        <v>1</v>
      </c>
      <c r="M114" s="1" t="s">
        <v>26</v>
      </c>
      <c r="N114" s="1" t="s">
        <v>26</v>
      </c>
      <c r="O114" s="2" t="s">
        <v>26</v>
      </c>
      <c r="P114" s="1" t="s">
        <v>26</v>
      </c>
      <c r="Q114" s="1" t="s">
        <v>26</v>
      </c>
      <c r="R114" s="1" t="s">
        <v>26</v>
      </c>
      <c r="S114" s="2" t="s">
        <v>26</v>
      </c>
      <c r="T114" s="1" t="s">
        <v>26</v>
      </c>
      <c r="U114" s="11" t="s">
        <v>26</v>
      </c>
      <c r="V114" s="1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1" t="s">
        <v>26</v>
      </c>
      <c r="AD114" s="11" t="s">
        <v>26</v>
      </c>
      <c r="AE114" s="2">
        <v>30322067.25</v>
      </c>
      <c r="AF114" s="1">
        <v>1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2">
        <v>30322067.25</v>
      </c>
      <c r="AZ114" s="1">
        <v>1</v>
      </c>
      <c r="BA114" s="11" t="s">
        <v>26</v>
      </c>
      <c r="BB114" s="11" t="s">
        <v>26</v>
      </c>
    </row>
    <row r="115" spans="1:54" s="7" customFormat="1">
      <c r="A115" s="5" t="s">
        <v>92</v>
      </c>
      <c r="B115" s="24" t="s">
        <v>25</v>
      </c>
      <c r="C115" s="10" t="s">
        <v>26</v>
      </c>
      <c r="D115" s="11" t="s">
        <v>26</v>
      </c>
      <c r="E115" s="11" t="s">
        <v>26</v>
      </c>
      <c r="F115" s="11" t="s">
        <v>26</v>
      </c>
      <c r="G115" s="10">
        <v>737357128.76999998</v>
      </c>
      <c r="H115" s="11">
        <v>5.0359371924299998E-3</v>
      </c>
      <c r="I115" s="11" t="s">
        <v>26</v>
      </c>
      <c r="J115" s="11" t="s">
        <v>26</v>
      </c>
      <c r="K115" s="10" t="s">
        <v>26</v>
      </c>
      <c r="L115" s="11" t="s">
        <v>26</v>
      </c>
      <c r="M115" s="11" t="s">
        <v>26</v>
      </c>
      <c r="N115" s="11" t="s">
        <v>26</v>
      </c>
      <c r="O115" s="10">
        <v>2125216304.4200001</v>
      </c>
      <c r="P115" s="11">
        <v>9.7256097929300008E-3</v>
      </c>
      <c r="Q115" s="1" t="s">
        <v>26</v>
      </c>
      <c r="R115" s="1" t="s">
        <v>26</v>
      </c>
      <c r="S115" s="10" t="s">
        <v>26</v>
      </c>
      <c r="T115" s="11" t="s">
        <v>26</v>
      </c>
      <c r="U115" s="11" t="s">
        <v>26</v>
      </c>
      <c r="V115" s="11" t="s">
        <v>26</v>
      </c>
      <c r="W115" s="10" t="s">
        <v>26</v>
      </c>
      <c r="X115" s="11" t="s">
        <v>26</v>
      </c>
      <c r="Y115" s="11" t="s">
        <v>26</v>
      </c>
      <c r="Z115" s="11" t="s">
        <v>26</v>
      </c>
      <c r="AA115" s="10" t="s">
        <v>26</v>
      </c>
      <c r="AB115" s="11" t="s">
        <v>26</v>
      </c>
      <c r="AC115" s="11" t="s">
        <v>26</v>
      </c>
      <c r="AD115" s="11" t="s">
        <v>26</v>
      </c>
      <c r="AE115" s="10">
        <v>2862573433.1900001</v>
      </c>
      <c r="AF115" s="11">
        <v>4.5879679197100001E-3</v>
      </c>
      <c r="AG115" s="1" t="s">
        <v>26</v>
      </c>
      <c r="AH115" s="1" t="s">
        <v>26</v>
      </c>
      <c r="AI115" s="10" t="s">
        <v>26</v>
      </c>
      <c r="AJ115" s="11" t="s">
        <v>26</v>
      </c>
      <c r="AK115" s="11" t="s">
        <v>26</v>
      </c>
      <c r="AL115" s="11" t="s">
        <v>26</v>
      </c>
      <c r="AM115" s="10" t="s">
        <v>26</v>
      </c>
      <c r="AN115" s="11" t="s">
        <v>26</v>
      </c>
      <c r="AO115" s="11" t="s">
        <v>26</v>
      </c>
      <c r="AP115" s="11" t="s">
        <v>26</v>
      </c>
      <c r="AQ115" s="10" t="s">
        <v>26</v>
      </c>
      <c r="AR115" s="11" t="s">
        <v>26</v>
      </c>
      <c r="AS115" s="11" t="s">
        <v>26</v>
      </c>
      <c r="AT115" s="11" t="s">
        <v>26</v>
      </c>
      <c r="AU115" s="10" t="s">
        <v>26</v>
      </c>
      <c r="AV115" s="11" t="s">
        <v>26</v>
      </c>
      <c r="AW115" s="1" t="s">
        <v>26</v>
      </c>
      <c r="AX115" s="1" t="s">
        <v>26</v>
      </c>
      <c r="AY115" s="10">
        <v>2862573433.1900001</v>
      </c>
      <c r="AZ115" s="11">
        <v>4.0415745574000003E-3</v>
      </c>
      <c r="BA115" s="11" t="s">
        <v>26</v>
      </c>
      <c r="BB115" s="11" t="s">
        <v>26</v>
      </c>
    </row>
    <row r="116" spans="1:54" s="7" customFormat="1">
      <c r="A116" s="3" t="s">
        <v>86</v>
      </c>
      <c r="B116" s="31" t="s">
        <v>46</v>
      </c>
      <c r="C116" s="2" t="s">
        <v>26</v>
      </c>
      <c r="D116" s="1" t="s">
        <v>26</v>
      </c>
      <c r="E116" s="1" t="s">
        <v>26</v>
      </c>
      <c r="F116" s="1" t="s">
        <v>26</v>
      </c>
      <c r="G116" s="2">
        <v>737357128.76999998</v>
      </c>
      <c r="H116" s="1">
        <v>1</v>
      </c>
      <c r="I116" s="11" t="s">
        <v>26</v>
      </c>
      <c r="J116" s="11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2">
        <v>2125216304.4200001</v>
      </c>
      <c r="P116" s="1">
        <v>1</v>
      </c>
      <c r="Q116" s="1" t="s">
        <v>26</v>
      </c>
      <c r="R116" s="1" t="s">
        <v>26</v>
      </c>
      <c r="S116" s="2" t="s">
        <v>26</v>
      </c>
      <c r="T116" s="1" t="s">
        <v>26</v>
      </c>
      <c r="U116" s="11" t="s">
        <v>26</v>
      </c>
      <c r="V116" s="1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1" t="s">
        <v>26</v>
      </c>
      <c r="AD116" s="11" t="s">
        <v>26</v>
      </c>
      <c r="AE116" s="2">
        <v>2862573433.1900001</v>
      </c>
      <c r="AF116" s="1">
        <v>1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 t="s">
        <v>26</v>
      </c>
      <c r="AV116" s="1" t="s">
        <v>26</v>
      </c>
      <c r="AW116" s="1" t="s">
        <v>26</v>
      </c>
      <c r="AX116" s="1" t="s">
        <v>26</v>
      </c>
      <c r="AY116" s="2">
        <v>2862573433.1900001</v>
      </c>
      <c r="AZ116" s="1">
        <v>1</v>
      </c>
      <c r="BA116" s="11" t="s">
        <v>26</v>
      </c>
      <c r="BB116" s="11" t="s">
        <v>26</v>
      </c>
    </row>
    <row r="117" spans="1:54" s="7" customFormat="1">
      <c r="A117" s="5" t="s">
        <v>93</v>
      </c>
      <c r="B117" s="24" t="s">
        <v>25</v>
      </c>
      <c r="C117" s="10" t="s">
        <v>26</v>
      </c>
      <c r="D117" s="11" t="s">
        <v>26</v>
      </c>
      <c r="E117" s="11" t="s">
        <v>26</v>
      </c>
      <c r="F117" s="11" t="s">
        <v>26</v>
      </c>
      <c r="G117" s="10">
        <v>1503338843.1600001</v>
      </c>
      <c r="H117" s="11">
        <v>1.02673720748E-2</v>
      </c>
      <c r="I117" s="11" t="s">
        <v>26</v>
      </c>
      <c r="J117" s="11" t="s">
        <v>26</v>
      </c>
      <c r="K117" s="10" t="s">
        <v>26</v>
      </c>
      <c r="L117" s="11" t="s">
        <v>26</v>
      </c>
      <c r="M117" s="11" t="s">
        <v>26</v>
      </c>
      <c r="N117" s="11" t="s">
        <v>26</v>
      </c>
      <c r="O117" s="10">
        <v>3581814806.71</v>
      </c>
      <c r="P117" s="11">
        <v>1.6391429469160002E-2</v>
      </c>
      <c r="Q117" s="1" t="s">
        <v>26</v>
      </c>
      <c r="R117" s="1" t="s">
        <v>26</v>
      </c>
      <c r="S117" s="10">
        <v>1002908145.88</v>
      </c>
      <c r="T117" s="11">
        <v>9.1793550961499996E-3</v>
      </c>
      <c r="U117" s="11" t="s">
        <v>26</v>
      </c>
      <c r="V117" s="11" t="s">
        <v>26</v>
      </c>
      <c r="W117" s="10" t="s">
        <v>26</v>
      </c>
      <c r="X117" s="11" t="s">
        <v>26</v>
      </c>
      <c r="Y117" s="11" t="s">
        <v>26</v>
      </c>
      <c r="Z117" s="11" t="s">
        <v>26</v>
      </c>
      <c r="AA117" s="10" t="s">
        <v>26</v>
      </c>
      <c r="AB117" s="11" t="s">
        <v>26</v>
      </c>
      <c r="AC117" s="11" t="s">
        <v>26</v>
      </c>
      <c r="AD117" s="11" t="s">
        <v>26</v>
      </c>
      <c r="AE117" s="10">
        <v>6088061795.75</v>
      </c>
      <c r="AF117" s="11">
        <v>9.7575949976599994E-3</v>
      </c>
      <c r="AG117" s="1" t="s">
        <v>26</v>
      </c>
      <c r="AH117" s="1" t="s">
        <v>26</v>
      </c>
      <c r="AI117" s="10" t="s">
        <v>26</v>
      </c>
      <c r="AJ117" s="11" t="s">
        <v>26</v>
      </c>
      <c r="AK117" s="11" t="s">
        <v>26</v>
      </c>
      <c r="AL117" s="11" t="s">
        <v>26</v>
      </c>
      <c r="AM117" s="10" t="s">
        <v>26</v>
      </c>
      <c r="AN117" s="11" t="s">
        <v>26</v>
      </c>
      <c r="AO117" s="11" t="s">
        <v>26</v>
      </c>
      <c r="AP117" s="11" t="s">
        <v>26</v>
      </c>
      <c r="AQ117" s="10" t="s">
        <v>26</v>
      </c>
      <c r="AR117" s="11" t="s">
        <v>26</v>
      </c>
      <c r="AS117" s="11" t="s">
        <v>26</v>
      </c>
      <c r="AT117" s="11" t="s">
        <v>26</v>
      </c>
      <c r="AU117" s="10">
        <v>1002908145.88</v>
      </c>
      <c r="AV117" s="11">
        <v>2.2834082161469999E-2</v>
      </c>
      <c r="AW117" s="1" t="s">
        <v>26</v>
      </c>
      <c r="AX117" s="1" t="s">
        <v>26</v>
      </c>
      <c r="AY117" s="10">
        <v>7090969941.6300001</v>
      </c>
      <c r="AZ117" s="11">
        <v>1.0011510402180001E-2</v>
      </c>
      <c r="BA117" s="11" t="s">
        <v>26</v>
      </c>
      <c r="BB117" s="11" t="s">
        <v>26</v>
      </c>
    </row>
    <row r="118" spans="1:54" s="7" customFormat="1">
      <c r="A118" s="3" t="s">
        <v>86</v>
      </c>
      <c r="B118" s="31" t="s">
        <v>37</v>
      </c>
      <c r="C118" s="2" t="s">
        <v>26</v>
      </c>
      <c r="D118" s="1" t="s">
        <v>26</v>
      </c>
      <c r="E118" s="1" t="s">
        <v>26</v>
      </c>
      <c r="F118" s="1" t="s">
        <v>26</v>
      </c>
      <c r="G118" s="2">
        <v>1503338843.1600001</v>
      </c>
      <c r="H118" s="1">
        <v>1</v>
      </c>
      <c r="I118" s="11" t="s">
        <v>26</v>
      </c>
      <c r="J118" s="11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2">
        <v>3581814806.71</v>
      </c>
      <c r="P118" s="1">
        <v>1</v>
      </c>
      <c r="Q118" s="1" t="s">
        <v>26</v>
      </c>
      <c r="R118" s="1" t="s">
        <v>26</v>
      </c>
      <c r="S118" s="2">
        <v>1002908145.88</v>
      </c>
      <c r="T118" s="1">
        <v>1</v>
      </c>
      <c r="U118" s="11" t="s">
        <v>26</v>
      </c>
      <c r="V118" s="1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 t="s">
        <v>26</v>
      </c>
      <c r="AB118" s="1" t="s">
        <v>26</v>
      </c>
      <c r="AC118" s="11" t="s">
        <v>26</v>
      </c>
      <c r="AD118" s="11" t="s">
        <v>26</v>
      </c>
      <c r="AE118" s="2">
        <v>6088061795.75</v>
      </c>
      <c r="AF118" s="1">
        <v>1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2">
        <v>1002908145.88</v>
      </c>
      <c r="AV118" s="1">
        <v>1</v>
      </c>
      <c r="AW118" s="1" t="s">
        <v>26</v>
      </c>
      <c r="AX118" s="1" t="s">
        <v>26</v>
      </c>
      <c r="AY118" s="2">
        <v>7090969941.6300001</v>
      </c>
      <c r="AZ118" s="1">
        <v>1</v>
      </c>
      <c r="BA118" s="11" t="s">
        <v>26</v>
      </c>
      <c r="BB118" s="11" t="s">
        <v>26</v>
      </c>
    </row>
    <row r="119" spans="1:54" s="8" customFormat="1">
      <c r="A119" s="5" t="s">
        <v>94</v>
      </c>
      <c r="B119" s="24" t="s">
        <v>25</v>
      </c>
      <c r="C119" s="10" t="s">
        <v>26</v>
      </c>
      <c r="D119" s="11" t="s">
        <v>26</v>
      </c>
      <c r="E119" s="11" t="s">
        <v>26</v>
      </c>
      <c r="F119" s="11" t="s">
        <v>26</v>
      </c>
      <c r="G119" s="10">
        <v>558345991.5</v>
      </c>
      <c r="H119" s="11">
        <v>3.8133425922499999E-3</v>
      </c>
      <c r="I119" s="11" t="s">
        <v>26</v>
      </c>
      <c r="J119" s="11" t="s">
        <v>26</v>
      </c>
      <c r="K119" s="10" t="s">
        <v>26</v>
      </c>
      <c r="L119" s="11" t="s">
        <v>26</v>
      </c>
      <c r="M119" s="11" t="s">
        <v>26</v>
      </c>
      <c r="N119" s="11" t="s">
        <v>26</v>
      </c>
      <c r="O119" s="10">
        <v>774191384.88999999</v>
      </c>
      <c r="P119" s="11">
        <v>3.54292563013E-3</v>
      </c>
      <c r="Q119" s="1" t="s">
        <v>26</v>
      </c>
      <c r="R119" s="1" t="s">
        <v>26</v>
      </c>
      <c r="S119" s="10">
        <v>258179186.47</v>
      </c>
      <c r="T119" s="11">
        <v>2.36304634754E-3</v>
      </c>
      <c r="U119" s="11" t="s">
        <v>26</v>
      </c>
      <c r="V119" s="11" t="s">
        <v>26</v>
      </c>
      <c r="W119" s="10" t="s">
        <v>26</v>
      </c>
      <c r="X119" s="11" t="s">
        <v>26</v>
      </c>
      <c r="Y119" s="11" t="s">
        <v>26</v>
      </c>
      <c r="Z119" s="11" t="s">
        <v>26</v>
      </c>
      <c r="AA119" s="10">
        <v>837518987.25</v>
      </c>
      <c r="AB119" s="11">
        <v>6.2095717901899999E-3</v>
      </c>
      <c r="AC119" s="11" t="s">
        <v>26</v>
      </c>
      <c r="AD119" s="11" t="s">
        <v>26</v>
      </c>
      <c r="AE119" s="10">
        <v>2428235550.1100001</v>
      </c>
      <c r="AF119" s="11">
        <v>3.8918361626100002E-3</v>
      </c>
      <c r="AG119" s="1" t="s">
        <v>26</v>
      </c>
      <c r="AH119" s="1" t="s">
        <v>26</v>
      </c>
      <c r="AI119" s="10" t="s">
        <v>26</v>
      </c>
      <c r="AJ119" s="11" t="s">
        <v>26</v>
      </c>
      <c r="AK119" s="11" t="s">
        <v>26</v>
      </c>
      <c r="AL119" s="11" t="s">
        <v>26</v>
      </c>
      <c r="AM119" s="10" t="s">
        <v>26</v>
      </c>
      <c r="AN119" s="11" t="s">
        <v>26</v>
      </c>
      <c r="AO119" s="11" t="s">
        <v>26</v>
      </c>
      <c r="AP119" s="11" t="s">
        <v>26</v>
      </c>
      <c r="AQ119" s="10" t="s">
        <v>26</v>
      </c>
      <c r="AR119" s="11" t="s">
        <v>26</v>
      </c>
      <c r="AS119" s="11" t="s">
        <v>26</v>
      </c>
      <c r="AT119" s="11" t="s">
        <v>26</v>
      </c>
      <c r="AU119" s="10" t="s">
        <v>26</v>
      </c>
      <c r="AV119" s="11" t="s">
        <v>26</v>
      </c>
      <c r="AW119" s="1" t="s">
        <v>26</v>
      </c>
      <c r="AX119" s="1" t="s">
        <v>26</v>
      </c>
      <c r="AY119" s="10">
        <v>2428235550.1100001</v>
      </c>
      <c r="AZ119" s="11">
        <v>3.4283469918800001E-3</v>
      </c>
      <c r="BA119" s="11" t="s">
        <v>26</v>
      </c>
      <c r="BB119" s="11" t="s">
        <v>26</v>
      </c>
    </row>
    <row r="120" spans="1:54" s="7" customFormat="1">
      <c r="A120" s="3" t="s">
        <v>86</v>
      </c>
      <c r="B120" s="31" t="s">
        <v>46</v>
      </c>
      <c r="C120" s="2" t="s">
        <v>26</v>
      </c>
      <c r="D120" s="1" t="s">
        <v>26</v>
      </c>
      <c r="E120" s="1" t="s">
        <v>26</v>
      </c>
      <c r="F120" s="1" t="s">
        <v>26</v>
      </c>
      <c r="G120" s="2">
        <v>558345991.5</v>
      </c>
      <c r="H120" s="1">
        <v>1</v>
      </c>
      <c r="I120" s="11" t="s">
        <v>26</v>
      </c>
      <c r="J120" s="11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2">
        <v>774191384.88999999</v>
      </c>
      <c r="P120" s="1">
        <v>1</v>
      </c>
      <c r="Q120" s="1" t="s">
        <v>26</v>
      </c>
      <c r="R120" s="1" t="s">
        <v>26</v>
      </c>
      <c r="S120" s="2">
        <v>258179186.47</v>
      </c>
      <c r="T120" s="1">
        <v>1</v>
      </c>
      <c r="U120" s="11" t="s">
        <v>26</v>
      </c>
      <c r="V120" s="1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22">
        <v>837518987.25</v>
      </c>
      <c r="AB120" s="23">
        <v>1</v>
      </c>
      <c r="AC120" s="11" t="s">
        <v>26</v>
      </c>
      <c r="AD120" s="11" t="s">
        <v>26</v>
      </c>
      <c r="AE120" s="2">
        <v>2428235550.1100001</v>
      </c>
      <c r="AF120" s="1">
        <v>1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2">
        <v>2428235550.1100001</v>
      </c>
      <c r="AZ120" s="1">
        <v>1</v>
      </c>
      <c r="BA120" s="11" t="s">
        <v>26</v>
      </c>
      <c r="BB120" s="11" t="s">
        <v>26</v>
      </c>
    </row>
    <row r="121" spans="1:54" s="7" customFormat="1">
      <c r="A121" s="5" t="s">
        <v>95</v>
      </c>
      <c r="B121" s="24" t="s">
        <v>25</v>
      </c>
      <c r="C121" s="10" t="s">
        <v>26</v>
      </c>
      <c r="D121" s="11" t="s">
        <v>26</v>
      </c>
      <c r="E121" s="11" t="s">
        <v>26</v>
      </c>
      <c r="F121" s="11" t="s">
        <v>26</v>
      </c>
      <c r="G121" s="10" t="s">
        <v>26</v>
      </c>
      <c r="H121" s="11" t="s">
        <v>26</v>
      </c>
      <c r="I121" s="11" t="s">
        <v>26</v>
      </c>
      <c r="J121" s="11" t="s">
        <v>26</v>
      </c>
      <c r="K121" s="10" t="s">
        <v>26</v>
      </c>
      <c r="L121" s="11" t="s">
        <v>26</v>
      </c>
      <c r="M121" s="11" t="s">
        <v>26</v>
      </c>
      <c r="N121" s="11" t="s">
        <v>26</v>
      </c>
      <c r="O121" s="10">
        <v>350915396.01999998</v>
      </c>
      <c r="P121" s="11">
        <v>1.6058912238400001E-3</v>
      </c>
      <c r="Q121" s="1" t="s">
        <v>26</v>
      </c>
      <c r="R121" s="1" t="s">
        <v>26</v>
      </c>
      <c r="S121" s="10" t="s">
        <v>26</v>
      </c>
      <c r="T121" s="11" t="s">
        <v>26</v>
      </c>
      <c r="U121" s="11" t="s">
        <v>26</v>
      </c>
      <c r="V121" s="11" t="s">
        <v>26</v>
      </c>
      <c r="W121" s="10" t="s">
        <v>26</v>
      </c>
      <c r="X121" s="11" t="s">
        <v>26</v>
      </c>
      <c r="Y121" s="11" t="s">
        <v>26</v>
      </c>
      <c r="Z121" s="11" t="s">
        <v>26</v>
      </c>
      <c r="AA121" s="10" t="s">
        <v>26</v>
      </c>
      <c r="AB121" s="11" t="s">
        <v>26</v>
      </c>
      <c r="AC121" s="11" t="s">
        <v>26</v>
      </c>
      <c r="AD121" s="11" t="s">
        <v>26</v>
      </c>
      <c r="AE121" s="10">
        <v>350915396.01999998</v>
      </c>
      <c r="AF121" s="11">
        <v>5.6242699690999996E-4</v>
      </c>
      <c r="AG121" s="1" t="s">
        <v>26</v>
      </c>
      <c r="AH121" s="1" t="s">
        <v>26</v>
      </c>
      <c r="AI121" s="10" t="s">
        <v>26</v>
      </c>
      <c r="AJ121" s="11" t="s">
        <v>26</v>
      </c>
      <c r="AK121" s="11" t="s">
        <v>26</v>
      </c>
      <c r="AL121" s="11" t="s">
        <v>26</v>
      </c>
      <c r="AM121" s="10" t="s">
        <v>26</v>
      </c>
      <c r="AN121" s="11" t="s">
        <v>26</v>
      </c>
      <c r="AO121" s="11" t="s">
        <v>26</v>
      </c>
      <c r="AP121" s="11" t="s">
        <v>26</v>
      </c>
      <c r="AQ121" s="10" t="s">
        <v>26</v>
      </c>
      <c r="AR121" s="11" t="s">
        <v>26</v>
      </c>
      <c r="AS121" s="11" t="s">
        <v>26</v>
      </c>
      <c r="AT121" s="11" t="s">
        <v>26</v>
      </c>
      <c r="AU121" s="10" t="s">
        <v>26</v>
      </c>
      <c r="AV121" s="11" t="s">
        <v>26</v>
      </c>
      <c r="AW121" s="1" t="s">
        <v>26</v>
      </c>
      <c r="AX121" s="1" t="s">
        <v>26</v>
      </c>
      <c r="AY121" s="10">
        <v>350915396.01999998</v>
      </c>
      <c r="AZ121" s="11">
        <v>4.9544606259E-4</v>
      </c>
      <c r="BA121" s="11" t="s">
        <v>26</v>
      </c>
      <c r="BB121" s="11" t="s">
        <v>26</v>
      </c>
    </row>
    <row r="122" spans="1:54" s="7" customFormat="1">
      <c r="A122" s="3" t="s">
        <v>86</v>
      </c>
      <c r="B122" s="31" t="s">
        <v>56</v>
      </c>
      <c r="C122" s="2" t="s">
        <v>26</v>
      </c>
      <c r="D122" s="1" t="s">
        <v>26</v>
      </c>
      <c r="E122" s="1" t="s">
        <v>26</v>
      </c>
      <c r="F122" s="1" t="s">
        <v>26</v>
      </c>
      <c r="G122" s="2" t="s">
        <v>26</v>
      </c>
      <c r="H122" s="1" t="s">
        <v>26</v>
      </c>
      <c r="I122" s="11" t="s">
        <v>26</v>
      </c>
      <c r="J122" s="11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2">
        <v>350915396.01999998</v>
      </c>
      <c r="P122" s="1">
        <v>1</v>
      </c>
      <c r="Q122" s="1" t="s">
        <v>26</v>
      </c>
      <c r="R122" s="1" t="s">
        <v>26</v>
      </c>
      <c r="S122" s="2" t="s">
        <v>26</v>
      </c>
      <c r="T122" s="1" t="s">
        <v>26</v>
      </c>
      <c r="U122" s="11" t="s">
        <v>26</v>
      </c>
      <c r="V122" s="1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1" t="s">
        <v>26</v>
      </c>
      <c r="AD122" s="11" t="s">
        <v>26</v>
      </c>
      <c r="AE122" s="2">
        <v>350915396.01999998</v>
      </c>
      <c r="AF122" s="1">
        <v>1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2">
        <v>350915396.01999998</v>
      </c>
      <c r="AZ122" s="1">
        <v>1</v>
      </c>
      <c r="BA122" s="11" t="s">
        <v>26</v>
      </c>
      <c r="BB122" s="11" t="s">
        <v>26</v>
      </c>
    </row>
    <row r="123" spans="1:54" s="7" customFormat="1">
      <c r="A123" s="5" t="s">
        <v>96</v>
      </c>
      <c r="B123" s="24" t="s">
        <v>25</v>
      </c>
      <c r="C123" s="10" t="s">
        <v>26</v>
      </c>
      <c r="D123" s="11" t="s">
        <v>26</v>
      </c>
      <c r="E123" s="11" t="s">
        <v>26</v>
      </c>
      <c r="F123" s="11" t="s">
        <v>26</v>
      </c>
      <c r="G123" s="10" t="s">
        <v>26</v>
      </c>
      <c r="H123" s="11" t="s">
        <v>26</v>
      </c>
      <c r="I123" s="11" t="s">
        <v>26</v>
      </c>
      <c r="J123" s="11" t="s">
        <v>26</v>
      </c>
      <c r="K123" s="10" t="s">
        <v>26</v>
      </c>
      <c r="L123" s="11" t="s">
        <v>26</v>
      </c>
      <c r="M123" s="11" t="s">
        <v>26</v>
      </c>
      <c r="N123" s="11" t="s">
        <v>26</v>
      </c>
      <c r="O123" s="10">
        <v>31564623.780000001</v>
      </c>
      <c r="P123" s="11">
        <v>1.4444892668E-4</v>
      </c>
      <c r="Q123" s="1" t="s">
        <v>26</v>
      </c>
      <c r="R123" s="1" t="s">
        <v>26</v>
      </c>
      <c r="S123" s="10" t="s">
        <v>26</v>
      </c>
      <c r="T123" s="11" t="s">
        <v>26</v>
      </c>
      <c r="U123" s="11" t="s">
        <v>26</v>
      </c>
      <c r="V123" s="11" t="s">
        <v>26</v>
      </c>
      <c r="W123" s="10" t="s">
        <v>26</v>
      </c>
      <c r="X123" s="11" t="s">
        <v>26</v>
      </c>
      <c r="Y123" s="11" t="s">
        <v>26</v>
      </c>
      <c r="Z123" s="11" t="s">
        <v>26</v>
      </c>
      <c r="AA123" s="10" t="s">
        <v>26</v>
      </c>
      <c r="AB123" s="11" t="s">
        <v>26</v>
      </c>
      <c r="AC123" s="11" t="s">
        <v>26</v>
      </c>
      <c r="AD123" s="11" t="s">
        <v>26</v>
      </c>
      <c r="AE123" s="10">
        <v>31564623.780000001</v>
      </c>
      <c r="AF123" s="11">
        <v>5.0589962030000001E-5</v>
      </c>
      <c r="AG123" s="1" t="s">
        <v>26</v>
      </c>
      <c r="AH123" s="1" t="s">
        <v>26</v>
      </c>
      <c r="AI123" s="10" t="s">
        <v>26</v>
      </c>
      <c r="AJ123" s="11" t="s">
        <v>26</v>
      </c>
      <c r="AK123" s="11" t="s">
        <v>26</v>
      </c>
      <c r="AL123" s="11" t="s">
        <v>26</v>
      </c>
      <c r="AM123" s="10" t="s">
        <v>26</v>
      </c>
      <c r="AN123" s="11" t="s">
        <v>26</v>
      </c>
      <c r="AO123" s="11" t="s">
        <v>26</v>
      </c>
      <c r="AP123" s="11" t="s">
        <v>26</v>
      </c>
      <c r="AQ123" s="10" t="s">
        <v>26</v>
      </c>
      <c r="AR123" s="11" t="s">
        <v>26</v>
      </c>
      <c r="AS123" s="11" t="s">
        <v>26</v>
      </c>
      <c r="AT123" s="11" t="s">
        <v>26</v>
      </c>
      <c r="AU123" s="10" t="s">
        <v>26</v>
      </c>
      <c r="AV123" s="11" t="s">
        <v>26</v>
      </c>
      <c r="AW123" s="1" t="s">
        <v>26</v>
      </c>
      <c r="AX123" s="1" t="s">
        <v>26</v>
      </c>
      <c r="AY123" s="10">
        <v>31564623.780000001</v>
      </c>
      <c r="AZ123" s="11">
        <v>4.456506824E-5</v>
      </c>
      <c r="BA123" s="11" t="s">
        <v>26</v>
      </c>
      <c r="BB123" s="11" t="s">
        <v>26</v>
      </c>
    </row>
    <row r="124" spans="1:54" s="7" customFormat="1">
      <c r="A124" s="3" t="s">
        <v>86</v>
      </c>
      <c r="B124" s="31" t="s">
        <v>56</v>
      </c>
      <c r="C124" s="2" t="s">
        <v>26</v>
      </c>
      <c r="D124" s="1" t="s">
        <v>26</v>
      </c>
      <c r="E124" s="1" t="s">
        <v>26</v>
      </c>
      <c r="F124" s="1" t="s">
        <v>26</v>
      </c>
      <c r="G124" s="2" t="s">
        <v>26</v>
      </c>
      <c r="H124" s="1" t="s">
        <v>26</v>
      </c>
      <c r="I124" s="11" t="s">
        <v>26</v>
      </c>
      <c r="J124" s="11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2">
        <v>31564623.780000001</v>
      </c>
      <c r="P124" s="1">
        <v>1</v>
      </c>
      <c r="Q124" s="1" t="s">
        <v>26</v>
      </c>
      <c r="R124" s="1" t="s">
        <v>26</v>
      </c>
      <c r="S124" s="2" t="s">
        <v>26</v>
      </c>
      <c r="T124" s="1" t="s">
        <v>26</v>
      </c>
      <c r="U124" s="11" t="s">
        <v>26</v>
      </c>
      <c r="V124" s="1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1" t="s">
        <v>26</v>
      </c>
      <c r="AD124" s="11" t="s">
        <v>26</v>
      </c>
      <c r="AE124" s="2">
        <v>31564623.780000001</v>
      </c>
      <c r="AF124" s="1">
        <v>1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2">
        <v>31564623.780000001</v>
      </c>
      <c r="AZ124" s="1">
        <v>1</v>
      </c>
      <c r="BA124" s="11" t="s">
        <v>26</v>
      </c>
      <c r="BB124" s="11" t="s">
        <v>26</v>
      </c>
    </row>
    <row r="125" spans="1:54" s="7" customFormat="1">
      <c r="A125" s="5" t="s">
        <v>97</v>
      </c>
      <c r="B125" s="24" t="s">
        <v>25</v>
      </c>
      <c r="C125" s="10" t="s">
        <v>26</v>
      </c>
      <c r="D125" s="11" t="s">
        <v>26</v>
      </c>
      <c r="E125" s="11" t="s">
        <v>26</v>
      </c>
      <c r="F125" s="11" t="s">
        <v>26</v>
      </c>
      <c r="G125" s="10" t="s">
        <v>26</v>
      </c>
      <c r="H125" s="11" t="s">
        <v>26</v>
      </c>
      <c r="I125" s="11" t="s">
        <v>26</v>
      </c>
      <c r="J125" s="11" t="s">
        <v>26</v>
      </c>
      <c r="K125" s="10" t="s">
        <v>26</v>
      </c>
      <c r="L125" s="11" t="s">
        <v>26</v>
      </c>
      <c r="M125" s="11" t="s">
        <v>26</v>
      </c>
      <c r="N125" s="11" t="s">
        <v>26</v>
      </c>
      <c r="O125" s="10">
        <v>1881479934.1700001</v>
      </c>
      <c r="P125" s="11">
        <v>8.6102010580800005E-3</v>
      </c>
      <c r="Q125" s="1" t="s">
        <v>26</v>
      </c>
      <c r="R125" s="1" t="s">
        <v>26</v>
      </c>
      <c r="S125" s="10" t="s">
        <v>26</v>
      </c>
      <c r="T125" s="11" t="s">
        <v>26</v>
      </c>
      <c r="U125" s="11" t="s">
        <v>26</v>
      </c>
      <c r="V125" s="11" t="s">
        <v>26</v>
      </c>
      <c r="W125" s="10" t="s">
        <v>26</v>
      </c>
      <c r="X125" s="11" t="s">
        <v>26</v>
      </c>
      <c r="Y125" s="11" t="s">
        <v>26</v>
      </c>
      <c r="Z125" s="11" t="s">
        <v>26</v>
      </c>
      <c r="AA125" s="10" t="s">
        <v>26</v>
      </c>
      <c r="AB125" s="11" t="s">
        <v>26</v>
      </c>
      <c r="AC125" s="11" t="s">
        <v>26</v>
      </c>
      <c r="AD125" s="11" t="s">
        <v>26</v>
      </c>
      <c r="AE125" s="10">
        <v>1881479934.1700001</v>
      </c>
      <c r="AF125" s="11">
        <v>3.0155277344099999E-3</v>
      </c>
      <c r="AG125" s="1" t="s">
        <v>26</v>
      </c>
      <c r="AH125" s="1" t="s">
        <v>26</v>
      </c>
      <c r="AI125" s="10" t="s">
        <v>26</v>
      </c>
      <c r="AJ125" s="11" t="s">
        <v>26</v>
      </c>
      <c r="AK125" s="11" t="s">
        <v>26</v>
      </c>
      <c r="AL125" s="11" t="s">
        <v>26</v>
      </c>
      <c r="AM125" s="10" t="s">
        <v>26</v>
      </c>
      <c r="AN125" s="11" t="s">
        <v>26</v>
      </c>
      <c r="AO125" s="11" t="s">
        <v>26</v>
      </c>
      <c r="AP125" s="11" t="s">
        <v>26</v>
      </c>
      <c r="AQ125" s="10" t="s">
        <v>26</v>
      </c>
      <c r="AR125" s="11" t="s">
        <v>26</v>
      </c>
      <c r="AS125" s="11" t="s">
        <v>26</v>
      </c>
      <c r="AT125" s="11" t="s">
        <v>26</v>
      </c>
      <c r="AU125" s="10" t="s">
        <v>26</v>
      </c>
      <c r="AV125" s="11" t="s">
        <v>26</v>
      </c>
      <c r="AW125" s="1" t="s">
        <v>26</v>
      </c>
      <c r="AX125" s="1" t="s">
        <v>26</v>
      </c>
      <c r="AY125" s="10">
        <v>1881479934.1700001</v>
      </c>
      <c r="AZ125" s="11">
        <v>2.6564004765899998E-3</v>
      </c>
      <c r="BA125" s="11" t="s">
        <v>26</v>
      </c>
      <c r="BB125" s="11" t="s">
        <v>26</v>
      </c>
    </row>
    <row r="126" spans="1:54">
      <c r="A126" s="3" t="s">
        <v>86</v>
      </c>
      <c r="B126" s="31" t="s">
        <v>46</v>
      </c>
      <c r="C126" s="2" t="s">
        <v>26</v>
      </c>
      <c r="D126" s="1" t="s">
        <v>26</v>
      </c>
      <c r="E126" s="1" t="s">
        <v>26</v>
      </c>
      <c r="F126" s="1" t="s">
        <v>26</v>
      </c>
      <c r="G126" s="2" t="s">
        <v>26</v>
      </c>
      <c r="H126" s="1" t="s">
        <v>26</v>
      </c>
      <c r="I126" s="11" t="s">
        <v>26</v>
      </c>
      <c r="J126" s="11" t="s">
        <v>26</v>
      </c>
      <c r="K126" s="2" t="s">
        <v>26</v>
      </c>
      <c r="L126" s="1" t="s">
        <v>26</v>
      </c>
      <c r="M126" s="1" t="s">
        <v>26</v>
      </c>
      <c r="N126" s="1" t="s">
        <v>26</v>
      </c>
      <c r="O126" s="2">
        <v>1881479934.1700001</v>
      </c>
      <c r="P126" s="1">
        <v>1</v>
      </c>
      <c r="Q126" s="1" t="s">
        <v>26</v>
      </c>
      <c r="R126" s="1" t="s">
        <v>26</v>
      </c>
      <c r="S126" s="2" t="s">
        <v>26</v>
      </c>
      <c r="T126" s="1" t="s">
        <v>26</v>
      </c>
      <c r="U126" s="11" t="s">
        <v>26</v>
      </c>
      <c r="V126" s="11" t="s">
        <v>26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1" t="s">
        <v>26</v>
      </c>
      <c r="AD126" s="11" t="s">
        <v>26</v>
      </c>
      <c r="AE126" s="2">
        <v>1881479934.1700001</v>
      </c>
      <c r="AF126" s="1">
        <v>1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2" t="s">
        <v>26</v>
      </c>
      <c r="AN126" s="1" t="s">
        <v>26</v>
      </c>
      <c r="AO126" s="1" t="s">
        <v>26</v>
      </c>
      <c r="AP126" s="1" t="s">
        <v>26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2">
        <v>1881479934.1700001</v>
      </c>
      <c r="AZ126" s="1">
        <v>1</v>
      </c>
      <c r="BA126" s="11" t="s">
        <v>26</v>
      </c>
      <c r="BB126" s="11" t="s">
        <v>26</v>
      </c>
    </row>
    <row r="127" spans="1:54" s="7" customFormat="1">
      <c r="A127" s="5" t="s">
        <v>98</v>
      </c>
      <c r="B127" s="24" t="s">
        <v>25</v>
      </c>
      <c r="C127" s="10" t="s">
        <v>26</v>
      </c>
      <c r="D127" s="11" t="s">
        <v>26</v>
      </c>
      <c r="E127" s="11" t="s">
        <v>26</v>
      </c>
      <c r="F127" s="11" t="s">
        <v>26</v>
      </c>
      <c r="G127" s="10" t="s">
        <v>26</v>
      </c>
      <c r="H127" s="11" t="s">
        <v>26</v>
      </c>
      <c r="I127" s="11" t="s">
        <v>26</v>
      </c>
      <c r="J127" s="11" t="s">
        <v>26</v>
      </c>
      <c r="K127" s="10" t="s">
        <v>26</v>
      </c>
      <c r="L127" s="11" t="s">
        <v>26</v>
      </c>
      <c r="M127" s="11" t="s">
        <v>26</v>
      </c>
      <c r="N127" s="11" t="s">
        <v>26</v>
      </c>
      <c r="O127" s="10">
        <v>587274416</v>
      </c>
      <c r="P127" s="11">
        <v>2.6875390516800002E-3</v>
      </c>
      <c r="Q127" s="1" t="s">
        <v>26</v>
      </c>
      <c r="R127" s="1" t="s">
        <v>26</v>
      </c>
      <c r="S127" s="10" t="s">
        <v>26</v>
      </c>
      <c r="T127" s="11" t="s">
        <v>26</v>
      </c>
      <c r="U127" s="11" t="s">
        <v>26</v>
      </c>
      <c r="V127" s="11" t="s">
        <v>26</v>
      </c>
      <c r="W127" s="10" t="s">
        <v>26</v>
      </c>
      <c r="X127" s="11" t="s">
        <v>26</v>
      </c>
      <c r="Y127" s="11" t="s">
        <v>26</v>
      </c>
      <c r="Z127" s="11" t="s">
        <v>26</v>
      </c>
      <c r="AA127" s="10" t="s">
        <v>26</v>
      </c>
      <c r="AB127" s="11" t="s">
        <v>26</v>
      </c>
      <c r="AC127" s="11" t="s">
        <v>26</v>
      </c>
      <c r="AD127" s="11" t="s">
        <v>26</v>
      </c>
      <c r="AE127" s="10">
        <v>587274416</v>
      </c>
      <c r="AF127" s="11">
        <v>9.4124962855000004E-4</v>
      </c>
      <c r="AG127" s="1" t="s">
        <v>26</v>
      </c>
      <c r="AH127" s="1" t="s">
        <v>26</v>
      </c>
      <c r="AI127" s="10" t="s">
        <v>26</v>
      </c>
      <c r="AJ127" s="11" t="s">
        <v>26</v>
      </c>
      <c r="AK127" s="11" t="s">
        <v>26</v>
      </c>
      <c r="AL127" s="11" t="s">
        <v>26</v>
      </c>
      <c r="AM127" s="10" t="s">
        <v>26</v>
      </c>
      <c r="AN127" s="11" t="s">
        <v>26</v>
      </c>
      <c r="AO127" s="11" t="s">
        <v>26</v>
      </c>
      <c r="AP127" s="11" t="s">
        <v>26</v>
      </c>
      <c r="AQ127" s="10" t="s">
        <v>26</v>
      </c>
      <c r="AR127" s="11" t="s">
        <v>26</v>
      </c>
      <c r="AS127" s="11" t="s">
        <v>26</v>
      </c>
      <c r="AT127" s="11" t="s">
        <v>26</v>
      </c>
      <c r="AU127" s="10" t="s">
        <v>26</v>
      </c>
      <c r="AV127" s="11" t="s">
        <v>26</v>
      </c>
      <c r="AW127" s="1" t="s">
        <v>26</v>
      </c>
      <c r="AX127" s="1" t="s">
        <v>26</v>
      </c>
      <c r="AY127" s="10">
        <v>587274416</v>
      </c>
      <c r="AZ127" s="11">
        <v>8.2915369450000005E-4</v>
      </c>
      <c r="BA127" s="11" t="s">
        <v>26</v>
      </c>
      <c r="BB127" s="11" t="s">
        <v>26</v>
      </c>
    </row>
    <row r="128" spans="1:54">
      <c r="A128" s="3" t="s">
        <v>86</v>
      </c>
      <c r="B128" s="36" t="s">
        <v>99</v>
      </c>
      <c r="C128" s="2" t="s">
        <v>26</v>
      </c>
      <c r="D128" s="1" t="s">
        <v>26</v>
      </c>
      <c r="E128" s="1" t="s">
        <v>26</v>
      </c>
      <c r="F128" s="1" t="s">
        <v>26</v>
      </c>
      <c r="G128" s="2" t="s">
        <v>26</v>
      </c>
      <c r="H128" s="1" t="s">
        <v>26</v>
      </c>
      <c r="I128" s="11" t="s">
        <v>26</v>
      </c>
      <c r="J128" s="11" t="s">
        <v>26</v>
      </c>
      <c r="K128" s="2" t="s">
        <v>26</v>
      </c>
      <c r="L128" s="1" t="s">
        <v>26</v>
      </c>
      <c r="M128" s="1" t="s">
        <v>26</v>
      </c>
      <c r="N128" s="1" t="s">
        <v>26</v>
      </c>
      <c r="O128" s="2">
        <v>587274416</v>
      </c>
      <c r="P128" s="1">
        <v>1</v>
      </c>
      <c r="Q128" s="1" t="s">
        <v>26</v>
      </c>
      <c r="R128" s="1" t="s">
        <v>26</v>
      </c>
      <c r="S128" s="2" t="s">
        <v>26</v>
      </c>
      <c r="T128" s="1" t="s">
        <v>26</v>
      </c>
      <c r="U128" s="11" t="s">
        <v>26</v>
      </c>
      <c r="V128" s="11" t="s">
        <v>26</v>
      </c>
      <c r="W128" s="2" t="s">
        <v>26</v>
      </c>
      <c r="X128" s="1" t="s">
        <v>26</v>
      </c>
      <c r="Y128" s="1" t="s">
        <v>26</v>
      </c>
      <c r="Z128" s="1" t="s">
        <v>26</v>
      </c>
      <c r="AA128" s="2" t="s">
        <v>26</v>
      </c>
      <c r="AB128" s="1" t="s">
        <v>26</v>
      </c>
      <c r="AC128" s="11" t="s">
        <v>26</v>
      </c>
      <c r="AD128" s="11" t="s">
        <v>26</v>
      </c>
      <c r="AE128" s="2">
        <v>587274416</v>
      </c>
      <c r="AF128" s="1">
        <v>1</v>
      </c>
      <c r="AG128" s="1" t="s">
        <v>26</v>
      </c>
      <c r="AH128" s="1" t="s">
        <v>26</v>
      </c>
      <c r="AI128" s="2" t="s">
        <v>26</v>
      </c>
      <c r="AJ128" s="1" t="s">
        <v>26</v>
      </c>
      <c r="AK128" s="1" t="s">
        <v>26</v>
      </c>
      <c r="AL128" s="1" t="s">
        <v>26</v>
      </c>
      <c r="AM128" s="2" t="s">
        <v>26</v>
      </c>
      <c r="AN128" s="1" t="s">
        <v>26</v>
      </c>
      <c r="AO128" s="1" t="s">
        <v>26</v>
      </c>
      <c r="AP128" s="1" t="s">
        <v>26</v>
      </c>
      <c r="AQ128" s="2" t="s">
        <v>26</v>
      </c>
      <c r="AR128" s="1" t="s">
        <v>26</v>
      </c>
      <c r="AS128" s="1" t="s">
        <v>26</v>
      </c>
      <c r="AT128" s="1" t="s">
        <v>26</v>
      </c>
      <c r="AU128" s="2" t="s">
        <v>26</v>
      </c>
      <c r="AV128" s="1" t="s">
        <v>26</v>
      </c>
      <c r="AW128" s="1" t="s">
        <v>26</v>
      </c>
      <c r="AX128" s="1" t="s">
        <v>26</v>
      </c>
      <c r="AY128" s="2">
        <v>587274416</v>
      </c>
      <c r="AZ128" s="1">
        <v>1</v>
      </c>
      <c r="BA128" s="11" t="s">
        <v>26</v>
      </c>
      <c r="BB128" s="11" t="s">
        <v>26</v>
      </c>
    </row>
    <row r="129" spans="1:54">
      <c r="A129" s="13" t="s">
        <v>100</v>
      </c>
      <c r="B129" s="25" t="s">
        <v>25</v>
      </c>
      <c r="C129" s="55">
        <v>5998180134.6599998</v>
      </c>
      <c r="D129" s="56">
        <v>0.99870000000000003</v>
      </c>
      <c r="E129" s="56" t="s">
        <v>26</v>
      </c>
      <c r="F129" s="56" t="s">
        <v>26</v>
      </c>
      <c r="G129" s="55">
        <v>146418075553.17001</v>
      </c>
      <c r="H129" s="56">
        <f>+G129/G131</f>
        <v>0.99999335946166679</v>
      </c>
      <c r="I129" s="56" t="s">
        <v>26</v>
      </c>
      <c r="J129" s="56" t="s">
        <v>26</v>
      </c>
      <c r="K129" s="55">
        <v>2799957271.8800001</v>
      </c>
      <c r="L129" s="56">
        <v>0.998</v>
      </c>
      <c r="M129" s="56" t="s">
        <v>26</v>
      </c>
      <c r="N129" s="56" t="s">
        <v>26</v>
      </c>
      <c r="O129" s="55">
        <v>218517349459.76999</v>
      </c>
      <c r="P129" s="56">
        <v>1</v>
      </c>
      <c r="Q129" s="56" t="s">
        <v>26</v>
      </c>
      <c r="R129" s="56" t="s">
        <v>26</v>
      </c>
      <c r="S129" s="55">
        <v>109256604790.85001</v>
      </c>
      <c r="T129" s="56">
        <v>1</v>
      </c>
      <c r="U129" s="56" t="s">
        <v>26</v>
      </c>
      <c r="V129" s="56" t="s">
        <v>26</v>
      </c>
      <c r="W129" s="55">
        <v>6043516270.1000004</v>
      </c>
      <c r="X129" s="56">
        <v>0.999</v>
      </c>
      <c r="Y129" s="56" t="s">
        <v>26</v>
      </c>
      <c r="Z129" s="56" t="s">
        <v>26</v>
      </c>
      <c r="AA129" s="55">
        <v>134859830433.77</v>
      </c>
      <c r="AB129" s="56">
        <v>0.99990000000000001</v>
      </c>
      <c r="AC129" s="56" t="s">
        <v>26</v>
      </c>
      <c r="AD129" s="56" t="s">
        <v>26</v>
      </c>
      <c r="AE129" s="55">
        <f>+AE8+AE13+AE17+AE47+AE57+AE67+AE86+AE91+AE96</f>
        <v>623893513917.16003</v>
      </c>
      <c r="AF129" s="56">
        <f>+AE129/AE131</f>
        <v>0.99994090623259113</v>
      </c>
      <c r="AG129" s="56" t="s">
        <v>26</v>
      </c>
      <c r="AH129" s="56" t="s">
        <v>26</v>
      </c>
      <c r="AI129" s="55">
        <v>16830764852.700001</v>
      </c>
      <c r="AJ129" s="56">
        <v>1</v>
      </c>
      <c r="AK129" s="56" t="s">
        <v>26</v>
      </c>
      <c r="AL129" s="56" t="s">
        <v>26</v>
      </c>
      <c r="AM129" s="55">
        <f>+AM8+AM13+AM17+AM47+AM67</f>
        <v>23598177742.969997</v>
      </c>
      <c r="AN129" s="56">
        <v>1</v>
      </c>
      <c r="AO129" s="56" t="s">
        <v>26</v>
      </c>
      <c r="AP129" s="56" t="s">
        <v>26</v>
      </c>
      <c r="AQ129" s="55">
        <f>+AM129+AI129</f>
        <v>40428942595.669998</v>
      </c>
      <c r="AR129" s="56">
        <v>1</v>
      </c>
      <c r="AS129" s="56" t="s">
        <v>26</v>
      </c>
      <c r="AT129" s="56" t="s">
        <v>26</v>
      </c>
      <c r="AU129" s="55">
        <v>43921496176.470001</v>
      </c>
      <c r="AV129" s="56">
        <v>1</v>
      </c>
      <c r="AW129" s="56" t="s">
        <v>26</v>
      </c>
      <c r="AX129" s="56" t="s">
        <v>26</v>
      </c>
      <c r="AY129" s="55">
        <f>+AY8+AY13+AY17+AY47+AY57+AY67+AY86+AY91+AY96</f>
        <v>708243952689.29993</v>
      </c>
      <c r="AZ129" s="62">
        <f>+AY129/AY131</f>
        <v>0.99994636142051097</v>
      </c>
      <c r="BA129" s="56" t="s">
        <v>26</v>
      </c>
      <c r="BB129" s="56" t="s">
        <v>26</v>
      </c>
    </row>
    <row r="130" spans="1:54" s="7" customFormat="1">
      <c r="A130" s="5" t="s">
        <v>101</v>
      </c>
      <c r="B130" s="24" t="s">
        <v>25</v>
      </c>
      <c r="C130" s="10">
        <v>7974879.3399999999</v>
      </c>
      <c r="D130" s="11">
        <v>1.2999999999999999E-3</v>
      </c>
      <c r="E130" s="11" t="s">
        <v>26</v>
      </c>
      <c r="F130" s="11" t="s">
        <v>26</v>
      </c>
      <c r="G130" s="10">
        <v>972301.3</v>
      </c>
      <c r="H130" s="11">
        <f>+G130/G131</f>
        <v>6.6405383332802275E-6</v>
      </c>
      <c r="I130" s="11" t="s">
        <v>26</v>
      </c>
      <c r="J130" s="11" t="s">
        <v>26</v>
      </c>
      <c r="K130" s="10">
        <v>5694206.5499999998</v>
      </c>
      <c r="L130" s="11">
        <v>2E-3</v>
      </c>
      <c r="M130" s="11" t="s">
        <v>26</v>
      </c>
      <c r="N130" s="11" t="s">
        <v>26</v>
      </c>
      <c r="O130" s="10">
        <v>188223.47</v>
      </c>
      <c r="P130" s="11">
        <v>0</v>
      </c>
      <c r="Q130" s="11" t="s">
        <v>26</v>
      </c>
      <c r="R130" s="11" t="s">
        <v>26</v>
      </c>
      <c r="S130" s="10">
        <v>323977.51</v>
      </c>
      <c r="T130" s="11">
        <v>0</v>
      </c>
      <c r="U130" s="11" t="s">
        <v>26</v>
      </c>
      <c r="V130" s="11" t="s">
        <v>26</v>
      </c>
      <c r="W130" s="10">
        <v>6065398.0800000001</v>
      </c>
      <c r="X130" s="11">
        <v>1E-3</v>
      </c>
      <c r="Y130" s="11" t="s">
        <v>26</v>
      </c>
      <c r="Z130" s="11" t="s">
        <v>26</v>
      </c>
      <c r="AA130" s="10">
        <v>15651410.76</v>
      </c>
      <c r="AB130" s="11">
        <v>1E-4</v>
      </c>
      <c r="AC130" s="11" t="s">
        <v>26</v>
      </c>
      <c r="AD130" s="11" t="s">
        <v>26</v>
      </c>
      <c r="AE130" s="10">
        <v>36870397.009999998</v>
      </c>
      <c r="AF130" s="11">
        <v>1E-4</v>
      </c>
      <c r="AG130" s="11" t="s">
        <v>26</v>
      </c>
      <c r="AH130" s="11" t="s">
        <v>26</v>
      </c>
      <c r="AI130" s="10">
        <v>26785.69</v>
      </c>
      <c r="AJ130" s="11">
        <v>0</v>
      </c>
      <c r="AK130" s="11" t="s">
        <v>26</v>
      </c>
      <c r="AL130" s="11" t="s">
        <v>26</v>
      </c>
      <c r="AM130" s="10">
        <v>1046164.31</v>
      </c>
      <c r="AN130" s="11">
        <v>0</v>
      </c>
      <c r="AO130" s="11" t="s">
        <v>26</v>
      </c>
      <c r="AP130" s="11" t="s">
        <v>26</v>
      </c>
      <c r="AQ130" s="10">
        <v>1072950</v>
      </c>
      <c r="AR130" s="11">
        <v>0</v>
      </c>
      <c r="AS130" s="11" t="s">
        <v>26</v>
      </c>
      <c r="AT130" s="11" t="s">
        <v>26</v>
      </c>
      <c r="AU130" s="10">
        <v>47890.34</v>
      </c>
      <c r="AV130" s="11">
        <v>0</v>
      </c>
      <c r="AW130" s="11" t="s">
        <v>26</v>
      </c>
      <c r="AX130" s="11" t="s">
        <v>26</v>
      </c>
      <c r="AY130" s="10">
        <v>37991237.350000001</v>
      </c>
      <c r="AZ130" s="11">
        <f>+AY130/AY131</f>
        <v>5.3638579489094524E-5</v>
      </c>
      <c r="BA130" s="11" t="s">
        <v>26</v>
      </c>
      <c r="BB130" s="11" t="s">
        <v>26</v>
      </c>
    </row>
    <row r="131" spans="1:54">
      <c r="A131" s="13" t="s">
        <v>102</v>
      </c>
      <c r="B131" s="25" t="s">
        <v>25</v>
      </c>
      <c r="C131" s="55">
        <v>6006155014</v>
      </c>
      <c r="D131" s="56">
        <v>1</v>
      </c>
      <c r="E131" s="56" t="s">
        <v>26</v>
      </c>
      <c r="F131" s="56" t="s">
        <v>26</v>
      </c>
      <c r="G131" s="55">
        <v>146419047854.47</v>
      </c>
      <c r="H131" s="56">
        <f>+H129+H130</f>
        <v>1</v>
      </c>
      <c r="I131" s="56" t="s">
        <v>26</v>
      </c>
      <c r="J131" s="56" t="s">
        <v>26</v>
      </c>
      <c r="K131" s="55">
        <v>2805651478.4299998</v>
      </c>
      <c r="L131" s="56">
        <v>1</v>
      </c>
      <c r="M131" s="56" t="s">
        <v>26</v>
      </c>
      <c r="N131" s="56" t="s">
        <v>26</v>
      </c>
      <c r="O131" s="55">
        <v>218517537683.23999</v>
      </c>
      <c r="P131" s="56">
        <v>1</v>
      </c>
      <c r="Q131" s="56" t="s">
        <v>26</v>
      </c>
      <c r="R131" s="56" t="s">
        <v>26</v>
      </c>
      <c r="S131" s="55">
        <v>109256928768.36</v>
      </c>
      <c r="T131" s="56">
        <v>1</v>
      </c>
      <c r="U131" s="56" t="s">
        <v>26</v>
      </c>
      <c r="V131" s="56" t="s">
        <v>26</v>
      </c>
      <c r="W131" s="55">
        <v>6049581668.1800003</v>
      </c>
      <c r="X131" s="56">
        <v>1</v>
      </c>
      <c r="Y131" s="56" t="s">
        <v>26</v>
      </c>
      <c r="Z131" s="56" t="s">
        <v>26</v>
      </c>
      <c r="AA131" s="55">
        <v>134875481844.53</v>
      </c>
      <c r="AB131" s="56">
        <v>1</v>
      </c>
      <c r="AC131" s="56" t="s">
        <v>26</v>
      </c>
      <c r="AD131" s="56" t="s">
        <v>26</v>
      </c>
      <c r="AE131" s="55">
        <f>+AE129+AE130</f>
        <v>623930384314.17004</v>
      </c>
      <c r="AF131" s="56">
        <f>+AF129+AF130</f>
        <v>1.0000409062325912</v>
      </c>
      <c r="AG131" s="56" t="s">
        <v>26</v>
      </c>
      <c r="AH131" s="56" t="s">
        <v>26</v>
      </c>
      <c r="AI131" s="55">
        <v>16830791638.389999</v>
      </c>
      <c r="AJ131" s="56">
        <v>1</v>
      </c>
      <c r="AK131" s="56" t="s">
        <v>26</v>
      </c>
      <c r="AL131" s="56" t="s">
        <v>26</v>
      </c>
      <c r="AM131" s="55">
        <f>+AM129+AM130</f>
        <v>23599223907.279999</v>
      </c>
      <c r="AN131" s="56">
        <v>1</v>
      </c>
      <c r="AO131" s="56" t="s">
        <v>26</v>
      </c>
      <c r="AP131" s="56" t="s">
        <v>26</v>
      </c>
      <c r="AQ131" s="55">
        <f>+AQ129+AQ130</f>
        <v>40430015545.669998</v>
      </c>
      <c r="AR131" s="56">
        <v>1</v>
      </c>
      <c r="AS131" s="56" t="s">
        <v>26</v>
      </c>
      <c r="AT131" s="56" t="s">
        <v>26</v>
      </c>
      <c r="AU131" s="55">
        <v>43921544066.809998</v>
      </c>
      <c r="AV131" s="56">
        <v>1</v>
      </c>
      <c r="AW131" s="56" t="s">
        <v>26</v>
      </c>
      <c r="AX131" s="56" t="s">
        <v>26</v>
      </c>
      <c r="AY131" s="55">
        <f>+AY129+AY130</f>
        <v>708281943926.6499</v>
      </c>
      <c r="AZ131" s="56">
        <f>+AZ129+AZ130</f>
        <v>1</v>
      </c>
      <c r="BA131" s="56" t="s">
        <v>26</v>
      </c>
      <c r="BB131" s="56" t="s">
        <v>26</v>
      </c>
    </row>
    <row r="133" spans="1:54">
      <c r="A133" s="18" t="s">
        <v>103</v>
      </c>
      <c r="G133" s="46"/>
      <c r="AM133" s="46"/>
      <c r="AY133" s="46"/>
    </row>
    <row r="134" spans="1:54">
      <c r="A134" s="39" t="s">
        <v>115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39"/>
  <sheetViews>
    <sheetView zoomScaleNormal="100" workbookViewId="0">
      <pane xSplit="2" ySplit="7" topLeftCell="F8" activePane="bottomRight" state="frozen"/>
      <selection pane="bottomRight" activeCell="G12" sqref="G12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20.28515625" style="9" bestFit="1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1.85546875" style="9" bestFit="1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5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8.85546875" style="9" bestFit="1" customWidth="1"/>
    <col min="32" max="32" width="13.28515625" style="9" customWidth="1"/>
    <col min="33" max="33" width="9.7109375" style="9" customWidth="1"/>
    <col min="34" max="34" width="10.85546875" style="9" bestFit="1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8.85546875" style="9" bestFit="1" customWidth="1"/>
    <col min="57" max="16384" width="9.140625" style="9"/>
  </cols>
  <sheetData>
    <row r="1" spans="1:5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6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6">
      <c r="A3" s="12" t="s">
        <v>123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6">
      <c r="A4" s="4" t="s">
        <v>3</v>
      </c>
      <c r="B4" s="4"/>
      <c r="C4" s="4"/>
      <c r="D4" s="4"/>
      <c r="E4" s="4"/>
      <c r="F4" s="4"/>
      <c r="G4" s="57"/>
      <c r="H4" s="5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5" spans="1:56">
      <c r="AE5" s="46"/>
    </row>
    <row r="6" spans="1:56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6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6">
      <c r="A8" s="13" t="s">
        <v>24</v>
      </c>
      <c r="B8" s="25" t="s">
        <v>25</v>
      </c>
      <c r="C8" s="55">
        <v>2797799954.8600001</v>
      </c>
      <c r="D8" s="56">
        <v>0.45520519999279002</v>
      </c>
      <c r="E8" s="56" t="s">
        <v>26</v>
      </c>
      <c r="F8" s="56" t="s">
        <v>26</v>
      </c>
      <c r="G8" s="55">
        <f>+G9+G11</f>
        <v>77265528846.059998</v>
      </c>
      <c r="H8" s="56">
        <f>+G8/G135</f>
        <v>0.52164848830919341</v>
      </c>
      <c r="I8" s="56" t="s">
        <v>26</v>
      </c>
      <c r="J8" s="56" t="s">
        <v>26</v>
      </c>
      <c r="K8" s="55">
        <v>877950213.89999998</v>
      </c>
      <c r="L8" s="56">
        <v>0.30649128821770999</v>
      </c>
      <c r="M8" s="56" t="s">
        <v>26</v>
      </c>
      <c r="N8" s="56" t="s">
        <v>26</v>
      </c>
      <c r="O8" s="55">
        <f>+O9+O11</f>
        <v>92498066344.789993</v>
      </c>
      <c r="P8" s="56">
        <f>+O8/O135</f>
        <v>0.41755667429522275</v>
      </c>
      <c r="Q8" s="56" t="s">
        <v>26</v>
      </c>
      <c r="R8" s="56" t="s">
        <v>26</v>
      </c>
      <c r="S8" s="55">
        <f>+S9+S11</f>
        <v>51935859763.75</v>
      </c>
      <c r="T8" s="56">
        <f>+S8/S135</f>
        <v>0.47121746967496664</v>
      </c>
      <c r="U8" s="56" t="s">
        <v>26</v>
      </c>
      <c r="V8" s="56" t="s">
        <v>26</v>
      </c>
      <c r="W8" s="55">
        <v>1953520425.0799999</v>
      </c>
      <c r="X8" s="56">
        <v>0.31802110386334997</v>
      </c>
      <c r="Y8" s="56" t="s">
        <v>26</v>
      </c>
      <c r="Z8" s="56" t="s">
        <v>26</v>
      </c>
      <c r="AA8" s="55">
        <v>68849992392.660004</v>
      </c>
      <c r="AB8" s="56">
        <f>+AA8/AA135</f>
        <v>0.50384197520459262</v>
      </c>
      <c r="AC8" s="56" t="s">
        <v>26</v>
      </c>
      <c r="AD8" s="56" t="s">
        <v>26</v>
      </c>
      <c r="AE8" s="55">
        <f>+AE9+AE11</f>
        <v>296178717941.09998</v>
      </c>
      <c r="AF8" s="56">
        <f>+AE8/AE135</f>
        <v>0.46888947812463094</v>
      </c>
      <c r="AG8" s="56" t="s">
        <v>26</v>
      </c>
      <c r="AH8" s="56" t="s">
        <v>26</v>
      </c>
      <c r="AI8" s="55">
        <v>7086592273.5200005</v>
      </c>
      <c r="AJ8" s="56">
        <v>0.41805653823312</v>
      </c>
      <c r="AK8" s="56" t="s">
        <v>26</v>
      </c>
      <c r="AL8" s="56" t="s">
        <v>26</v>
      </c>
      <c r="AM8" s="55">
        <v>7015380576.79</v>
      </c>
      <c r="AN8" s="56">
        <v>0.29492721397301003</v>
      </c>
      <c r="AO8" s="56" t="s">
        <v>26</v>
      </c>
      <c r="AP8" s="56" t="s">
        <v>26</v>
      </c>
      <c r="AQ8" s="55">
        <v>14101972850.309999</v>
      </c>
      <c r="AR8" s="56">
        <v>0.34616179407370001</v>
      </c>
      <c r="AS8" s="56" t="s">
        <v>26</v>
      </c>
      <c r="AT8" s="56" t="s">
        <v>26</v>
      </c>
      <c r="AU8" s="55">
        <v>19654566049.970001</v>
      </c>
      <c r="AV8" s="56">
        <v>0.44177647565255002</v>
      </c>
      <c r="AW8" s="56" t="s">
        <v>26</v>
      </c>
      <c r="AX8" s="56" t="s">
        <v>26</v>
      </c>
      <c r="AY8" s="55">
        <f>+AY9+AY11</f>
        <v>329935256841.38</v>
      </c>
      <c r="AZ8" s="56">
        <f>+AY8/AY135</f>
        <v>0.46023269176979537</v>
      </c>
      <c r="BA8" s="56" t="s">
        <v>26</v>
      </c>
      <c r="BB8" s="56" t="s">
        <v>26</v>
      </c>
    </row>
    <row r="9" spans="1:56" s="8" customFormat="1">
      <c r="A9" s="5" t="s">
        <v>27</v>
      </c>
      <c r="B9" s="24" t="s">
        <v>25</v>
      </c>
      <c r="C9" s="10">
        <v>2797799954.8600001</v>
      </c>
      <c r="D9" s="11">
        <v>0.45520519999279002</v>
      </c>
      <c r="E9" s="11">
        <v>0.5</v>
      </c>
      <c r="F9" s="11">
        <v>4.48E-2</v>
      </c>
      <c r="G9" s="10">
        <f>+G10</f>
        <v>71413743972.490005</v>
      </c>
      <c r="H9" s="11">
        <f>+G9/G135</f>
        <v>0.48214089962381479</v>
      </c>
      <c r="I9" s="11">
        <v>0.5</v>
      </c>
      <c r="J9" s="11">
        <f>+I9-H9</f>
        <v>1.7859100376185211E-2</v>
      </c>
      <c r="K9" s="10">
        <v>877950213.89999998</v>
      </c>
      <c r="L9" s="11">
        <v>0.30649128821770999</v>
      </c>
      <c r="M9" s="11">
        <v>0.5</v>
      </c>
      <c r="N9" s="11">
        <v>0.19350000000000001</v>
      </c>
      <c r="O9" s="10">
        <f>+O10</f>
        <v>91120635617.389999</v>
      </c>
      <c r="P9" s="11">
        <f>+O9/O135</f>
        <v>0.4113386481641545</v>
      </c>
      <c r="Q9" s="11">
        <v>0.5</v>
      </c>
      <c r="R9" s="11">
        <v>8.2400000000000001E-2</v>
      </c>
      <c r="S9" s="10">
        <f>+S10</f>
        <v>50407631293.75</v>
      </c>
      <c r="T9" s="11">
        <f>+S9/S135</f>
        <v>0.4573517523075365</v>
      </c>
      <c r="U9" s="11">
        <v>0.5</v>
      </c>
      <c r="V9" s="11">
        <v>2.8799999999999999E-2</v>
      </c>
      <c r="W9" s="10">
        <v>1953520425.0799999</v>
      </c>
      <c r="X9" s="11">
        <v>0.31802110386334997</v>
      </c>
      <c r="Y9" s="11">
        <v>0.5</v>
      </c>
      <c r="Z9" s="11">
        <v>0.182</v>
      </c>
      <c r="AA9" s="10">
        <f>+AA10</f>
        <v>67210193907.660004</v>
      </c>
      <c r="AB9" s="11">
        <f>+AA9/AA135</f>
        <v>0.49184198393505135</v>
      </c>
      <c r="AC9" s="11">
        <v>0.5</v>
      </c>
      <c r="AD9" s="11">
        <f>+AC9-AB9</f>
        <v>8.1580160649486477E-3</v>
      </c>
      <c r="AE9" s="10">
        <f>+AE10</f>
        <v>285781475385.13</v>
      </c>
      <c r="AF9" s="54">
        <f>+AE9/AE135</f>
        <v>0.45242928925659259</v>
      </c>
      <c r="AG9" s="11">
        <v>0.5</v>
      </c>
      <c r="AH9" s="11">
        <v>3.1300000000000001E-2</v>
      </c>
      <c r="AI9" s="10">
        <v>7086592273.5200005</v>
      </c>
      <c r="AJ9" s="11">
        <v>0.41805653823312</v>
      </c>
      <c r="AK9" s="11">
        <v>0.5</v>
      </c>
      <c r="AL9" s="11">
        <v>8.1900000000000001E-2</v>
      </c>
      <c r="AM9" s="10">
        <v>7015380576.79</v>
      </c>
      <c r="AN9" s="11">
        <v>0.29492721397301003</v>
      </c>
      <c r="AO9" s="11">
        <v>0.5</v>
      </c>
      <c r="AP9" s="11">
        <v>0.2051</v>
      </c>
      <c r="AQ9" s="10">
        <v>14101972850.309999</v>
      </c>
      <c r="AR9" s="11">
        <v>0.34616179407370001</v>
      </c>
      <c r="AS9" s="11">
        <v>0.5</v>
      </c>
      <c r="AT9" s="11">
        <v>0.15379999999999999</v>
      </c>
      <c r="AU9" s="10">
        <v>19654566049.970001</v>
      </c>
      <c r="AV9" s="11">
        <v>0.44177647565255002</v>
      </c>
      <c r="AW9" s="11">
        <v>0.5</v>
      </c>
      <c r="AX9" s="11">
        <v>5.8200000000000002E-2</v>
      </c>
      <c r="AY9" s="10">
        <f>+AY10</f>
        <v>319538014285.41003</v>
      </c>
      <c r="AZ9" s="11">
        <f>+AY9/AY135</f>
        <v>0.4457293889875224</v>
      </c>
      <c r="BA9" s="11">
        <v>0.5</v>
      </c>
      <c r="BB9" s="11">
        <v>0.04</v>
      </c>
      <c r="BD9" s="58"/>
    </row>
    <row r="10" spans="1:56">
      <c r="A10" s="3" t="s">
        <v>28</v>
      </c>
      <c r="B10" s="31" t="s">
        <v>29</v>
      </c>
      <c r="C10" s="2">
        <v>2797799954.8600001</v>
      </c>
      <c r="D10" s="1">
        <v>1</v>
      </c>
      <c r="E10" s="11" t="s">
        <v>26</v>
      </c>
      <c r="F10" s="11" t="s">
        <v>26</v>
      </c>
      <c r="G10" s="2">
        <v>71413743972.490005</v>
      </c>
      <c r="H10" s="1">
        <f>+G10/G8</f>
        <v>0.92426396400872635</v>
      </c>
      <c r="I10" s="11" t="s">
        <v>26</v>
      </c>
      <c r="J10" s="11" t="s">
        <v>26</v>
      </c>
      <c r="K10" s="47">
        <v>877950213.89999998</v>
      </c>
      <c r="L10" s="1">
        <v>1</v>
      </c>
      <c r="M10" s="11" t="s">
        <v>26</v>
      </c>
      <c r="N10" s="11" t="s">
        <v>26</v>
      </c>
      <c r="O10" s="2">
        <v>91120635617.389999</v>
      </c>
      <c r="P10" s="1">
        <f>+O10/O8</f>
        <v>0.98510854570445217</v>
      </c>
      <c r="Q10" s="11" t="s">
        <v>26</v>
      </c>
      <c r="R10" s="11" t="s">
        <v>26</v>
      </c>
      <c r="S10" s="2">
        <v>50407631293.75</v>
      </c>
      <c r="T10" s="1">
        <v>0.97057469584692002</v>
      </c>
      <c r="U10" s="11" t="s">
        <v>26</v>
      </c>
      <c r="V10" s="11" t="s">
        <v>26</v>
      </c>
      <c r="W10" s="2">
        <v>1953520425.0799999</v>
      </c>
      <c r="X10" s="1">
        <v>1</v>
      </c>
      <c r="Y10" s="11" t="s">
        <v>26</v>
      </c>
      <c r="Z10" s="11" t="s">
        <v>26</v>
      </c>
      <c r="AA10" s="2">
        <v>67210193907.660004</v>
      </c>
      <c r="AB10" s="1">
        <f>+AA10/AA8</f>
        <v>0.97618302590873174</v>
      </c>
      <c r="AC10" s="11" t="s">
        <v>26</v>
      </c>
      <c r="AD10" s="11" t="s">
        <v>26</v>
      </c>
      <c r="AE10" s="2">
        <v>285781475385.13</v>
      </c>
      <c r="AF10" s="1">
        <f>+AE10/AE8</f>
        <v>0.96489537591273644</v>
      </c>
      <c r="AG10" s="11" t="s">
        <v>26</v>
      </c>
      <c r="AH10" s="11" t="s">
        <v>26</v>
      </c>
      <c r="AI10" s="2">
        <v>7086592273.5200005</v>
      </c>
      <c r="AJ10" s="1">
        <v>1</v>
      </c>
      <c r="AK10" s="11" t="s">
        <v>26</v>
      </c>
      <c r="AL10" s="11" t="s">
        <v>26</v>
      </c>
      <c r="AM10" s="22">
        <v>7015380576.79</v>
      </c>
      <c r="AN10" s="1">
        <v>1</v>
      </c>
      <c r="AO10" s="11" t="s">
        <v>26</v>
      </c>
      <c r="AP10" s="11" t="s">
        <v>26</v>
      </c>
      <c r="AQ10" s="2">
        <v>14101972850.309999</v>
      </c>
      <c r="AR10" s="1">
        <v>1</v>
      </c>
      <c r="AS10" s="1" t="s">
        <v>25</v>
      </c>
      <c r="AT10" s="1" t="s">
        <v>25</v>
      </c>
      <c r="AU10" s="2">
        <v>19654566049.970001</v>
      </c>
      <c r="AV10" s="1">
        <v>1</v>
      </c>
      <c r="AW10" s="11" t="s">
        <v>26</v>
      </c>
      <c r="AX10" s="11" t="s">
        <v>26</v>
      </c>
      <c r="AY10" s="2">
        <v>319538014285.41003</v>
      </c>
      <c r="AZ10" s="1">
        <v>0.96847346483820995</v>
      </c>
      <c r="BA10" s="11" t="s">
        <v>26</v>
      </c>
      <c r="BB10" s="11" t="s">
        <v>26</v>
      </c>
      <c r="BD10" s="41"/>
    </row>
    <row r="11" spans="1:56" s="7" customFormat="1">
      <c r="A11" s="26" t="s">
        <v>27</v>
      </c>
      <c r="B11" s="24"/>
      <c r="C11" s="10" t="s">
        <v>26</v>
      </c>
      <c r="D11" s="11" t="s">
        <v>26</v>
      </c>
      <c r="E11" s="11" t="s">
        <v>26</v>
      </c>
      <c r="F11" s="11" t="s">
        <v>26</v>
      </c>
      <c r="G11" s="10">
        <f>+G12</f>
        <v>5851784873.5699997</v>
      </c>
      <c r="H11" s="11">
        <f>+G11/G135</f>
        <v>3.9507588685378611E-2</v>
      </c>
      <c r="I11" s="11">
        <v>0.1</v>
      </c>
      <c r="J11" s="11">
        <f>+I11-H11</f>
        <v>6.0492411314621394E-2</v>
      </c>
      <c r="K11" s="10" t="s">
        <v>26</v>
      </c>
      <c r="L11" s="11" t="s">
        <v>26</v>
      </c>
      <c r="M11" s="11" t="s">
        <v>26</v>
      </c>
      <c r="N11" s="11" t="s">
        <v>26</v>
      </c>
      <c r="O11" s="10">
        <f>+O12</f>
        <v>1377430727.4000001</v>
      </c>
      <c r="P11" s="11">
        <f>+O11/O135</f>
        <v>6.2180261310683018E-3</v>
      </c>
      <c r="Q11" s="11">
        <v>0.1</v>
      </c>
      <c r="R11" s="11">
        <f>+Q11-P11</f>
        <v>9.3781973868931709E-2</v>
      </c>
      <c r="S11" s="51">
        <f>+S12</f>
        <v>1528228470</v>
      </c>
      <c r="T11" s="11">
        <f>+S11/S135</f>
        <v>1.3865717367430161E-2</v>
      </c>
      <c r="U11" s="11">
        <v>0.1</v>
      </c>
      <c r="V11" s="11">
        <f>+U11-T11</f>
        <v>8.613428263256985E-2</v>
      </c>
      <c r="W11" s="10" t="s">
        <v>26</v>
      </c>
      <c r="X11" s="11" t="s">
        <v>26</v>
      </c>
      <c r="Y11" s="11" t="s">
        <v>26</v>
      </c>
      <c r="Z11" s="11" t="s">
        <v>26</v>
      </c>
      <c r="AA11" s="10">
        <f>+AA12</f>
        <v>1639798485</v>
      </c>
      <c r="AB11" s="11">
        <f>+AA11/AA135</f>
        <v>1.1999991269541205E-2</v>
      </c>
      <c r="AC11" s="11">
        <v>0.1</v>
      </c>
      <c r="AD11" s="11">
        <f>+AC11-AB11</f>
        <v>8.8000008730458795E-2</v>
      </c>
      <c r="AE11" s="28">
        <f>+AE12</f>
        <v>10397242555.969999</v>
      </c>
      <c r="AF11" s="54">
        <f>+AE11/AE135</f>
        <v>1.6460188868038392E-2</v>
      </c>
      <c r="AG11" s="54">
        <v>0.1</v>
      </c>
      <c r="AH11" s="54">
        <f>+AG11-AF11</f>
        <v>8.3539811131961614E-2</v>
      </c>
      <c r="AI11" s="10" t="s">
        <v>26</v>
      </c>
      <c r="AJ11" s="11" t="s">
        <v>26</v>
      </c>
      <c r="AK11" s="11" t="s">
        <v>26</v>
      </c>
      <c r="AL11" s="11" t="s">
        <v>26</v>
      </c>
      <c r="AM11" s="28" t="s">
        <v>26</v>
      </c>
      <c r="AN11" s="11" t="s">
        <v>26</v>
      </c>
      <c r="AO11" s="11" t="s">
        <v>26</v>
      </c>
      <c r="AP11" s="11" t="s">
        <v>26</v>
      </c>
      <c r="AQ11" s="10" t="s">
        <v>26</v>
      </c>
      <c r="AR11" s="11" t="s">
        <v>26</v>
      </c>
      <c r="AS11" s="11" t="s">
        <v>26</v>
      </c>
      <c r="AT11" s="11" t="s">
        <v>26</v>
      </c>
      <c r="AU11" s="10" t="s">
        <v>26</v>
      </c>
      <c r="AV11" s="11" t="s">
        <v>26</v>
      </c>
      <c r="AW11" s="11" t="s">
        <v>26</v>
      </c>
      <c r="AX11" s="11" t="s">
        <v>26</v>
      </c>
      <c r="AY11" s="28">
        <f>+AY12</f>
        <v>10397242555.969999</v>
      </c>
      <c r="AZ11" s="11">
        <f>+AY11/AY135</f>
        <v>1.4503302782272989E-2</v>
      </c>
      <c r="BA11" s="54">
        <v>0.1</v>
      </c>
      <c r="BB11" s="54">
        <f>+BA11-AZ11</f>
        <v>8.5496697217727013E-2</v>
      </c>
    </row>
    <row r="12" spans="1:56" ht="17.25">
      <c r="A12" s="3" t="s">
        <v>113</v>
      </c>
      <c r="B12" s="31" t="s">
        <v>29</v>
      </c>
      <c r="C12" s="10" t="s">
        <v>26</v>
      </c>
      <c r="D12" s="11" t="s">
        <v>26</v>
      </c>
      <c r="E12" s="11" t="s">
        <v>26</v>
      </c>
      <c r="F12" s="11" t="s">
        <v>26</v>
      </c>
      <c r="G12" s="2">
        <v>5851784873.5699997</v>
      </c>
      <c r="H12" s="1">
        <f>+G12/G8</f>
        <v>7.5736035991273751E-2</v>
      </c>
      <c r="I12" s="11" t="s">
        <v>26</v>
      </c>
      <c r="J12" s="11" t="s">
        <v>26</v>
      </c>
      <c r="K12" s="10" t="s">
        <v>26</v>
      </c>
      <c r="L12" s="11" t="s">
        <v>26</v>
      </c>
      <c r="M12" s="11" t="s">
        <v>26</v>
      </c>
      <c r="N12" s="11" t="s">
        <v>26</v>
      </c>
      <c r="O12" s="2">
        <v>1377430727.4000001</v>
      </c>
      <c r="P12" s="1">
        <f>+O12/O9</f>
        <v>1.5116561885978801E-2</v>
      </c>
      <c r="Q12" s="11" t="s">
        <v>26</v>
      </c>
      <c r="R12" s="11" t="s">
        <v>26</v>
      </c>
      <c r="S12" s="2">
        <v>1528228470</v>
      </c>
      <c r="T12" s="1">
        <v>2.9425304153079999E-2</v>
      </c>
      <c r="U12" s="11" t="s">
        <v>26</v>
      </c>
      <c r="V12" s="11" t="s">
        <v>26</v>
      </c>
      <c r="W12" s="10" t="s">
        <v>26</v>
      </c>
      <c r="X12" s="11" t="s">
        <v>26</v>
      </c>
      <c r="Y12" s="11" t="s">
        <v>26</v>
      </c>
      <c r="Z12" s="11" t="s">
        <v>26</v>
      </c>
      <c r="AA12" s="2">
        <v>1639798485</v>
      </c>
      <c r="AB12" s="1">
        <f>+AA12/AA8</f>
        <v>2.3816974091268258E-2</v>
      </c>
      <c r="AC12" s="11" t="s">
        <v>26</v>
      </c>
      <c r="AD12" s="11" t="s">
        <v>26</v>
      </c>
      <c r="AE12" s="2">
        <v>10397242555.969999</v>
      </c>
      <c r="AF12" s="1">
        <f>+AE12/AE11</f>
        <v>1</v>
      </c>
      <c r="AG12" s="11" t="s">
        <v>26</v>
      </c>
      <c r="AH12" s="11" t="s">
        <v>26</v>
      </c>
      <c r="AI12" s="10" t="s">
        <v>26</v>
      </c>
      <c r="AJ12" s="11" t="s">
        <v>26</v>
      </c>
      <c r="AK12" s="11" t="s">
        <v>26</v>
      </c>
      <c r="AL12" s="11" t="s">
        <v>26</v>
      </c>
      <c r="AM12" s="10" t="s">
        <v>26</v>
      </c>
      <c r="AN12" s="11" t="s">
        <v>26</v>
      </c>
      <c r="AO12" s="11" t="s">
        <v>26</v>
      </c>
      <c r="AP12" s="11" t="s">
        <v>26</v>
      </c>
      <c r="AQ12" s="10" t="s">
        <v>26</v>
      </c>
      <c r="AR12" s="11" t="s">
        <v>26</v>
      </c>
      <c r="AS12" s="11" t="s">
        <v>26</v>
      </c>
      <c r="AT12" s="11" t="s">
        <v>26</v>
      </c>
      <c r="AU12" s="10" t="s">
        <v>26</v>
      </c>
      <c r="AV12" s="11" t="s">
        <v>26</v>
      </c>
      <c r="AW12" s="11" t="s">
        <v>26</v>
      </c>
      <c r="AX12" s="11" t="s">
        <v>26</v>
      </c>
      <c r="AY12" s="2">
        <v>10397242555.969999</v>
      </c>
      <c r="AZ12" s="1">
        <v>3.1526535161789999E-2</v>
      </c>
      <c r="BA12" s="11" t="s">
        <v>26</v>
      </c>
      <c r="BB12" s="11" t="s">
        <v>26</v>
      </c>
    </row>
    <row r="13" spans="1:56">
      <c r="A13" s="13" t="s">
        <v>30</v>
      </c>
      <c r="B13" s="25" t="s">
        <v>25</v>
      </c>
      <c r="C13" s="55">
        <v>2133333521.2</v>
      </c>
      <c r="D13" s="56">
        <v>0.34709576375619</v>
      </c>
      <c r="E13" s="56" t="s">
        <v>26</v>
      </c>
      <c r="F13" s="56" t="s">
        <v>26</v>
      </c>
      <c r="G13" s="55">
        <v>48008172682.150002</v>
      </c>
      <c r="H13" s="56">
        <v>0.32412113241371998</v>
      </c>
      <c r="I13" s="56" t="s">
        <v>26</v>
      </c>
      <c r="J13" s="56" t="s">
        <v>26</v>
      </c>
      <c r="K13" s="55">
        <v>839045857.94000006</v>
      </c>
      <c r="L13" s="56">
        <v>0.29290982768989998</v>
      </c>
      <c r="M13" s="56" t="s">
        <v>26</v>
      </c>
      <c r="N13" s="56" t="s">
        <v>26</v>
      </c>
      <c r="O13" s="55">
        <v>72398508789.720001</v>
      </c>
      <c r="P13" s="56">
        <v>0.32682283802002998</v>
      </c>
      <c r="Q13" s="56" t="s">
        <v>26</v>
      </c>
      <c r="R13" s="56" t="s">
        <v>26</v>
      </c>
      <c r="S13" s="55">
        <v>30412135123.400002</v>
      </c>
      <c r="T13" s="56">
        <v>0.27593130113663999</v>
      </c>
      <c r="U13" s="56" t="s">
        <v>26</v>
      </c>
      <c r="V13" s="56" t="s">
        <v>26</v>
      </c>
      <c r="W13" s="55">
        <v>2995306049.96</v>
      </c>
      <c r="X13" s="56">
        <v>0.48761739277839999</v>
      </c>
      <c r="Y13" s="56" t="s">
        <v>26</v>
      </c>
      <c r="Z13" s="56" t="s">
        <v>26</v>
      </c>
      <c r="AA13" s="55">
        <v>39179870653.949997</v>
      </c>
      <c r="AB13" s="56">
        <v>0.28671700217430002</v>
      </c>
      <c r="AC13" s="56" t="s">
        <v>26</v>
      </c>
      <c r="AD13" s="56" t="s">
        <v>26</v>
      </c>
      <c r="AE13" s="55">
        <v>195966372678.32001</v>
      </c>
      <c r="AF13" s="56">
        <v>0.31024028618216998</v>
      </c>
      <c r="AG13" s="56" t="s">
        <v>26</v>
      </c>
      <c r="AH13" s="56" t="s">
        <v>26</v>
      </c>
      <c r="AI13" s="55">
        <v>6493860646.1599998</v>
      </c>
      <c r="AJ13" s="56">
        <v>0.38308975551565999</v>
      </c>
      <c r="AK13" s="56" t="s">
        <v>26</v>
      </c>
      <c r="AL13" s="56" t="s">
        <v>26</v>
      </c>
      <c r="AM13" s="55">
        <v>11937788459.790001</v>
      </c>
      <c r="AN13" s="56">
        <v>0.50186567256142001</v>
      </c>
      <c r="AO13" s="56" t="s">
        <v>26</v>
      </c>
      <c r="AP13" s="56" t="s">
        <v>26</v>
      </c>
      <c r="AQ13" s="55">
        <v>18431649105.950001</v>
      </c>
      <c r="AR13" s="56">
        <v>0.45244256175917003</v>
      </c>
      <c r="AS13" s="56" t="s">
        <v>26</v>
      </c>
      <c r="AT13" s="56" t="s">
        <v>26</v>
      </c>
      <c r="AU13" s="55">
        <v>14130775673.01</v>
      </c>
      <c r="AV13" s="56">
        <v>0.31761801604715001</v>
      </c>
      <c r="AW13" s="56" t="s">
        <v>26</v>
      </c>
      <c r="AX13" s="56" t="s">
        <v>26</v>
      </c>
      <c r="AY13" s="55">
        <v>228528797457.28</v>
      </c>
      <c r="AZ13" s="56">
        <v>0.31877897684405998</v>
      </c>
      <c r="BA13" s="56" t="s">
        <v>26</v>
      </c>
      <c r="BB13" s="56" t="s">
        <v>26</v>
      </c>
    </row>
    <row r="14" spans="1:56" s="8" customFormat="1">
      <c r="A14" s="5" t="s">
        <v>31</v>
      </c>
      <c r="B14" s="24" t="s">
        <v>25</v>
      </c>
      <c r="C14" s="10">
        <v>2133333521.2</v>
      </c>
      <c r="D14" s="11">
        <v>0.34709576375619</v>
      </c>
      <c r="E14" s="11">
        <v>0.5</v>
      </c>
      <c r="F14" s="11">
        <v>0.15290000000000001</v>
      </c>
      <c r="G14" s="10">
        <v>48008172682.150002</v>
      </c>
      <c r="H14" s="11">
        <v>0.32412113241371998</v>
      </c>
      <c r="I14" s="11">
        <v>0.5</v>
      </c>
      <c r="J14" s="11">
        <v>0.1759</v>
      </c>
      <c r="K14" s="10">
        <v>839045857.94000006</v>
      </c>
      <c r="L14" s="11">
        <v>0.29290982768989998</v>
      </c>
      <c r="M14" s="11">
        <v>0.5</v>
      </c>
      <c r="N14" s="11">
        <v>0.20710000000000001</v>
      </c>
      <c r="O14" s="10">
        <v>72398508789.720001</v>
      </c>
      <c r="P14" s="11">
        <v>0.32682283802002998</v>
      </c>
      <c r="Q14" s="11">
        <v>0.5</v>
      </c>
      <c r="R14" s="11">
        <v>0.17319999999999999</v>
      </c>
      <c r="S14" s="10">
        <v>30412135123.400002</v>
      </c>
      <c r="T14" s="11">
        <v>0.27593130113663999</v>
      </c>
      <c r="U14" s="11">
        <v>0.5</v>
      </c>
      <c r="V14" s="11">
        <v>0.22409999999999999</v>
      </c>
      <c r="W14" s="10">
        <v>2995306049.96</v>
      </c>
      <c r="X14" s="11">
        <v>0.48761739277839999</v>
      </c>
      <c r="Y14" s="11">
        <v>0.5</v>
      </c>
      <c r="Z14" s="11">
        <v>1.24E-2</v>
      </c>
      <c r="AA14" s="10">
        <v>39179870653.949997</v>
      </c>
      <c r="AB14" s="11">
        <v>0.28671700217430002</v>
      </c>
      <c r="AC14" s="11">
        <v>0.50009999999999999</v>
      </c>
      <c r="AD14" s="11">
        <v>0.21340000000000001</v>
      </c>
      <c r="AE14" s="10">
        <v>195966372678.32001</v>
      </c>
      <c r="AF14" s="54">
        <v>0.31024028618216998</v>
      </c>
      <c r="AG14" s="11">
        <v>0.50009999999999999</v>
      </c>
      <c r="AH14" s="11">
        <v>0.18990000000000001</v>
      </c>
      <c r="AI14" s="10">
        <v>6493860646.1599998</v>
      </c>
      <c r="AJ14" s="11">
        <v>0.38308975551565999</v>
      </c>
      <c r="AK14" s="11">
        <v>0.5</v>
      </c>
      <c r="AL14" s="11">
        <v>0.1169</v>
      </c>
      <c r="AM14" s="10">
        <v>11937788459.790001</v>
      </c>
      <c r="AN14" s="11">
        <v>0.50186567256142001</v>
      </c>
      <c r="AO14" s="11">
        <v>0.5</v>
      </c>
      <c r="AP14" s="11">
        <v>-1.9E-3</v>
      </c>
      <c r="AQ14" s="10">
        <v>18431649105.950001</v>
      </c>
      <c r="AR14" s="11">
        <v>0.45244256175917003</v>
      </c>
      <c r="AS14" s="11">
        <v>0.5</v>
      </c>
      <c r="AT14" s="11">
        <v>4.7600000000000003E-2</v>
      </c>
      <c r="AU14" s="10">
        <v>14130775673.01</v>
      </c>
      <c r="AV14" s="11">
        <v>0.31761801604715001</v>
      </c>
      <c r="AW14" s="11">
        <v>0.5</v>
      </c>
      <c r="AX14" s="11">
        <v>0.18240000000000001</v>
      </c>
      <c r="AY14" s="10">
        <v>228528797457.28</v>
      </c>
      <c r="AZ14" s="11">
        <v>0.31877897684405998</v>
      </c>
      <c r="BA14" s="11">
        <v>0.5</v>
      </c>
      <c r="BB14" s="11">
        <v>0.1812</v>
      </c>
    </row>
    <row r="15" spans="1:56">
      <c r="A15" s="3" t="s">
        <v>32</v>
      </c>
      <c r="B15" s="31" t="s">
        <v>29</v>
      </c>
      <c r="C15" s="2">
        <v>961053298.10000002</v>
      </c>
      <c r="D15" s="1">
        <v>0.45049369381276999</v>
      </c>
      <c r="E15" s="11" t="s">
        <v>26</v>
      </c>
      <c r="F15" s="11" t="s">
        <v>26</v>
      </c>
      <c r="G15" s="2">
        <v>17777944039.34</v>
      </c>
      <c r="H15" s="1">
        <v>0.37031078347937002</v>
      </c>
      <c r="I15" s="11" t="s">
        <v>26</v>
      </c>
      <c r="J15" s="11" t="s">
        <v>26</v>
      </c>
      <c r="K15" s="47">
        <v>249510127.16999999</v>
      </c>
      <c r="L15" s="1">
        <v>0.29737364746974998</v>
      </c>
      <c r="M15" s="11" t="s">
        <v>26</v>
      </c>
      <c r="N15" s="11" t="s">
        <v>26</v>
      </c>
      <c r="O15" s="2">
        <v>20687829590.16</v>
      </c>
      <c r="P15" s="1">
        <v>0.28574938815724998</v>
      </c>
      <c r="Q15" s="11" t="s">
        <v>26</v>
      </c>
      <c r="R15" s="11" t="s">
        <v>26</v>
      </c>
      <c r="S15" s="2">
        <v>11790171933.030001</v>
      </c>
      <c r="T15" s="1">
        <v>0.38767984836283997</v>
      </c>
      <c r="U15" s="11" t="s">
        <v>26</v>
      </c>
      <c r="V15" s="11" t="s">
        <v>26</v>
      </c>
      <c r="W15" s="2">
        <v>1241713679.05</v>
      </c>
      <c r="X15" s="1">
        <v>0.41455319033811999</v>
      </c>
      <c r="Y15" s="11" t="s">
        <v>26</v>
      </c>
      <c r="Z15" s="11" t="s">
        <v>26</v>
      </c>
      <c r="AA15" s="2">
        <v>18417865994.959999</v>
      </c>
      <c r="AB15" s="1">
        <v>0.47008491063263003</v>
      </c>
      <c r="AC15" s="11" t="s">
        <v>26</v>
      </c>
      <c r="AD15" s="11" t="s">
        <v>26</v>
      </c>
      <c r="AE15" s="2">
        <v>71126088661.809998</v>
      </c>
      <c r="AF15" s="1">
        <v>0.36295047813414</v>
      </c>
      <c r="AG15" s="11" t="s">
        <v>26</v>
      </c>
      <c r="AH15" s="11" t="s">
        <v>26</v>
      </c>
      <c r="AI15" s="2">
        <v>1708449031.9100001</v>
      </c>
      <c r="AJ15" s="1">
        <v>0.26308680228921</v>
      </c>
      <c r="AK15" s="11" t="s">
        <v>26</v>
      </c>
      <c r="AL15" s="11" t="s">
        <v>26</v>
      </c>
      <c r="AM15" s="22">
        <v>6840208733.1899996</v>
      </c>
      <c r="AN15" s="1">
        <v>0.57298793291822003</v>
      </c>
      <c r="AO15" s="11" t="s">
        <v>26</v>
      </c>
      <c r="AP15" s="11" t="s">
        <v>26</v>
      </c>
      <c r="AQ15" s="2">
        <v>8548657765.1000004</v>
      </c>
      <c r="AR15" s="1">
        <v>0.46380319611989002</v>
      </c>
      <c r="AS15" s="11" t="s">
        <v>26</v>
      </c>
      <c r="AT15" s="11" t="s">
        <v>26</v>
      </c>
      <c r="AU15" s="2">
        <v>7826515563.2200003</v>
      </c>
      <c r="AV15" s="1">
        <v>0.55386312431303997</v>
      </c>
      <c r="AW15" s="11" t="s">
        <v>26</v>
      </c>
      <c r="AX15" s="11" t="s">
        <v>26</v>
      </c>
      <c r="AY15" s="2">
        <v>87501261990.130005</v>
      </c>
      <c r="AZ15" s="1">
        <v>0.38288943434574002</v>
      </c>
      <c r="BA15" s="11" t="s">
        <v>26</v>
      </c>
      <c r="BB15" s="11" t="s">
        <v>26</v>
      </c>
    </row>
    <row r="16" spans="1:56">
      <c r="A16" s="3" t="s">
        <v>124</v>
      </c>
      <c r="B16" s="31" t="s">
        <v>39</v>
      </c>
      <c r="C16" s="10" t="s">
        <v>26</v>
      </c>
      <c r="D16" s="11" t="s">
        <v>26</v>
      </c>
      <c r="E16" s="11" t="s">
        <v>26</v>
      </c>
      <c r="F16" s="11" t="s">
        <v>26</v>
      </c>
      <c r="G16" s="2">
        <v>1671152116.6900001</v>
      </c>
      <c r="H16" s="1">
        <v>3.4809742244389999E-2</v>
      </c>
      <c r="I16" s="11" t="s">
        <v>26</v>
      </c>
      <c r="J16" s="11" t="s">
        <v>26</v>
      </c>
      <c r="K16" s="10" t="s">
        <v>26</v>
      </c>
      <c r="L16" s="11" t="s">
        <v>26</v>
      </c>
      <c r="M16" s="11" t="s">
        <v>26</v>
      </c>
      <c r="N16" s="11" t="s">
        <v>26</v>
      </c>
      <c r="O16" s="10" t="s">
        <v>26</v>
      </c>
      <c r="P16" s="11" t="s">
        <v>26</v>
      </c>
      <c r="Q16" s="11" t="s">
        <v>26</v>
      </c>
      <c r="R16" s="11" t="s">
        <v>26</v>
      </c>
      <c r="S16" s="10" t="s">
        <v>26</v>
      </c>
      <c r="T16" s="11" t="s">
        <v>26</v>
      </c>
      <c r="U16" s="11" t="s">
        <v>26</v>
      </c>
      <c r="V16" s="11" t="s">
        <v>26</v>
      </c>
      <c r="W16" s="10" t="s">
        <v>26</v>
      </c>
      <c r="X16" s="11" t="s">
        <v>26</v>
      </c>
      <c r="Y16" s="11" t="s">
        <v>26</v>
      </c>
      <c r="Z16" s="11" t="s">
        <v>26</v>
      </c>
      <c r="AA16" s="2">
        <v>2415899825</v>
      </c>
      <c r="AB16" s="1">
        <v>6.1661761120599998E-2</v>
      </c>
      <c r="AC16" s="11" t="s">
        <v>26</v>
      </c>
      <c r="AD16" s="11" t="s">
        <v>26</v>
      </c>
      <c r="AE16" s="2">
        <v>4087051941.6900001</v>
      </c>
      <c r="AF16" s="1">
        <v>2.0855884026589999E-2</v>
      </c>
      <c r="AG16" s="11" t="s">
        <v>26</v>
      </c>
      <c r="AH16" s="11" t="s">
        <v>26</v>
      </c>
      <c r="AI16" s="10" t="s">
        <v>26</v>
      </c>
      <c r="AJ16" s="11" t="s">
        <v>26</v>
      </c>
      <c r="AK16" s="11" t="s">
        <v>26</v>
      </c>
      <c r="AL16" s="11" t="s">
        <v>26</v>
      </c>
      <c r="AM16" s="22">
        <v>301214390.18000001</v>
      </c>
      <c r="AN16" s="1">
        <v>2.5232009362080001E-2</v>
      </c>
      <c r="AO16" s="11" t="s">
        <v>26</v>
      </c>
      <c r="AP16" s="11" t="s">
        <v>26</v>
      </c>
      <c r="AQ16" s="2">
        <v>301214390.18000001</v>
      </c>
      <c r="AR16" s="1">
        <v>1.6342237661350002E-2</v>
      </c>
      <c r="AS16" s="11" t="s">
        <v>26</v>
      </c>
      <c r="AT16" s="11" t="s">
        <v>26</v>
      </c>
      <c r="AU16" s="10" t="s">
        <v>26</v>
      </c>
      <c r="AV16" s="11" t="s">
        <v>26</v>
      </c>
      <c r="AW16" s="11" t="s">
        <v>26</v>
      </c>
      <c r="AX16" s="11" t="s">
        <v>26</v>
      </c>
      <c r="AY16" s="2">
        <v>4388266331.8699999</v>
      </c>
      <c r="AZ16" s="1">
        <v>1.920224663454E-2</v>
      </c>
      <c r="BA16" s="11" t="s">
        <v>26</v>
      </c>
      <c r="BB16" s="11" t="s">
        <v>26</v>
      </c>
    </row>
    <row r="17" spans="1:56">
      <c r="A17" s="3" t="s">
        <v>33</v>
      </c>
      <c r="B17" s="31" t="s">
        <v>29</v>
      </c>
      <c r="C17" s="2">
        <v>1172280223.0999999</v>
      </c>
      <c r="D17" s="1">
        <v>0.54950630618722995</v>
      </c>
      <c r="E17" s="11" t="s">
        <v>26</v>
      </c>
      <c r="F17" s="11" t="s">
        <v>26</v>
      </c>
      <c r="G17" s="2">
        <v>28559076526.119999</v>
      </c>
      <c r="H17" s="1">
        <v>0.59487947427623</v>
      </c>
      <c r="I17" s="11" t="s">
        <v>26</v>
      </c>
      <c r="J17" s="11" t="s">
        <v>26</v>
      </c>
      <c r="K17" s="47">
        <v>589535730.76999998</v>
      </c>
      <c r="L17" s="1">
        <v>0.70262635253024996</v>
      </c>
      <c r="M17" s="11" t="s">
        <v>26</v>
      </c>
      <c r="N17" s="11" t="s">
        <v>26</v>
      </c>
      <c r="O17" s="2">
        <v>51710679199.559998</v>
      </c>
      <c r="P17" s="1">
        <v>0.71425061184274996</v>
      </c>
      <c r="Q17" s="11" t="s">
        <v>26</v>
      </c>
      <c r="R17" s="11" t="s">
        <v>26</v>
      </c>
      <c r="S17" s="2">
        <v>18621963190.369999</v>
      </c>
      <c r="T17" s="1">
        <v>0.61232015163716003</v>
      </c>
      <c r="U17" s="11" t="s">
        <v>26</v>
      </c>
      <c r="V17" s="11" t="s">
        <v>26</v>
      </c>
      <c r="W17" s="2">
        <v>1753592370.9100001</v>
      </c>
      <c r="X17" s="1">
        <v>0.58544680966188001</v>
      </c>
      <c r="Y17" s="11" t="s">
        <v>26</v>
      </c>
      <c r="Z17" s="11" t="s">
        <v>26</v>
      </c>
      <c r="AA17" s="2">
        <v>18346104833.990002</v>
      </c>
      <c r="AB17" s="1">
        <v>0.46825332824677002</v>
      </c>
      <c r="AC17" s="11" t="s">
        <v>26</v>
      </c>
      <c r="AD17" s="11" t="s">
        <v>26</v>
      </c>
      <c r="AE17" s="2">
        <v>120753232074.82001</v>
      </c>
      <c r="AF17" s="1">
        <v>0.61619363783926995</v>
      </c>
      <c r="AG17" s="11" t="s">
        <v>26</v>
      </c>
      <c r="AH17" s="11" t="s">
        <v>26</v>
      </c>
      <c r="AI17" s="2">
        <v>4785411614.25</v>
      </c>
      <c r="AJ17" s="1">
        <v>0.73691319771079</v>
      </c>
      <c r="AK17" s="11" t="s">
        <v>26</v>
      </c>
      <c r="AL17" s="11" t="s">
        <v>26</v>
      </c>
      <c r="AM17" s="22">
        <v>4796365336.4200001</v>
      </c>
      <c r="AN17" s="1">
        <v>0.40178005771969999</v>
      </c>
      <c r="AO17" s="11" t="s">
        <v>26</v>
      </c>
      <c r="AP17" s="11" t="s">
        <v>26</v>
      </c>
      <c r="AQ17" s="2">
        <v>9581776950.6700001</v>
      </c>
      <c r="AR17" s="1">
        <v>0.51985456621876003</v>
      </c>
      <c r="AS17" s="11" t="s">
        <v>26</v>
      </c>
      <c r="AT17" s="11" t="s">
        <v>26</v>
      </c>
      <c r="AU17" s="2">
        <v>6304260109.79</v>
      </c>
      <c r="AV17" s="1">
        <v>0.44613687568695998</v>
      </c>
      <c r="AW17" s="11" t="s">
        <v>26</v>
      </c>
      <c r="AX17" s="11" t="s">
        <v>26</v>
      </c>
      <c r="AY17" s="2">
        <v>136639269135.28</v>
      </c>
      <c r="AZ17" s="1">
        <v>0.59790831901971997</v>
      </c>
      <c r="BA17" s="11" t="s">
        <v>26</v>
      </c>
      <c r="BB17" s="11" t="s">
        <v>26</v>
      </c>
    </row>
    <row r="18" spans="1:56">
      <c r="A18" s="13" t="s">
        <v>34</v>
      </c>
      <c r="B18" s="25" t="s">
        <v>25</v>
      </c>
      <c r="C18" s="55">
        <v>259913910.63</v>
      </c>
      <c r="D18" s="56">
        <v>4.2288285645199999E-2</v>
      </c>
      <c r="E18" s="56" t="s">
        <v>26</v>
      </c>
      <c r="F18" s="56" t="s">
        <v>26</v>
      </c>
      <c r="G18" s="55">
        <v>7996031246.5600004</v>
      </c>
      <c r="H18" s="56">
        <v>5.3984198057469998E-2</v>
      </c>
      <c r="I18" s="56" t="s">
        <v>26</v>
      </c>
      <c r="J18" s="56" t="s">
        <v>26</v>
      </c>
      <c r="K18" s="55">
        <v>239582087.09</v>
      </c>
      <c r="L18" s="56">
        <v>8.3637797842670003E-2</v>
      </c>
      <c r="M18" s="56" t="s">
        <v>26</v>
      </c>
      <c r="N18" s="56" t="s">
        <v>26</v>
      </c>
      <c r="O18" s="55">
        <v>16357717107.73</v>
      </c>
      <c r="P18" s="56">
        <v>7.3842343137270006E-2</v>
      </c>
      <c r="Q18" s="56" t="s">
        <v>26</v>
      </c>
      <c r="R18" s="56" t="s">
        <v>26</v>
      </c>
      <c r="S18" s="55">
        <v>13832066527.379999</v>
      </c>
      <c r="T18" s="56">
        <v>0.12549924886305999</v>
      </c>
      <c r="U18" s="56" t="s">
        <v>26</v>
      </c>
      <c r="V18" s="56" t="s">
        <v>26</v>
      </c>
      <c r="W18" s="55">
        <v>1115815137.6300001</v>
      </c>
      <c r="X18" s="56">
        <v>0.18164783803681001</v>
      </c>
      <c r="Y18" s="56" t="s">
        <v>26</v>
      </c>
      <c r="Z18" s="56" t="s">
        <v>26</v>
      </c>
      <c r="AA18" s="55">
        <v>13942014793.17</v>
      </c>
      <c r="AB18" s="56">
        <v>0.10202720476221</v>
      </c>
      <c r="AC18" s="56" t="s">
        <v>26</v>
      </c>
      <c r="AD18" s="56" t="s">
        <v>26</v>
      </c>
      <c r="AE18" s="55">
        <v>53743140810.190002</v>
      </c>
      <c r="AF18" s="56">
        <v>8.5082390194829993E-2</v>
      </c>
      <c r="AG18" s="56" t="s">
        <v>26</v>
      </c>
      <c r="AH18" s="56" t="s">
        <v>26</v>
      </c>
      <c r="AI18" s="55">
        <v>2037526463.21</v>
      </c>
      <c r="AJ18" s="56">
        <v>0.12019899366171</v>
      </c>
      <c r="AK18" s="56" t="s">
        <v>26</v>
      </c>
      <c r="AL18" s="56" t="s">
        <v>26</v>
      </c>
      <c r="AM18" s="55">
        <v>2097509129.8099999</v>
      </c>
      <c r="AN18" s="56">
        <v>8.8179467552259999E-2</v>
      </c>
      <c r="AO18" s="56" t="s">
        <v>26</v>
      </c>
      <c r="AP18" s="56" t="s">
        <v>26</v>
      </c>
      <c r="AQ18" s="55">
        <v>4135035593.02</v>
      </c>
      <c r="AR18" s="56">
        <v>0.10150291414062</v>
      </c>
      <c r="AS18" s="56" t="s">
        <v>26</v>
      </c>
      <c r="AT18" s="56" t="s">
        <v>26</v>
      </c>
      <c r="AU18" s="55">
        <v>5853398633.0699997</v>
      </c>
      <c r="AV18" s="56">
        <v>0.13156707770258999</v>
      </c>
      <c r="AW18" s="56" t="s">
        <v>26</v>
      </c>
      <c r="AX18" s="56" t="s">
        <v>26</v>
      </c>
      <c r="AY18" s="55">
        <v>63731575036.279999</v>
      </c>
      <c r="AZ18" s="56">
        <v>8.8900333388070005E-2</v>
      </c>
      <c r="BA18" s="56" t="s">
        <v>26</v>
      </c>
      <c r="BB18" s="56" t="s">
        <v>26</v>
      </c>
    </row>
    <row r="19" spans="1:56" s="7" customFormat="1">
      <c r="A19" s="5" t="s">
        <v>35</v>
      </c>
      <c r="B19" s="24" t="s">
        <v>25</v>
      </c>
      <c r="C19" s="10">
        <v>7066130.4100000001</v>
      </c>
      <c r="D19" s="11">
        <v>1.1496673666300001E-3</v>
      </c>
      <c r="E19" s="11">
        <v>0.15</v>
      </c>
      <c r="F19" s="11">
        <v>0.1489</v>
      </c>
      <c r="G19" s="10">
        <v>3602300533.3299999</v>
      </c>
      <c r="H19" s="11">
        <v>2.4320478429530001E-2</v>
      </c>
      <c r="I19" s="11">
        <v>0.15</v>
      </c>
      <c r="J19" s="11">
        <v>0.12570000000000001</v>
      </c>
      <c r="K19" s="10" t="s">
        <v>25</v>
      </c>
      <c r="L19" s="11" t="s">
        <v>25</v>
      </c>
      <c r="M19" s="11" t="s">
        <v>25</v>
      </c>
      <c r="N19" s="11" t="s">
        <v>25</v>
      </c>
      <c r="O19" s="10">
        <v>5001452506.4200001</v>
      </c>
      <c r="P19" s="11">
        <v>2.257765981228E-2</v>
      </c>
      <c r="Q19" s="11">
        <v>0.13769999999999999</v>
      </c>
      <c r="R19" s="11">
        <v>0.11509999999999999</v>
      </c>
      <c r="S19" s="10">
        <v>4226708818.8099999</v>
      </c>
      <c r="T19" s="11">
        <v>3.8349206958590003E-2</v>
      </c>
      <c r="U19" s="11">
        <v>0.05</v>
      </c>
      <c r="V19" s="11">
        <v>1.17E-2</v>
      </c>
      <c r="W19" s="10">
        <v>319907663.58999997</v>
      </c>
      <c r="X19" s="11">
        <v>5.2078999023040001E-2</v>
      </c>
      <c r="Y19" s="11">
        <v>0.15</v>
      </c>
      <c r="Z19" s="11">
        <v>9.7900000000000001E-2</v>
      </c>
      <c r="AA19" s="10">
        <v>6296945320.3400002</v>
      </c>
      <c r="AB19" s="11">
        <v>4.6080838322559999E-2</v>
      </c>
      <c r="AC19" s="11">
        <v>0.14019999999999999</v>
      </c>
      <c r="AD19" s="11">
        <v>9.4100000000000003E-2</v>
      </c>
      <c r="AE19" s="10">
        <v>19454380972.900002</v>
      </c>
      <c r="AF19" s="11">
        <v>3.0798818379090001E-2</v>
      </c>
      <c r="AG19" s="11">
        <v>0.1429</v>
      </c>
      <c r="AH19" s="11">
        <v>0.11210000000000001</v>
      </c>
      <c r="AI19" s="10">
        <v>447111851.26999998</v>
      </c>
      <c r="AJ19" s="11">
        <v>2.637629279779E-2</v>
      </c>
      <c r="AK19" s="11">
        <v>0.05</v>
      </c>
      <c r="AL19" s="11">
        <v>2.3599999999999999E-2</v>
      </c>
      <c r="AM19" s="10">
        <v>753794211.5</v>
      </c>
      <c r="AN19" s="11">
        <v>3.1689574681410003E-2</v>
      </c>
      <c r="AO19" s="11">
        <v>0.15</v>
      </c>
      <c r="AP19" s="11">
        <v>0.1183</v>
      </c>
      <c r="AQ19" s="10">
        <v>1200906062.77</v>
      </c>
      <c r="AR19" s="11">
        <v>2.9478697882570001E-2</v>
      </c>
      <c r="AS19" s="11">
        <v>0.1454</v>
      </c>
      <c r="AT19" s="11">
        <v>0.1159</v>
      </c>
      <c r="AU19" s="10">
        <v>1898264352.78</v>
      </c>
      <c r="AV19" s="11">
        <v>4.2667364595890003E-2</v>
      </c>
      <c r="AW19" s="11">
        <v>0.05</v>
      </c>
      <c r="AX19" s="11">
        <v>7.3000000000000001E-3</v>
      </c>
      <c r="AY19" s="10">
        <v>22553551388.450001</v>
      </c>
      <c r="AZ19" s="11">
        <v>3.1460359113620003E-2</v>
      </c>
      <c r="BA19" s="11">
        <v>0.14319999999999999</v>
      </c>
      <c r="BB19" s="11">
        <v>0.11169999999999999</v>
      </c>
    </row>
    <row r="20" spans="1:56" s="7" customFormat="1">
      <c r="A20" s="3" t="s">
        <v>36</v>
      </c>
      <c r="B20" s="31" t="s">
        <v>37</v>
      </c>
      <c r="C20" s="10" t="s">
        <v>26</v>
      </c>
      <c r="D20" s="11" t="s">
        <v>26</v>
      </c>
      <c r="E20" s="11" t="s">
        <v>26</v>
      </c>
      <c r="F20" s="11" t="s">
        <v>26</v>
      </c>
      <c r="G20" s="10" t="s">
        <v>26</v>
      </c>
      <c r="H20" s="11" t="s">
        <v>26</v>
      </c>
      <c r="I20" s="11" t="s">
        <v>26</v>
      </c>
      <c r="J20" s="11" t="s">
        <v>26</v>
      </c>
      <c r="K20" s="10" t="s">
        <v>26</v>
      </c>
      <c r="L20" s="11" t="s">
        <v>26</v>
      </c>
      <c r="M20" s="11" t="s">
        <v>26</v>
      </c>
      <c r="N20" s="11" t="s">
        <v>26</v>
      </c>
      <c r="O20" s="2">
        <v>4105412640</v>
      </c>
      <c r="P20" s="1">
        <v>0.82084407174318996</v>
      </c>
      <c r="Q20" s="11" t="s">
        <v>26</v>
      </c>
      <c r="R20" s="11" t="s">
        <v>26</v>
      </c>
      <c r="S20" s="2">
        <v>1011984215.76</v>
      </c>
      <c r="T20" s="1">
        <v>0.23942605444132001</v>
      </c>
      <c r="U20" s="11" t="s">
        <v>26</v>
      </c>
      <c r="V20" s="11" t="s">
        <v>26</v>
      </c>
      <c r="W20" s="10" t="s">
        <v>26</v>
      </c>
      <c r="X20" s="11" t="s">
        <v>26</v>
      </c>
      <c r="Y20" s="11" t="s">
        <v>26</v>
      </c>
      <c r="Z20" s="11" t="s">
        <v>26</v>
      </c>
      <c r="AA20" s="2">
        <v>4105412640</v>
      </c>
      <c r="AB20" s="1">
        <v>0.65196892003158002</v>
      </c>
      <c r="AC20" s="11" t="s">
        <v>26</v>
      </c>
      <c r="AD20" s="11" t="s">
        <v>26</v>
      </c>
      <c r="AE20" s="2">
        <v>9222809495.7600002</v>
      </c>
      <c r="AF20" s="1">
        <v>0.47407365511179</v>
      </c>
      <c r="AG20" s="11" t="s">
        <v>26</v>
      </c>
      <c r="AH20" s="11" t="s">
        <v>26</v>
      </c>
      <c r="AI20" s="2">
        <v>367434431.27999997</v>
      </c>
      <c r="AJ20" s="1">
        <v>0.82179532981808001</v>
      </c>
      <c r="AK20" s="11" t="s">
        <v>26</v>
      </c>
      <c r="AL20" s="11" t="s">
        <v>26</v>
      </c>
      <c r="AM20" s="10" t="s">
        <v>26</v>
      </c>
      <c r="AN20" s="11" t="s">
        <v>26</v>
      </c>
      <c r="AO20" s="11" t="s">
        <v>26</v>
      </c>
      <c r="AP20" s="11" t="s">
        <v>26</v>
      </c>
      <c r="AQ20" s="2">
        <v>367434431.27999997</v>
      </c>
      <c r="AR20" s="1">
        <v>0.30596434031857001</v>
      </c>
      <c r="AS20" s="1" t="s">
        <v>25</v>
      </c>
      <c r="AT20" s="1" t="s">
        <v>25</v>
      </c>
      <c r="AU20" s="2">
        <v>655839669.24000001</v>
      </c>
      <c r="AV20" s="1">
        <v>0.34549438189656001</v>
      </c>
      <c r="AW20" s="11" t="s">
        <v>26</v>
      </c>
      <c r="AX20" s="11" t="s">
        <v>26</v>
      </c>
      <c r="AY20" s="2">
        <v>10246083596.280001</v>
      </c>
      <c r="AZ20" s="1">
        <v>0.45430023058484997</v>
      </c>
      <c r="BA20" s="11" t="s">
        <v>26</v>
      </c>
      <c r="BB20" s="11" t="s">
        <v>26</v>
      </c>
    </row>
    <row r="21" spans="1:56" s="7" customFormat="1">
      <c r="A21" s="3" t="s">
        <v>38</v>
      </c>
      <c r="B21" s="31" t="s">
        <v>39</v>
      </c>
      <c r="C21" s="2">
        <v>7066130.4100000001</v>
      </c>
      <c r="D21" s="1">
        <v>1</v>
      </c>
      <c r="E21" s="11" t="s">
        <v>26</v>
      </c>
      <c r="F21" s="11" t="s">
        <v>26</v>
      </c>
      <c r="G21" s="2">
        <v>3602300533.3299999</v>
      </c>
      <c r="H21" s="1">
        <v>1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2">
        <v>896039866.41999996</v>
      </c>
      <c r="P21" s="1">
        <v>0.17915592825681001</v>
      </c>
      <c r="Q21" s="11" t="s">
        <v>26</v>
      </c>
      <c r="R21" s="11" t="s">
        <v>26</v>
      </c>
      <c r="S21" s="2">
        <v>3214724603.0500002</v>
      </c>
      <c r="T21" s="1">
        <v>0.76057394555867996</v>
      </c>
      <c r="U21" s="11" t="s">
        <v>26</v>
      </c>
      <c r="V21" s="11" t="s">
        <v>26</v>
      </c>
      <c r="W21" s="2">
        <v>319907663.58999997</v>
      </c>
      <c r="X21" s="1">
        <v>1</v>
      </c>
      <c r="Y21" s="11" t="s">
        <v>26</v>
      </c>
      <c r="Z21" s="11" t="s">
        <v>26</v>
      </c>
      <c r="AA21" s="2">
        <v>2191532680.3400002</v>
      </c>
      <c r="AB21" s="1">
        <v>0.34803107996841998</v>
      </c>
      <c r="AC21" s="11" t="s">
        <v>26</v>
      </c>
      <c r="AD21" s="11" t="s">
        <v>26</v>
      </c>
      <c r="AE21" s="2">
        <v>10231571477.139999</v>
      </c>
      <c r="AF21" s="1">
        <v>0.52592634488821</v>
      </c>
      <c r="AG21" s="11" t="s">
        <v>26</v>
      </c>
      <c r="AH21" s="11" t="s">
        <v>26</v>
      </c>
      <c r="AI21" s="2">
        <v>79677419.989999995</v>
      </c>
      <c r="AJ21" s="1">
        <v>0.17820467018191999</v>
      </c>
      <c r="AK21" s="11" t="s">
        <v>26</v>
      </c>
      <c r="AL21" s="11" t="s">
        <v>26</v>
      </c>
      <c r="AM21" s="2">
        <v>753794211.5</v>
      </c>
      <c r="AN21" s="1">
        <v>1</v>
      </c>
      <c r="AO21" s="11" t="s">
        <v>26</v>
      </c>
      <c r="AP21" s="11" t="s">
        <v>26</v>
      </c>
      <c r="AQ21" s="2">
        <v>833471631.49000001</v>
      </c>
      <c r="AR21" s="1">
        <v>0.69403565968142999</v>
      </c>
      <c r="AS21" s="1" t="s">
        <v>25</v>
      </c>
      <c r="AT21" s="1" t="s">
        <v>25</v>
      </c>
      <c r="AU21" s="2">
        <v>1242424683.54</v>
      </c>
      <c r="AV21" s="1">
        <v>0.65450561810343999</v>
      </c>
      <c r="AW21" s="11" t="s">
        <v>26</v>
      </c>
      <c r="AX21" s="11" t="s">
        <v>26</v>
      </c>
      <c r="AY21" s="2">
        <v>12307467792.17</v>
      </c>
      <c r="AZ21" s="1">
        <v>0.54569976941514997</v>
      </c>
      <c r="BA21" s="11" t="s">
        <v>26</v>
      </c>
      <c r="BB21" s="11" t="s">
        <v>26</v>
      </c>
    </row>
    <row r="22" spans="1:56" s="7" customFormat="1">
      <c r="A22" s="5" t="s">
        <v>41</v>
      </c>
      <c r="B22" s="24" t="s">
        <v>25</v>
      </c>
      <c r="C22" s="10" t="s">
        <v>26</v>
      </c>
      <c r="D22" s="11" t="s">
        <v>26</v>
      </c>
      <c r="E22" s="11" t="s">
        <v>26</v>
      </c>
      <c r="F22" s="11" t="s">
        <v>26</v>
      </c>
      <c r="G22" s="10" t="s">
        <v>26</v>
      </c>
      <c r="H22" s="11" t="s">
        <v>26</v>
      </c>
      <c r="I22" s="11" t="s">
        <v>26</v>
      </c>
      <c r="J22" s="11" t="s">
        <v>26</v>
      </c>
      <c r="K22" s="10" t="s">
        <v>26</v>
      </c>
      <c r="L22" s="11" t="s">
        <v>26</v>
      </c>
      <c r="M22" s="11" t="s">
        <v>26</v>
      </c>
      <c r="N22" s="11" t="s">
        <v>26</v>
      </c>
      <c r="O22" s="10" t="s">
        <v>26</v>
      </c>
      <c r="P22" s="11" t="s">
        <v>26</v>
      </c>
      <c r="Q22" s="11" t="s">
        <v>26</v>
      </c>
      <c r="R22" s="11" t="s">
        <v>26</v>
      </c>
      <c r="S22" s="10" t="s">
        <v>26</v>
      </c>
      <c r="T22" s="11" t="s">
        <v>26</v>
      </c>
      <c r="U22" s="11" t="s">
        <v>26</v>
      </c>
      <c r="V22" s="11" t="s">
        <v>26</v>
      </c>
      <c r="W22" s="10">
        <v>141922210.90000001</v>
      </c>
      <c r="X22" s="11">
        <v>2.310406259064E-2</v>
      </c>
      <c r="Y22" s="11">
        <v>0.15</v>
      </c>
      <c r="Z22" s="11">
        <v>0.12690000000000001</v>
      </c>
      <c r="AA22" s="10" t="s">
        <v>26</v>
      </c>
      <c r="AB22" s="11" t="s">
        <v>26</v>
      </c>
      <c r="AC22" s="11" t="s">
        <v>26</v>
      </c>
      <c r="AD22" s="11" t="s">
        <v>26</v>
      </c>
      <c r="AE22" s="10">
        <v>141922210.90000001</v>
      </c>
      <c r="AF22" s="11">
        <v>2.2468134060000001E-4</v>
      </c>
      <c r="AG22" s="11">
        <v>0.15</v>
      </c>
      <c r="AH22" s="11">
        <v>0.14979999999999999</v>
      </c>
      <c r="AI22" s="10">
        <v>16068293.43</v>
      </c>
      <c r="AJ22" s="11">
        <v>9.4791048607999998E-4</v>
      </c>
      <c r="AK22" s="11">
        <v>0.15</v>
      </c>
      <c r="AL22" s="11">
        <v>0.14910000000000001</v>
      </c>
      <c r="AM22" s="10" t="s">
        <v>26</v>
      </c>
      <c r="AN22" s="11" t="s">
        <v>26</v>
      </c>
      <c r="AO22" s="11" t="s">
        <v>26</v>
      </c>
      <c r="AP22" s="11" t="s">
        <v>26</v>
      </c>
      <c r="AQ22" s="10">
        <v>16068293.43</v>
      </c>
      <c r="AR22" s="11">
        <v>3.9442915828000002E-4</v>
      </c>
      <c r="AS22" s="11">
        <v>0.15</v>
      </c>
      <c r="AT22" s="11">
        <v>0.14960000000000001</v>
      </c>
      <c r="AU22" s="10">
        <v>92360899.359999999</v>
      </c>
      <c r="AV22" s="11">
        <v>2.07599966866E-3</v>
      </c>
      <c r="AW22" s="11">
        <v>0.15</v>
      </c>
      <c r="AX22" s="11">
        <v>0.1479</v>
      </c>
      <c r="AY22" s="10">
        <v>250351403.69</v>
      </c>
      <c r="AZ22" s="11">
        <v>3.4921972726E-4</v>
      </c>
      <c r="BA22" s="11">
        <v>0.15</v>
      </c>
      <c r="BB22" s="11">
        <v>0.1497</v>
      </c>
      <c r="BD22" s="20"/>
    </row>
    <row r="23" spans="1:56" s="7" customFormat="1">
      <c r="A23" s="3" t="s">
        <v>38</v>
      </c>
      <c r="B23" s="31" t="s">
        <v>39</v>
      </c>
      <c r="C23" s="10" t="s">
        <v>26</v>
      </c>
      <c r="D23" s="11" t="s">
        <v>26</v>
      </c>
      <c r="E23" s="11" t="s">
        <v>26</v>
      </c>
      <c r="F23" s="11" t="s">
        <v>26</v>
      </c>
      <c r="G23" s="10" t="s">
        <v>26</v>
      </c>
      <c r="H23" s="11" t="s">
        <v>26</v>
      </c>
      <c r="I23" s="11" t="s">
        <v>26</v>
      </c>
      <c r="J23" s="11" t="s">
        <v>26</v>
      </c>
      <c r="K23" s="10" t="s">
        <v>26</v>
      </c>
      <c r="L23" s="11" t="s">
        <v>26</v>
      </c>
      <c r="M23" s="11" t="s">
        <v>26</v>
      </c>
      <c r="N23" s="11" t="s">
        <v>26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2">
        <v>141922210.90000001</v>
      </c>
      <c r="X23" s="1">
        <v>1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2">
        <v>141922210.90000001</v>
      </c>
      <c r="AF23" s="1">
        <v>1</v>
      </c>
      <c r="AG23" s="11" t="s">
        <v>26</v>
      </c>
      <c r="AH23" s="11" t="s">
        <v>26</v>
      </c>
      <c r="AI23" s="2">
        <v>16068293.43</v>
      </c>
      <c r="AJ23" s="1">
        <v>1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2">
        <v>16068293.43</v>
      </c>
      <c r="AR23" s="1">
        <v>1</v>
      </c>
      <c r="AS23" s="11" t="s">
        <v>26</v>
      </c>
      <c r="AT23" s="11" t="s">
        <v>26</v>
      </c>
      <c r="AU23" s="2">
        <v>92360899.359999999</v>
      </c>
      <c r="AV23" s="1">
        <v>1</v>
      </c>
      <c r="AW23" s="11" t="s">
        <v>26</v>
      </c>
      <c r="AX23" s="11" t="s">
        <v>26</v>
      </c>
      <c r="AY23" s="2">
        <v>250351403.69</v>
      </c>
      <c r="AZ23" s="1">
        <v>1</v>
      </c>
      <c r="BA23" s="11" t="s">
        <v>26</v>
      </c>
      <c r="BB23" s="11" t="s">
        <v>26</v>
      </c>
    </row>
    <row r="24" spans="1:56" s="7" customFormat="1">
      <c r="A24" s="5" t="s">
        <v>42</v>
      </c>
      <c r="B24" s="24" t="s">
        <v>25</v>
      </c>
      <c r="C24" s="10">
        <v>166376185.81</v>
      </c>
      <c r="D24" s="11">
        <v>2.7069592593320001E-2</v>
      </c>
      <c r="E24" s="11">
        <v>0.13500000000000001</v>
      </c>
      <c r="F24" s="11">
        <v>0.1079</v>
      </c>
      <c r="G24" s="10" t="s">
        <v>26</v>
      </c>
      <c r="H24" s="11" t="s">
        <v>26</v>
      </c>
      <c r="I24" s="11" t="s">
        <v>26</v>
      </c>
      <c r="J24" s="11" t="s">
        <v>26</v>
      </c>
      <c r="K24" s="10" t="s">
        <v>26</v>
      </c>
      <c r="L24" s="11" t="s">
        <v>26</v>
      </c>
      <c r="M24" s="11" t="s">
        <v>26</v>
      </c>
      <c r="N24" s="11" t="s">
        <v>26</v>
      </c>
      <c r="O24" s="10" t="s">
        <v>26</v>
      </c>
      <c r="P24" s="11" t="s">
        <v>26</v>
      </c>
      <c r="Q24" s="11" t="s">
        <v>26</v>
      </c>
      <c r="R24" s="11" t="s">
        <v>26</v>
      </c>
      <c r="S24" s="10" t="s">
        <v>26</v>
      </c>
      <c r="T24" s="11" t="s">
        <v>26</v>
      </c>
      <c r="U24" s="11" t="s">
        <v>26</v>
      </c>
      <c r="V24" s="11" t="s">
        <v>26</v>
      </c>
      <c r="W24" s="10" t="s">
        <v>26</v>
      </c>
      <c r="X24" s="11" t="s">
        <v>26</v>
      </c>
      <c r="Y24" s="11" t="s">
        <v>26</v>
      </c>
      <c r="Z24" s="11" t="s">
        <v>26</v>
      </c>
      <c r="AA24" s="10" t="s">
        <v>26</v>
      </c>
      <c r="AB24" s="11" t="s">
        <v>26</v>
      </c>
      <c r="AC24" s="11" t="s">
        <v>26</v>
      </c>
      <c r="AD24" s="11" t="s">
        <v>26</v>
      </c>
      <c r="AE24" s="10">
        <v>166376185.81</v>
      </c>
      <c r="AF24" s="11">
        <v>2.6339516721E-4</v>
      </c>
      <c r="AG24" s="11">
        <v>0.13500000000000001</v>
      </c>
      <c r="AH24" s="11">
        <v>0.13469999999999999</v>
      </c>
      <c r="AI24" s="10" t="s">
        <v>26</v>
      </c>
      <c r="AJ24" s="11" t="s">
        <v>26</v>
      </c>
      <c r="AK24" s="11" t="s">
        <v>26</v>
      </c>
      <c r="AL24" s="11" t="s">
        <v>26</v>
      </c>
      <c r="AM24" s="10" t="s">
        <v>26</v>
      </c>
      <c r="AN24" s="11" t="s">
        <v>26</v>
      </c>
      <c r="AO24" s="11" t="s">
        <v>26</v>
      </c>
      <c r="AP24" s="11" t="s">
        <v>26</v>
      </c>
      <c r="AQ24" s="10" t="s">
        <v>26</v>
      </c>
      <c r="AR24" s="11" t="s">
        <v>26</v>
      </c>
      <c r="AS24" s="11" t="s">
        <v>26</v>
      </c>
      <c r="AT24" s="11" t="s">
        <v>26</v>
      </c>
      <c r="AU24" s="10" t="s">
        <v>26</v>
      </c>
      <c r="AV24" s="11" t="s">
        <v>26</v>
      </c>
      <c r="AW24" s="11" t="s">
        <v>26</v>
      </c>
      <c r="AX24" s="11" t="s">
        <v>26</v>
      </c>
      <c r="AY24" s="10">
        <v>166376185.81</v>
      </c>
      <c r="AZ24" s="11">
        <v>2.3208116821E-4</v>
      </c>
      <c r="BA24" s="11">
        <v>0.13500000000000001</v>
      </c>
      <c r="BB24" s="11">
        <v>0.1348</v>
      </c>
    </row>
    <row r="25" spans="1:56" s="7" customFormat="1">
      <c r="A25" s="3" t="s">
        <v>38</v>
      </c>
      <c r="B25" s="31" t="s">
        <v>43</v>
      </c>
      <c r="C25" s="2">
        <v>166376185.81</v>
      </c>
      <c r="D25" s="1">
        <v>1</v>
      </c>
      <c r="E25" s="11" t="s">
        <v>26</v>
      </c>
      <c r="F25" s="11" t="s">
        <v>26</v>
      </c>
      <c r="G25" s="10" t="s">
        <v>26</v>
      </c>
      <c r="H25" s="11" t="s">
        <v>26</v>
      </c>
      <c r="I25" s="11" t="s">
        <v>26</v>
      </c>
      <c r="J25" s="11" t="s">
        <v>26</v>
      </c>
      <c r="K25" s="10" t="s">
        <v>26</v>
      </c>
      <c r="L25" s="11" t="s">
        <v>26</v>
      </c>
      <c r="M25" s="11" t="s">
        <v>26</v>
      </c>
      <c r="N25" s="11" t="s">
        <v>26</v>
      </c>
      <c r="O25" s="10" t="s">
        <v>26</v>
      </c>
      <c r="P25" s="11" t="s">
        <v>26</v>
      </c>
      <c r="Q25" s="11" t="s">
        <v>26</v>
      </c>
      <c r="R25" s="11" t="s">
        <v>26</v>
      </c>
      <c r="S25" s="10" t="s">
        <v>26</v>
      </c>
      <c r="T25" s="11" t="s">
        <v>26</v>
      </c>
      <c r="U25" s="11" t="s">
        <v>26</v>
      </c>
      <c r="V25" s="11" t="s">
        <v>26</v>
      </c>
      <c r="W25" s="10" t="s">
        <v>26</v>
      </c>
      <c r="X25" s="11" t="s">
        <v>26</v>
      </c>
      <c r="Y25" s="11" t="s">
        <v>26</v>
      </c>
      <c r="Z25" s="11" t="s">
        <v>26</v>
      </c>
      <c r="AA25" s="10" t="s">
        <v>26</v>
      </c>
      <c r="AB25" s="11" t="s">
        <v>26</v>
      </c>
      <c r="AC25" s="11" t="s">
        <v>26</v>
      </c>
      <c r="AD25" s="11" t="s">
        <v>26</v>
      </c>
      <c r="AE25" s="2">
        <v>166376185.81</v>
      </c>
      <c r="AF25" s="1">
        <v>1</v>
      </c>
      <c r="AG25" s="11" t="s">
        <v>26</v>
      </c>
      <c r="AH25" s="11" t="s">
        <v>26</v>
      </c>
      <c r="AI25" s="10" t="s">
        <v>26</v>
      </c>
      <c r="AJ25" s="11" t="s">
        <v>26</v>
      </c>
      <c r="AK25" s="11" t="s">
        <v>26</v>
      </c>
      <c r="AL25" s="11" t="s">
        <v>26</v>
      </c>
      <c r="AM25" s="10" t="s">
        <v>26</v>
      </c>
      <c r="AN25" s="11" t="s">
        <v>26</v>
      </c>
      <c r="AO25" s="11" t="s">
        <v>26</v>
      </c>
      <c r="AP25" s="11" t="s">
        <v>26</v>
      </c>
      <c r="AQ25" s="10" t="s">
        <v>26</v>
      </c>
      <c r="AR25" s="11" t="s">
        <v>26</v>
      </c>
      <c r="AS25" s="11" t="s">
        <v>26</v>
      </c>
      <c r="AT25" s="11" t="s">
        <v>26</v>
      </c>
      <c r="AU25" s="10" t="s">
        <v>26</v>
      </c>
      <c r="AV25" s="11" t="s">
        <v>26</v>
      </c>
      <c r="AW25" s="11" t="s">
        <v>26</v>
      </c>
      <c r="AX25" s="11" t="s">
        <v>26</v>
      </c>
      <c r="AY25" s="2">
        <v>166376185.81</v>
      </c>
      <c r="AZ25" s="1">
        <v>1</v>
      </c>
      <c r="BA25" s="11" t="s">
        <v>26</v>
      </c>
      <c r="BB25" s="11" t="s">
        <v>26</v>
      </c>
    </row>
    <row r="26" spans="1:56" s="7" customFormat="1">
      <c r="A26" s="5" t="s">
        <v>44</v>
      </c>
      <c r="B26" s="24" t="s">
        <v>25</v>
      </c>
      <c r="C26" s="10">
        <v>20466321.600000001</v>
      </c>
      <c r="D26" s="11">
        <v>3.3298935475599999E-3</v>
      </c>
      <c r="E26" s="11">
        <v>0.13500000000000001</v>
      </c>
      <c r="F26" s="11">
        <v>0.13170000000000001</v>
      </c>
      <c r="G26" s="10">
        <v>1320077743.2</v>
      </c>
      <c r="H26" s="11">
        <v>8.9123386518600006E-3</v>
      </c>
      <c r="I26" s="11">
        <v>0.13500000000000001</v>
      </c>
      <c r="J26" s="11">
        <v>0.12609999999999999</v>
      </c>
      <c r="K26" s="10" t="s">
        <v>26</v>
      </c>
      <c r="L26" s="11" t="s">
        <v>26</v>
      </c>
      <c r="M26" s="11" t="s">
        <v>26</v>
      </c>
      <c r="N26" s="11" t="s">
        <v>26</v>
      </c>
      <c r="O26" s="10">
        <v>2925001647.3800001</v>
      </c>
      <c r="P26" s="11">
        <v>1.320410262021E-2</v>
      </c>
      <c r="Q26" s="11">
        <v>0.1434</v>
      </c>
      <c r="R26" s="11">
        <v>0.13020000000000001</v>
      </c>
      <c r="S26" s="10">
        <v>2979051549.5700002</v>
      </c>
      <c r="T26" s="11">
        <v>2.702913053919E-2</v>
      </c>
      <c r="U26" s="11">
        <v>0.1464</v>
      </c>
      <c r="V26" s="11">
        <v>0.11940000000000001</v>
      </c>
      <c r="W26" s="10" t="s">
        <v>26</v>
      </c>
      <c r="X26" s="11" t="s">
        <v>26</v>
      </c>
      <c r="Y26" s="11" t="s">
        <v>26</v>
      </c>
      <c r="Z26" s="11" t="s">
        <v>26</v>
      </c>
      <c r="AA26" s="10">
        <v>2137131871.8399999</v>
      </c>
      <c r="AB26" s="11">
        <v>1.5639460603560001E-2</v>
      </c>
      <c r="AC26" s="11">
        <v>0.05</v>
      </c>
      <c r="AD26" s="11">
        <v>3.44E-2</v>
      </c>
      <c r="AE26" s="10">
        <v>9381729133.5900002</v>
      </c>
      <c r="AF26" s="11">
        <v>1.4852498882889999E-2</v>
      </c>
      <c r="AG26" s="11">
        <v>0.14280000000000001</v>
      </c>
      <c r="AH26" s="11">
        <v>0.12790000000000001</v>
      </c>
      <c r="AI26" s="10">
        <v>80119712.569999993</v>
      </c>
      <c r="AJ26" s="11">
        <v>4.7264705500799998E-3</v>
      </c>
      <c r="AK26" s="11">
        <v>0.15</v>
      </c>
      <c r="AL26" s="11">
        <v>0.14530000000000001</v>
      </c>
      <c r="AM26" s="10" t="s">
        <v>26</v>
      </c>
      <c r="AN26" s="11" t="s">
        <v>26</v>
      </c>
      <c r="AO26" s="11" t="s">
        <v>26</v>
      </c>
      <c r="AP26" s="11" t="s">
        <v>26</v>
      </c>
      <c r="AQ26" s="10">
        <v>80119712.569999993</v>
      </c>
      <c r="AR26" s="11">
        <v>1.96670237124E-3</v>
      </c>
      <c r="AS26" s="11">
        <v>0.15</v>
      </c>
      <c r="AT26" s="11">
        <v>0.14799999999999999</v>
      </c>
      <c r="AU26" s="10">
        <v>1108885376.6900001</v>
      </c>
      <c r="AV26" s="11">
        <v>2.4924461439200001E-2</v>
      </c>
      <c r="AW26" s="11">
        <v>0.1424</v>
      </c>
      <c r="AX26" s="11">
        <v>0.11749999999999999</v>
      </c>
      <c r="AY26" s="10">
        <v>10570734222.85</v>
      </c>
      <c r="AZ26" s="11">
        <v>1.4745309464470001E-2</v>
      </c>
      <c r="BA26" s="11">
        <v>0.14280000000000001</v>
      </c>
      <c r="BB26" s="11">
        <v>0.12809999999999999</v>
      </c>
    </row>
    <row r="27" spans="1:56" s="7" customFormat="1">
      <c r="A27" s="3" t="s">
        <v>36</v>
      </c>
      <c r="B27" s="31" t="s">
        <v>37</v>
      </c>
      <c r="C27" s="2">
        <v>20466321.600000001</v>
      </c>
      <c r="D27" s="1">
        <v>1</v>
      </c>
      <c r="E27" s="11" t="s">
        <v>26</v>
      </c>
      <c r="F27" s="11" t="s">
        <v>26</v>
      </c>
      <c r="G27" s="2">
        <v>1320077743.2</v>
      </c>
      <c r="H27" s="1">
        <v>1</v>
      </c>
      <c r="I27" s="11" t="s">
        <v>26</v>
      </c>
      <c r="J27" s="11" t="s">
        <v>26</v>
      </c>
      <c r="K27" s="10" t="s">
        <v>26</v>
      </c>
      <c r="L27" s="11" t="s">
        <v>26</v>
      </c>
      <c r="M27" s="11" t="s">
        <v>26</v>
      </c>
      <c r="N27" s="11" t="s">
        <v>26</v>
      </c>
      <c r="O27" s="2">
        <v>1279145100</v>
      </c>
      <c r="P27" s="1">
        <v>0.43731431780414998</v>
      </c>
      <c r="Q27" s="11" t="s">
        <v>26</v>
      </c>
      <c r="R27" s="11" t="s">
        <v>26</v>
      </c>
      <c r="S27" s="2">
        <v>716321256</v>
      </c>
      <c r="T27" s="1">
        <v>0.24045278978250001</v>
      </c>
      <c r="U27" s="1" t="s">
        <v>25</v>
      </c>
      <c r="V27" s="1" t="s">
        <v>25</v>
      </c>
      <c r="W27" s="10" t="s">
        <v>26</v>
      </c>
      <c r="X27" s="11" t="s">
        <v>26</v>
      </c>
      <c r="Y27" s="11" t="s">
        <v>26</v>
      </c>
      <c r="Z27" s="11" t="s">
        <v>26</v>
      </c>
      <c r="AA27" s="2">
        <v>1150207273.9200001</v>
      </c>
      <c r="AB27" s="1">
        <v>0.53820135719079998</v>
      </c>
      <c r="AC27" s="11" t="s">
        <v>26</v>
      </c>
      <c r="AD27" s="11" t="s">
        <v>26</v>
      </c>
      <c r="AE27" s="2">
        <v>4486217694.7200003</v>
      </c>
      <c r="AF27" s="1">
        <v>0.47818665736763999</v>
      </c>
      <c r="AG27" s="11" t="s">
        <v>26</v>
      </c>
      <c r="AH27" s="11" t="s">
        <v>26</v>
      </c>
      <c r="AI27" s="10" t="s">
        <v>26</v>
      </c>
      <c r="AJ27" s="11" t="s">
        <v>26</v>
      </c>
      <c r="AK27" s="11" t="s">
        <v>26</v>
      </c>
      <c r="AL27" s="11" t="s">
        <v>26</v>
      </c>
      <c r="AM27" s="10" t="s">
        <v>26</v>
      </c>
      <c r="AN27" s="11" t="s">
        <v>26</v>
      </c>
      <c r="AO27" s="11" t="s">
        <v>26</v>
      </c>
      <c r="AP27" s="11" t="s">
        <v>26</v>
      </c>
      <c r="AQ27" s="10" t="s">
        <v>26</v>
      </c>
      <c r="AR27" s="11" t="s">
        <v>26</v>
      </c>
      <c r="AS27" s="11" t="s">
        <v>26</v>
      </c>
      <c r="AT27" s="11" t="s">
        <v>26</v>
      </c>
      <c r="AU27" s="2">
        <v>562823844</v>
      </c>
      <c r="AV27" s="1">
        <v>0.50755818034142997</v>
      </c>
      <c r="AW27" s="11" t="s">
        <v>26</v>
      </c>
      <c r="AX27" s="11" t="s">
        <v>26</v>
      </c>
      <c r="AY27" s="2">
        <v>5049041538.7200003</v>
      </c>
      <c r="AZ27" s="1">
        <v>0.47764340984052001</v>
      </c>
      <c r="BA27" s="11" t="s">
        <v>26</v>
      </c>
      <c r="BB27" s="11" t="s">
        <v>26</v>
      </c>
    </row>
    <row r="28" spans="1:56" s="7" customFormat="1">
      <c r="A28" s="3" t="s">
        <v>38</v>
      </c>
      <c r="B28" s="31" t="s">
        <v>39</v>
      </c>
      <c r="C28" s="10" t="s">
        <v>26</v>
      </c>
      <c r="D28" s="11" t="s">
        <v>26</v>
      </c>
      <c r="E28" s="11" t="s">
        <v>26</v>
      </c>
      <c r="F28" s="11" t="s">
        <v>26</v>
      </c>
      <c r="G28" s="10" t="s">
        <v>26</v>
      </c>
      <c r="H28" s="11" t="s">
        <v>26</v>
      </c>
      <c r="I28" s="11" t="s">
        <v>26</v>
      </c>
      <c r="J28" s="11" t="s">
        <v>26</v>
      </c>
      <c r="K28" s="10" t="s">
        <v>26</v>
      </c>
      <c r="L28" s="11" t="s">
        <v>26</v>
      </c>
      <c r="M28" s="11" t="s">
        <v>26</v>
      </c>
      <c r="N28" s="11" t="s">
        <v>26</v>
      </c>
      <c r="O28" s="2">
        <v>1645856547.3800001</v>
      </c>
      <c r="P28" s="1">
        <v>0.56268568219585002</v>
      </c>
      <c r="Q28" s="11" t="s">
        <v>26</v>
      </c>
      <c r="R28" s="11" t="s">
        <v>26</v>
      </c>
      <c r="S28" s="2">
        <v>2262730293.5700002</v>
      </c>
      <c r="T28" s="1">
        <v>0.75954721021750005</v>
      </c>
      <c r="U28" s="1" t="s">
        <v>25</v>
      </c>
      <c r="V28" s="1" t="s">
        <v>25</v>
      </c>
      <c r="W28" s="10" t="s">
        <v>26</v>
      </c>
      <c r="X28" s="11" t="s">
        <v>26</v>
      </c>
      <c r="Y28" s="11" t="s">
        <v>26</v>
      </c>
      <c r="Z28" s="11" t="s">
        <v>26</v>
      </c>
      <c r="AA28" s="2">
        <v>986924597.91999996</v>
      </c>
      <c r="AB28" s="1">
        <v>0.46179864280920002</v>
      </c>
      <c r="AC28" s="11" t="s">
        <v>26</v>
      </c>
      <c r="AD28" s="11" t="s">
        <v>26</v>
      </c>
      <c r="AE28" s="2">
        <v>4895511438.8699999</v>
      </c>
      <c r="AF28" s="1">
        <v>0.52181334263236001</v>
      </c>
      <c r="AG28" s="11" t="s">
        <v>26</v>
      </c>
      <c r="AH28" s="11" t="s">
        <v>26</v>
      </c>
      <c r="AI28" s="2">
        <v>80119712.569999993</v>
      </c>
      <c r="AJ28" s="1">
        <v>1</v>
      </c>
      <c r="AK28" s="11" t="s">
        <v>26</v>
      </c>
      <c r="AL28" s="11" t="s">
        <v>26</v>
      </c>
      <c r="AM28" s="10" t="s">
        <v>26</v>
      </c>
      <c r="AN28" s="11" t="s">
        <v>26</v>
      </c>
      <c r="AO28" s="11" t="s">
        <v>26</v>
      </c>
      <c r="AP28" s="11" t="s">
        <v>26</v>
      </c>
      <c r="AQ28" s="2">
        <v>80119712.569999993</v>
      </c>
      <c r="AR28" s="1">
        <v>1</v>
      </c>
      <c r="AS28" s="11" t="s">
        <v>26</v>
      </c>
      <c r="AT28" s="11" t="s">
        <v>26</v>
      </c>
      <c r="AU28" s="2">
        <v>546061532.69000006</v>
      </c>
      <c r="AV28" s="1">
        <v>0.49244181965856998</v>
      </c>
      <c r="AW28" s="11" t="s">
        <v>26</v>
      </c>
      <c r="AX28" s="11" t="s">
        <v>26</v>
      </c>
      <c r="AY28" s="2">
        <v>5521692684.1300001</v>
      </c>
      <c r="AZ28" s="1">
        <v>0.52235659015947999</v>
      </c>
      <c r="BA28" s="11" t="s">
        <v>26</v>
      </c>
      <c r="BB28" s="11" t="s">
        <v>26</v>
      </c>
    </row>
    <row r="29" spans="1:56" s="7" customFormat="1">
      <c r="A29" s="5" t="s">
        <v>45</v>
      </c>
      <c r="B29" s="24" t="s">
        <v>25</v>
      </c>
      <c r="C29" s="10">
        <v>32506905.600000001</v>
      </c>
      <c r="D29" s="11">
        <v>5.2889101092100004E-3</v>
      </c>
      <c r="E29" s="11">
        <v>0.09</v>
      </c>
      <c r="F29" s="11">
        <v>8.4699999999999998E-2</v>
      </c>
      <c r="G29" s="10">
        <v>39508392.960000001</v>
      </c>
      <c r="H29" s="11">
        <v>2.6673593996000001E-4</v>
      </c>
      <c r="I29" s="11">
        <v>0.09</v>
      </c>
      <c r="J29" s="11">
        <v>8.9700000000000002E-2</v>
      </c>
      <c r="K29" s="10" t="s">
        <v>26</v>
      </c>
      <c r="L29" s="11" t="s">
        <v>26</v>
      </c>
      <c r="M29" s="11" t="s">
        <v>26</v>
      </c>
      <c r="N29" s="11" t="s">
        <v>26</v>
      </c>
      <c r="O29" s="10" t="s">
        <v>26</v>
      </c>
      <c r="P29" s="11" t="s">
        <v>26</v>
      </c>
      <c r="Q29" s="11" t="s">
        <v>26</v>
      </c>
      <c r="R29" s="11" t="s">
        <v>26</v>
      </c>
      <c r="S29" s="10">
        <v>25005312</v>
      </c>
      <c r="T29" s="11">
        <v>2.2687483952E-4</v>
      </c>
      <c r="U29" s="11">
        <v>0.09</v>
      </c>
      <c r="V29" s="11">
        <v>8.9800000000000005E-2</v>
      </c>
      <c r="W29" s="10" t="s">
        <v>26</v>
      </c>
      <c r="X29" s="11" t="s">
        <v>26</v>
      </c>
      <c r="Y29" s="11" t="s">
        <v>26</v>
      </c>
      <c r="Z29" s="11" t="s">
        <v>26</v>
      </c>
      <c r="AA29" s="10">
        <v>35007436.799999997</v>
      </c>
      <c r="AB29" s="11">
        <v>2.5618326873999998E-4</v>
      </c>
      <c r="AC29" s="11">
        <v>0.09</v>
      </c>
      <c r="AD29" s="11">
        <v>8.9700000000000002E-2</v>
      </c>
      <c r="AE29" s="10">
        <v>132028047.36</v>
      </c>
      <c r="AF29" s="11">
        <v>2.0901759132E-4</v>
      </c>
      <c r="AG29" s="11">
        <v>0.09</v>
      </c>
      <c r="AH29" s="11">
        <v>8.9800000000000005E-2</v>
      </c>
      <c r="AI29" s="10">
        <v>4305743.9400000004</v>
      </c>
      <c r="AJ29" s="11">
        <v>2.5400705114999998E-4</v>
      </c>
      <c r="AK29" s="11">
        <v>0.13500000000000001</v>
      </c>
      <c r="AL29" s="11">
        <v>0.13469999999999999</v>
      </c>
      <c r="AM29" s="10">
        <v>292983389.00999999</v>
      </c>
      <c r="AN29" s="11">
        <v>1.231704733838E-2</v>
      </c>
      <c r="AO29" s="11">
        <v>0.13500000000000001</v>
      </c>
      <c r="AP29" s="11">
        <v>0.1227</v>
      </c>
      <c r="AQ29" s="10">
        <v>297289132.94999999</v>
      </c>
      <c r="AR29" s="11">
        <v>7.2975703976299999E-3</v>
      </c>
      <c r="AS29" s="11">
        <v>0.13500000000000001</v>
      </c>
      <c r="AT29" s="11">
        <v>0.12770000000000001</v>
      </c>
      <c r="AU29" s="10">
        <v>13618166.880000001</v>
      </c>
      <c r="AV29" s="11">
        <v>3.0609608747999997E-4</v>
      </c>
      <c r="AW29" s="11">
        <v>0.13500000000000001</v>
      </c>
      <c r="AX29" s="11">
        <v>0.13469999999999999</v>
      </c>
      <c r="AY29" s="10">
        <v>442935347.19</v>
      </c>
      <c r="AZ29" s="11">
        <v>6.1785857342999998E-4</v>
      </c>
      <c r="BA29" s="11">
        <v>0.1216</v>
      </c>
      <c r="BB29" s="11">
        <v>0.121</v>
      </c>
    </row>
    <row r="30" spans="1:56" s="7" customFormat="1">
      <c r="A30" s="3" t="s">
        <v>36</v>
      </c>
      <c r="B30" s="31" t="s">
        <v>46</v>
      </c>
      <c r="C30" s="2">
        <v>32506905.600000001</v>
      </c>
      <c r="D30" s="1">
        <v>1</v>
      </c>
      <c r="E30" s="11" t="s">
        <v>26</v>
      </c>
      <c r="F30" s="11" t="s">
        <v>26</v>
      </c>
      <c r="G30" s="2">
        <v>39508392.960000001</v>
      </c>
      <c r="H30" s="1">
        <v>1</v>
      </c>
      <c r="I30" s="11" t="s">
        <v>26</v>
      </c>
      <c r="J30" s="11" t="s">
        <v>26</v>
      </c>
      <c r="K30" s="10" t="s">
        <v>26</v>
      </c>
      <c r="L30" s="11" t="s">
        <v>26</v>
      </c>
      <c r="M30" s="11" t="s">
        <v>26</v>
      </c>
      <c r="N30" s="11" t="s">
        <v>26</v>
      </c>
      <c r="O30" s="10" t="s">
        <v>26</v>
      </c>
      <c r="P30" s="11" t="s">
        <v>26</v>
      </c>
      <c r="Q30" s="11" t="s">
        <v>26</v>
      </c>
      <c r="R30" s="11" t="s">
        <v>26</v>
      </c>
      <c r="S30" s="2">
        <v>25005312</v>
      </c>
      <c r="T30" s="1">
        <v>1</v>
      </c>
      <c r="U30" s="1" t="s">
        <v>25</v>
      </c>
      <c r="V30" s="1" t="s">
        <v>25</v>
      </c>
      <c r="W30" s="10" t="s">
        <v>26</v>
      </c>
      <c r="X30" s="11" t="s">
        <v>26</v>
      </c>
      <c r="Y30" s="11" t="s">
        <v>26</v>
      </c>
      <c r="Z30" s="11" t="s">
        <v>26</v>
      </c>
      <c r="AA30" s="2">
        <v>35007436.799999997</v>
      </c>
      <c r="AB30" s="1">
        <v>1</v>
      </c>
      <c r="AC30" s="11" t="s">
        <v>26</v>
      </c>
      <c r="AD30" s="11" t="s">
        <v>26</v>
      </c>
      <c r="AE30" s="2">
        <v>132028047.36</v>
      </c>
      <c r="AF30" s="1">
        <v>1</v>
      </c>
      <c r="AG30" s="11" t="s">
        <v>26</v>
      </c>
      <c r="AH30" s="11" t="s">
        <v>26</v>
      </c>
      <c r="AI30" s="10" t="s">
        <v>26</v>
      </c>
      <c r="AJ30" s="11" t="s">
        <v>26</v>
      </c>
      <c r="AK30" s="11" t="s">
        <v>26</v>
      </c>
      <c r="AL30" s="11" t="s">
        <v>26</v>
      </c>
      <c r="AM30" s="10" t="s">
        <v>26</v>
      </c>
      <c r="AN30" s="11" t="s">
        <v>26</v>
      </c>
      <c r="AO30" s="11" t="s">
        <v>26</v>
      </c>
      <c r="AP30" s="11" t="s">
        <v>26</v>
      </c>
      <c r="AQ30" s="10" t="s">
        <v>26</v>
      </c>
      <c r="AR30" s="11" t="s">
        <v>26</v>
      </c>
      <c r="AS30" s="11" t="s">
        <v>26</v>
      </c>
      <c r="AT30" s="11" t="s">
        <v>26</v>
      </c>
      <c r="AU30" s="10" t="s">
        <v>26</v>
      </c>
      <c r="AV30" s="11" t="s">
        <v>26</v>
      </c>
      <c r="AW30" s="11" t="s">
        <v>26</v>
      </c>
      <c r="AX30" s="11" t="s">
        <v>26</v>
      </c>
      <c r="AY30" s="2">
        <v>132028047.36</v>
      </c>
      <c r="AZ30" s="1">
        <v>0.29807521164791001</v>
      </c>
      <c r="BA30" s="11" t="s">
        <v>26</v>
      </c>
      <c r="BB30" s="11" t="s">
        <v>26</v>
      </c>
    </row>
    <row r="31" spans="1:56" s="7" customFormat="1">
      <c r="A31" s="3" t="s">
        <v>38</v>
      </c>
      <c r="B31" s="31" t="s">
        <v>43</v>
      </c>
      <c r="C31" s="10" t="s">
        <v>26</v>
      </c>
      <c r="D31" s="11" t="s">
        <v>26</v>
      </c>
      <c r="E31" s="11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 t="s">
        <v>26</v>
      </c>
      <c r="L31" s="11" t="s">
        <v>26</v>
      </c>
      <c r="M31" s="11" t="s">
        <v>26</v>
      </c>
      <c r="N31" s="11" t="s">
        <v>26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 t="s">
        <v>26</v>
      </c>
      <c r="AB31" s="11" t="s">
        <v>26</v>
      </c>
      <c r="AC31" s="11" t="s">
        <v>26</v>
      </c>
      <c r="AD31" s="11" t="s">
        <v>26</v>
      </c>
      <c r="AE31" s="10" t="s">
        <v>26</v>
      </c>
      <c r="AF31" s="11" t="s">
        <v>26</v>
      </c>
      <c r="AG31" s="11" t="s">
        <v>26</v>
      </c>
      <c r="AH31" s="11" t="s">
        <v>26</v>
      </c>
      <c r="AI31" s="2">
        <v>4305743.9400000004</v>
      </c>
      <c r="AJ31" s="1">
        <v>1</v>
      </c>
      <c r="AK31" s="11" t="s">
        <v>26</v>
      </c>
      <c r="AL31" s="11" t="s">
        <v>26</v>
      </c>
      <c r="AM31" s="2">
        <v>292983389.00999999</v>
      </c>
      <c r="AN31" s="1">
        <v>1</v>
      </c>
      <c r="AO31" s="11" t="s">
        <v>26</v>
      </c>
      <c r="AP31" s="11" t="s">
        <v>26</v>
      </c>
      <c r="AQ31" s="2">
        <v>297289132.94999999</v>
      </c>
      <c r="AR31" s="1">
        <v>1</v>
      </c>
      <c r="AS31" s="11" t="s">
        <v>26</v>
      </c>
      <c r="AT31" s="11" t="s">
        <v>26</v>
      </c>
      <c r="AU31" s="2">
        <v>13618166.880000001</v>
      </c>
      <c r="AV31" s="1">
        <v>1</v>
      </c>
      <c r="AW31" s="11" t="s">
        <v>26</v>
      </c>
      <c r="AX31" s="11" t="s">
        <v>26</v>
      </c>
      <c r="AY31" s="2">
        <v>310907299.82999998</v>
      </c>
      <c r="AZ31" s="1">
        <v>0.70192478835209005</v>
      </c>
      <c r="BA31" s="11" t="s">
        <v>26</v>
      </c>
      <c r="BB31" s="11" t="s">
        <v>26</v>
      </c>
    </row>
    <row r="32" spans="1:56" s="7" customFormat="1">
      <c r="A32" s="5" t="s">
        <v>47</v>
      </c>
      <c r="B32" s="24" t="s">
        <v>25</v>
      </c>
      <c r="C32" s="10" t="s">
        <v>26</v>
      </c>
      <c r="D32" s="11" t="s">
        <v>26</v>
      </c>
      <c r="E32" s="11" t="s">
        <v>26</v>
      </c>
      <c r="F32" s="11" t="s">
        <v>26</v>
      </c>
      <c r="G32" s="10" t="s">
        <v>26</v>
      </c>
      <c r="H32" s="11" t="s">
        <v>26</v>
      </c>
      <c r="I32" s="11" t="s">
        <v>26</v>
      </c>
      <c r="J32" s="11" t="s">
        <v>26</v>
      </c>
      <c r="K32" s="10" t="s">
        <v>26</v>
      </c>
      <c r="L32" s="11" t="s">
        <v>26</v>
      </c>
      <c r="M32" s="11" t="s">
        <v>26</v>
      </c>
      <c r="N32" s="11" t="s">
        <v>26</v>
      </c>
      <c r="O32" s="10" t="s">
        <v>26</v>
      </c>
      <c r="P32" s="11" t="s">
        <v>26</v>
      </c>
      <c r="Q32" s="11" t="s">
        <v>26</v>
      </c>
      <c r="R32" s="11" t="s">
        <v>26</v>
      </c>
      <c r="S32" s="10" t="s">
        <v>26</v>
      </c>
      <c r="T32" s="11" t="s">
        <v>26</v>
      </c>
      <c r="U32" s="11" t="s">
        <v>26</v>
      </c>
      <c r="V32" s="11" t="s">
        <v>26</v>
      </c>
      <c r="W32" s="10" t="s">
        <v>26</v>
      </c>
      <c r="X32" s="11" t="s">
        <v>26</v>
      </c>
      <c r="Y32" s="11" t="s">
        <v>26</v>
      </c>
      <c r="Z32" s="11" t="s">
        <v>26</v>
      </c>
      <c r="AA32" s="10" t="s">
        <v>26</v>
      </c>
      <c r="AB32" s="11" t="s">
        <v>26</v>
      </c>
      <c r="AC32" s="11" t="s">
        <v>26</v>
      </c>
      <c r="AD32" s="11" t="s">
        <v>26</v>
      </c>
      <c r="AE32" s="10" t="s">
        <v>26</v>
      </c>
      <c r="AF32" s="11" t="s">
        <v>26</v>
      </c>
      <c r="AG32" s="11" t="s">
        <v>26</v>
      </c>
      <c r="AH32" s="11" t="s">
        <v>26</v>
      </c>
      <c r="AI32" s="10">
        <v>3153506.58</v>
      </c>
      <c r="AJ32" s="11">
        <v>1.8603356778999999E-4</v>
      </c>
      <c r="AK32" s="11">
        <v>0.13500000000000001</v>
      </c>
      <c r="AL32" s="11">
        <v>0.1348</v>
      </c>
      <c r="AM32" s="10" t="s">
        <v>26</v>
      </c>
      <c r="AN32" s="11" t="s">
        <v>26</v>
      </c>
      <c r="AO32" s="11" t="s">
        <v>26</v>
      </c>
      <c r="AP32" s="11" t="s">
        <v>26</v>
      </c>
      <c r="AQ32" s="10">
        <v>3153506.58</v>
      </c>
      <c r="AR32" s="11">
        <v>7.7409275069999998E-5</v>
      </c>
      <c r="AS32" s="11">
        <v>0.13500000000000001</v>
      </c>
      <c r="AT32" s="11">
        <v>0.13489999999999999</v>
      </c>
      <c r="AU32" s="10" t="s">
        <v>26</v>
      </c>
      <c r="AV32" s="11" t="s">
        <v>26</v>
      </c>
      <c r="AW32" s="11" t="s">
        <v>26</v>
      </c>
      <c r="AX32" s="11" t="s">
        <v>26</v>
      </c>
      <c r="AY32" s="10">
        <v>3153506.58</v>
      </c>
      <c r="AZ32" s="11">
        <v>4.3988837000000001E-6</v>
      </c>
      <c r="BA32" s="11">
        <v>0.13500000000000001</v>
      </c>
      <c r="BB32" s="11">
        <v>0.13500000000000001</v>
      </c>
    </row>
    <row r="33" spans="1:54" s="7" customFormat="1">
      <c r="A33" s="3" t="s">
        <v>38</v>
      </c>
      <c r="B33" s="31" t="s">
        <v>43</v>
      </c>
      <c r="C33" s="10" t="s">
        <v>26</v>
      </c>
      <c r="D33" s="11" t="s">
        <v>26</v>
      </c>
      <c r="E33" s="11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10" t="s">
        <v>26</v>
      </c>
      <c r="L33" s="11" t="s">
        <v>26</v>
      </c>
      <c r="M33" s="11" t="s">
        <v>26</v>
      </c>
      <c r="N33" s="11" t="s">
        <v>26</v>
      </c>
      <c r="O33" s="10" t="s">
        <v>26</v>
      </c>
      <c r="P33" s="11" t="s">
        <v>26</v>
      </c>
      <c r="Q33" s="11" t="s">
        <v>26</v>
      </c>
      <c r="R33" s="11" t="s">
        <v>26</v>
      </c>
      <c r="S33" s="10" t="s">
        <v>26</v>
      </c>
      <c r="T33" s="11" t="s">
        <v>26</v>
      </c>
      <c r="U33" s="11" t="s">
        <v>26</v>
      </c>
      <c r="V33" s="11" t="s">
        <v>26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 t="s">
        <v>26</v>
      </c>
      <c r="AB33" s="11" t="s">
        <v>26</v>
      </c>
      <c r="AC33" s="11" t="s">
        <v>26</v>
      </c>
      <c r="AD33" s="11" t="s">
        <v>26</v>
      </c>
      <c r="AE33" s="10" t="s">
        <v>26</v>
      </c>
      <c r="AF33" s="11" t="s">
        <v>26</v>
      </c>
      <c r="AG33" s="11" t="s">
        <v>26</v>
      </c>
      <c r="AH33" s="11" t="s">
        <v>26</v>
      </c>
      <c r="AI33" s="2">
        <v>3153506.58</v>
      </c>
      <c r="AJ33" s="1">
        <v>1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2">
        <v>3153506.58</v>
      </c>
      <c r="AR33" s="1">
        <v>1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2">
        <v>3153506.58</v>
      </c>
      <c r="AZ33" s="1">
        <v>1</v>
      </c>
      <c r="BA33" s="11" t="s">
        <v>26</v>
      </c>
      <c r="BB33" s="11" t="s">
        <v>26</v>
      </c>
    </row>
    <row r="34" spans="1:54" s="7" customFormat="1">
      <c r="A34" s="5" t="s">
        <v>48</v>
      </c>
      <c r="B34" s="24" t="s">
        <v>25</v>
      </c>
      <c r="C34" s="10" t="s">
        <v>26</v>
      </c>
      <c r="D34" s="11" t="s">
        <v>26</v>
      </c>
      <c r="E34" s="11" t="s">
        <v>26</v>
      </c>
      <c r="F34" s="11" t="s">
        <v>26</v>
      </c>
      <c r="G34" s="10" t="s">
        <v>26</v>
      </c>
      <c r="H34" s="11" t="s">
        <v>26</v>
      </c>
      <c r="I34" s="11" t="s">
        <v>26</v>
      </c>
      <c r="J34" s="11" t="s">
        <v>26</v>
      </c>
      <c r="K34" s="10">
        <v>161731601.88</v>
      </c>
      <c r="L34" s="11">
        <v>5.6460293785360001E-2</v>
      </c>
      <c r="M34" s="11">
        <v>0.13500000000000001</v>
      </c>
      <c r="N34" s="11">
        <v>7.85E-2</v>
      </c>
      <c r="O34" s="10" t="s">
        <v>26</v>
      </c>
      <c r="P34" s="11" t="s">
        <v>26</v>
      </c>
      <c r="Q34" s="11" t="s">
        <v>26</v>
      </c>
      <c r="R34" s="11" t="s">
        <v>26</v>
      </c>
      <c r="S34" s="10">
        <v>48000000.140000001</v>
      </c>
      <c r="T34" s="11">
        <v>4.3550715658000001E-4</v>
      </c>
      <c r="U34" s="11">
        <v>0.13500000000000001</v>
      </c>
      <c r="V34" s="11">
        <v>0.1346</v>
      </c>
      <c r="W34" s="10" t="s">
        <v>26</v>
      </c>
      <c r="X34" s="11" t="s">
        <v>26</v>
      </c>
      <c r="Y34" s="11" t="s">
        <v>26</v>
      </c>
      <c r="Z34" s="11" t="s">
        <v>26</v>
      </c>
      <c r="AA34" s="10" t="s">
        <v>26</v>
      </c>
      <c r="AB34" s="11" t="s">
        <v>26</v>
      </c>
      <c r="AC34" s="11" t="s">
        <v>26</v>
      </c>
      <c r="AD34" s="11" t="s">
        <v>26</v>
      </c>
      <c r="AE34" s="10">
        <v>209731602.02000001</v>
      </c>
      <c r="AF34" s="11">
        <v>3.3203243670000001E-4</v>
      </c>
      <c r="AG34" s="11">
        <v>0.13500000000000001</v>
      </c>
      <c r="AH34" s="11">
        <v>0.13469999999999999</v>
      </c>
      <c r="AI34" s="10" t="s">
        <v>26</v>
      </c>
      <c r="AJ34" s="11" t="s">
        <v>26</v>
      </c>
      <c r="AK34" s="11" t="s">
        <v>26</v>
      </c>
      <c r="AL34" s="11" t="s">
        <v>26</v>
      </c>
      <c r="AM34" s="10" t="s">
        <v>26</v>
      </c>
      <c r="AN34" s="11" t="s">
        <v>26</v>
      </c>
      <c r="AO34" s="11" t="s">
        <v>26</v>
      </c>
      <c r="AP34" s="11" t="s">
        <v>26</v>
      </c>
      <c r="AQ34" s="10" t="s">
        <v>26</v>
      </c>
      <c r="AR34" s="11" t="s">
        <v>26</v>
      </c>
      <c r="AS34" s="11" t="s">
        <v>26</v>
      </c>
      <c r="AT34" s="11" t="s">
        <v>26</v>
      </c>
      <c r="AU34" s="10" t="s">
        <v>26</v>
      </c>
      <c r="AV34" s="11" t="s">
        <v>26</v>
      </c>
      <c r="AW34" s="11" t="s">
        <v>26</v>
      </c>
      <c r="AX34" s="11" t="s">
        <v>26</v>
      </c>
      <c r="AY34" s="10">
        <v>209731602.02000001</v>
      </c>
      <c r="AZ34" s="11">
        <v>2.9255842698000002E-4</v>
      </c>
      <c r="BA34" s="11">
        <v>0.13500000000000001</v>
      </c>
      <c r="BB34" s="11">
        <v>0.13469999999999999</v>
      </c>
    </row>
    <row r="35" spans="1:54" s="7" customFormat="1">
      <c r="A35" s="3" t="s">
        <v>38</v>
      </c>
      <c r="B35" s="31" t="s">
        <v>43</v>
      </c>
      <c r="C35" s="10" t="s">
        <v>26</v>
      </c>
      <c r="D35" s="11" t="s">
        <v>26</v>
      </c>
      <c r="E35" s="11" t="s">
        <v>26</v>
      </c>
      <c r="F35" s="11" t="s">
        <v>26</v>
      </c>
      <c r="G35" s="10" t="s">
        <v>26</v>
      </c>
      <c r="H35" s="11" t="s">
        <v>26</v>
      </c>
      <c r="I35" s="11" t="s">
        <v>26</v>
      </c>
      <c r="J35" s="11" t="s">
        <v>26</v>
      </c>
      <c r="K35" s="2">
        <v>161731601.88</v>
      </c>
      <c r="L35" s="1">
        <v>1</v>
      </c>
      <c r="M35" s="11" t="s">
        <v>26</v>
      </c>
      <c r="N35" s="11" t="s">
        <v>26</v>
      </c>
      <c r="O35" s="10" t="s">
        <v>26</v>
      </c>
      <c r="P35" s="11" t="s">
        <v>26</v>
      </c>
      <c r="Q35" s="11" t="s">
        <v>26</v>
      </c>
      <c r="R35" s="11" t="s">
        <v>26</v>
      </c>
      <c r="S35" s="2">
        <v>48000000.140000001</v>
      </c>
      <c r="T35" s="1">
        <v>1</v>
      </c>
      <c r="U35" s="11" t="s">
        <v>26</v>
      </c>
      <c r="V35" s="11" t="s">
        <v>26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 t="s">
        <v>26</v>
      </c>
      <c r="AB35" s="11" t="s">
        <v>26</v>
      </c>
      <c r="AC35" s="11" t="s">
        <v>26</v>
      </c>
      <c r="AD35" s="11" t="s">
        <v>26</v>
      </c>
      <c r="AE35" s="2">
        <v>209731602.02000001</v>
      </c>
      <c r="AF35" s="1">
        <v>1</v>
      </c>
      <c r="AG35" s="11" t="s">
        <v>26</v>
      </c>
      <c r="AH35" s="11" t="s">
        <v>26</v>
      </c>
      <c r="AI35" s="10" t="s">
        <v>26</v>
      </c>
      <c r="AJ35" s="11" t="s">
        <v>26</v>
      </c>
      <c r="AK35" s="11" t="s">
        <v>26</v>
      </c>
      <c r="AL35" s="11" t="s">
        <v>26</v>
      </c>
      <c r="AM35" s="10" t="s">
        <v>26</v>
      </c>
      <c r="AN35" s="11" t="s">
        <v>26</v>
      </c>
      <c r="AO35" s="11" t="s">
        <v>26</v>
      </c>
      <c r="AP35" s="11" t="s">
        <v>26</v>
      </c>
      <c r="AQ35" s="10" t="s">
        <v>26</v>
      </c>
      <c r="AR35" s="11" t="s">
        <v>26</v>
      </c>
      <c r="AS35" s="11" t="s">
        <v>26</v>
      </c>
      <c r="AT35" s="11" t="s">
        <v>26</v>
      </c>
      <c r="AU35" s="10" t="s">
        <v>26</v>
      </c>
      <c r="AV35" s="11" t="s">
        <v>26</v>
      </c>
      <c r="AW35" s="11" t="s">
        <v>26</v>
      </c>
      <c r="AX35" s="11" t="s">
        <v>26</v>
      </c>
      <c r="AY35" s="2">
        <v>209731602.02000001</v>
      </c>
      <c r="AZ35" s="1">
        <v>1</v>
      </c>
      <c r="BA35" s="11" t="s">
        <v>26</v>
      </c>
      <c r="BB35" s="11" t="s">
        <v>26</v>
      </c>
    </row>
    <row r="36" spans="1:54" s="7" customFormat="1">
      <c r="A36" s="5" t="s">
        <v>49</v>
      </c>
      <c r="B36" s="24" t="s">
        <v>25</v>
      </c>
      <c r="C36" s="10">
        <v>8855505.3900000006</v>
      </c>
      <c r="D36" s="11">
        <v>1.4408006888E-3</v>
      </c>
      <c r="E36" s="11">
        <v>0.13500000000000001</v>
      </c>
      <c r="F36" s="11">
        <v>0.1336</v>
      </c>
      <c r="G36" s="10">
        <v>260099415.86000001</v>
      </c>
      <c r="H36" s="11">
        <v>1.75602845305E-3</v>
      </c>
      <c r="I36" s="11">
        <v>0.09</v>
      </c>
      <c r="J36" s="11">
        <v>8.8200000000000001E-2</v>
      </c>
      <c r="K36" s="10" t="s">
        <v>26</v>
      </c>
      <c r="L36" s="11" t="s">
        <v>26</v>
      </c>
      <c r="M36" s="11" t="s">
        <v>26</v>
      </c>
      <c r="N36" s="11" t="s">
        <v>26</v>
      </c>
      <c r="O36" s="10">
        <v>1016702580.39</v>
      </c>
      <c r="P36" s="11">
        <v>4.5896197076400001E-3</v>
      </c>
      <c r="Q36" s="11">
        <v>0.11070000000000001</v>
      </c>
      <c r="R36" s="11">
        <v>0.1061</v>
      </c>
      <c r="S36" s="10">
        <v>420750249.97000003</v>
      </c>
      <c r="T36" s="11">
        <v>3.8174946762800002E-3</v>
      </c>
      <c r="U36" s="11">
        <v>0.13500000000000001</v>
      </c>
      <c r="V36" s="11">
        <v>0.13120000000000001</v>
      </c>
      <c r="W36" s="10" t="s">
        <v>26</v>
      </c>
      <c r="X36" s="11" t="s">
        <v>26</v>
      </c>
      <c r="Y36" s="11" t="s">
        <v>26</v>
      </c>
      <c r="Z36" s="11" t="s">
        <v>26</v>
      </c>
      <c r="AA36" s="10">
        <v>550032570.48000002</v>
      </c>
      <c r="AB36" s="11">
        <v>4.0251202230600002E-3</v>
      </c>
      <c r="AC36" s="11">
        <v>0.09</v>
      </c>
      <c r="AD36" s="11">
        <v>8.5999999999999993E-2</v>
      </c>
      <c r="AE36" s="10">
        <v>2256440322.0900002</v>
      </c>
      <c r="AF36" s="11">
        <v>3.5722388576699998E-3</v>
      </c>
      <c r="AG36" s="11">
        <v>0.1079</v>
      </c>
      <c r="AH36" s="11">
        <v>0.1043</v>
      </c>
      <c r="AI36" s="10">
        <v>278480153.35000002</v>
      </c>
      <c r="AJ36" s="11">
        <v>1.642826966512E-2</v>
      </c>
      <c r="AK36" s="11">
        <v>0.1268</v>
      </c>
      <c r="AL36" s="11">
        <v>0.1104</v>
      </c>
      <c r="AM36" s="10">
        <v>722901375.41999996</v>
      </c>
      <c r="AN36" s="11">
        <v>3.0390837146490001E-2</v>
      </c>
      <c r="AO36" s="11">
        <v>0.13500000000000001</v>
      </c>
      <c r="AP36" s="11">
        <v>0.1046</v>
      </c>
      <c r="AQ36" s="10">
        <v>1001381528.77</v>
      </c>
      <c r="AR36" s="11">
        <v>2.458095971612E-2</v>
      </c>
      <c r="AS36" s="11">
        <v>0.13270000000000001</v>
      </c>
      <c r="AT36" s="11">
        <v>0.1081</v>
      </c>
      <c r="AU36" s="10">
        <v>35180944.789999999</v>
      </c>
      <c r="AV36" s="11">
        <v>7.9076351826000001E-4</v>
      </c>
      <c r="AW36" s="11">
        <v>0.13500000000000001</v>
      </c>
      <c r="AX36" s="11">
        <v>0.13420000000000001</v>
      </c>
      <c r="AY36" s="10">
        <v>3293002795.6500001</v>
      </c>
      <c r="AZ36" s="11">
        <v>4.5934695041600004E-3</v>
      </c>
      <c r="BA36" s="11">
        <v>0.1157</v>
      </c>
      <c r="BB36" s="11">
        <v>0.1111</v>
      </c>
    </row>
    <row r="37" spans="1:54" s="7" customFormat="1">
      <c r="A37" s="3" t="s">
        <v>36</v>
      </c>
      <c r="B37" s="31" t="s">
        <v>46</v>
      </c>
      <c r="C37" s="10" t="s">
        <v>26</v>
      </c>
      <c r="D37" s="11" t="s">
        <v>26</v>
      </c>
      <c r="E37" s="11" t="s">
        <v>26</v>
      </c>
      <c r="F37" s="11" t="s">
        <v>26</v>
      </c>
      <c r="G37" s="2">
        <v>260099415.86000001</v>
      </c>
      <c r="H37" s="1">
        <v>1</v>
      </c>
      <c r="I37" s="11" t="s">
        <v>26</v>
      </c>
      <c r="J37" s="11" t="s">
        <v>26</v>
      </c>
      <c r="K37" s="10" t="s">
        <v>26</v>
      </c>
      <c r="L37" s="11" t="s">
        <v>26</v>
      </c>
      <c r="M37" s="11" t="s">
        <v>26</v>
      </c>
      <c r="N37" s="11" t="s">
        <v>26</v>
      </c>
      <c r="O37" s="2">
        <v>550032570.48000002</v>
      </c>
      <c r="P37" s="1">
        <v>0.54099653240676004</v>
      </c>
      <c r="Q37" s="11" t="s">
        <v>26</v>
      </c>
      <c r="R37" s="11" t="s">
        <v>26</v>
      </c>
      <c r="S37" s="10" t="s">
        <v>26</v>
      </c>
      <c r="T37" s="11" t="s">
        <v>26</v>
      </c>
      <c r="U37" s="11" t="s">
        <v>26</v>
      </c>
      <c r="V37" s="11" t="s">
        <v>26</v>
      </c>
      <c r="W37" s="10" t="s">
        <v>26</v>
      </c>
      <c r="X37" s="11" t="s">
        <v>26</v>
      </c>
      <c r="Y37" s="11" t="s">
        <v>26</v>
      </c>
      <c r="Z37" s="11" t="s">
        <v>26</v>
      </c>
      <c r="AA37" s="2">
        <v>550032570.48000002</v>
      </c>
      <c r="AB37" s="1">
        <v>1</v>
      </c>
      <c r="AC37" s="11" t="s">
        <v>26</v>
      </c>
      <c r="AD37" s="11" t="s">
        <v>26</v>
      </c>
      <c r="AE37" s="2">
        <v>1360164556.8199999</v>
      </c>
      <c r="AF37" s="1">
        <v>0.60279216937595004</v>
      </c>
      <c r="AG37" s="11" t="s">
        <v>26</v>
      </c>
      <c r="AH37" s="11" t="s">
        <v>26</v>
      </c>
      <c r="AI37" s="2">
        <v>50808337.5</v>
      </c>
      <c r="AJ37" s="1">
        <v>0.18244868400422001</v>
      </c>
      <c r="AK37" s="11" t="s">
        <v>26</v>
      </c>
      <c r="AL37" s="11" t="s">
        <v>26</v>
      </c>
      <c r="AM37" s="10" t="s">
        <v>26</v>
      </c>
      <c r="AN37" s="11" t="s">
        <v>26</v>
      </c>
      <c r="AO37" s="11" t="s">
        <v>26</v>
      </c>
      <c r="AP37" s="11" t="s">
        <v>26</v>
      </c>
      <c r="AQ37" s="2">
        <v>50808337.5</v>
      </c>
      <c r="AR37" s="1">
        <v>5.0738241160099999E-2</v>
      </c>
      <c r="AS37" s="11" t="s">
        <v>26</v>
      </c>
      <c r="AT37" s="11" t="s">
        <v>26</v>
      </c>
      <c r="AU37" s="10" t="s">
        <v>26</v>
      </c>
      <c r="AV37" s="11" t="s">
        <v>26</v>
      </c>
      <c r="AW37" s="11" t="s">
        <v>26</v>
      </c>
      <c r="AX37" s="11" t="s">
        <v>26</v>
      </c>
      <c r="AY37" s="2">
        <v>1410972894.3199999</v>
      </c>
      <c r="AZ37" s="1">
        <v>0.42847606937470001</v>
      </c>
      <c r="BA37" s="11" t="s">
        <v>26</v>
      </c>
      <c r="BB37" s="11" t="s">
        <v>26</v>
      </c>
    </row>
    <row r="38" spans="1:54" s="7" customFormat="1">
      <c r="A38" s="3" t="s">
        <v>38</v>
      </c>
      <c r="B38" s="31" t="s">
        <v>43</v>
      </c>
      <c r="C38" s="2">
        <v>8855505.3900000006</v>
      </c>
      <c r="D38" s="1">
        <v>1</v>
      </c>
      <c r="E38" s="11" t="s">
        <v>26</v>
      </c>
      <c r="F38" s="11" t="s">
        <v>26</v>
      </c>
      <c r="G38" s="10" t="s">
        <v>26</v>
      </c>
      <c r="H38" s="11" t="s">
        <v>26</v>
      </c>
      <c r="I38" s="11" t="s">
        <v>26</v>
      </c>
      <c r="J38" s="11" t="s">
        <v>26</v>
      </c>
      <c r="K38" s="10" t="s">
        <v>26</v>
      </c>
      <c r="L38" s="11" t="s">
        <v>26</v>
      </c>
      <c r="M38" s="11" t="s">
        <v>26</v>
      </c>
      <c r="N38" s="11" t="s">
        <v>26</v>
      </c>
      <c r="O38" s="2">
        <v>466670009.91000003</v>
      </c>
      <c r="P38" s="1">
        <v>0.45900346759324001</v>
      </c>
      <c r="Q38" s="11" t="s">
        <v>26</v>
      </c>
      <c r="R38" s="11" t="s">
        <v>26</v>
      </c>
      <c r="S38" s="2">
        <v>420750249.97000003</v>
      </c>
      <c r="T38" s="1">
        <v>1</v>
      </c>
      <c r="U38" s="11" t="s">
        <v>26</v>
      </c>
      <c r="V38" s="11" t="s">
        <v>26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2">
        <v>896275765.26999998</v>
      </c>
      <c r="AF38" s="1">
        <v>0.39720783062405002</v>
      </c>
      <c r="AG38" s="11" t="s">
        <v>26</v>
      </c>
      <c r="AH38" s="11" t="s">
        <v>26</v>
      </c>
      <c r="AI38" s="2">
        <v>227671815.84999999</v>
      </c>
      <c r="AJ38" s="1">
        <v>0.81755131599578001</v>
      </c>
      <c r="AK38" s="11" t="s">
        <v>26</v>
      </c>
      <c r="AL38" s="11" t="s">
        <v>26</v>
      </c>
      <c r="AM38" s="2">
        <v>722901375.41999996</v>
      </c>
      <c r="AN38" s="1">
        <v>1</v>
      </c>
      <c r="AO38" s="1" t="s">
        <v>25</v>
      </c>
      <c r="AP38" s="1" t="s">
        <v>25</v>
      </c>
      <c r="AQ38" s="2">
        <v>950573191.26999998</v>
      </c>
      <c r="AR38" s="1">
        <v>0.94926175883990005</v>
      </c>
      <c r="AS38" s="11" t="s">
        <v>26</v>
      </c>
      <c r="AT38" s="11" t="s">
        <v>26</v>
      </c>
      <c r="AU38" s="2">
        <v>35180944.789999999</v>
      </c>
      <c r="AV38" s="1">
        <v>1</v>
      </c>
      <c r="AW38" s="11" t="s">
        <v>26</v>
      </c>
      <c r="AX38" s="11" t="s">
        <v>26</v>
      </c>
      <c r="AY38" s="2">
        <v>1882029901.3299999</v>
      </c>
      <c r="AZ38" s="1">
        <v>0.57152393062530005</v>
      </c>
      <c r="BA38" s="11" t="s">
        <v>26</v>
      </c>
      <c r="BB38" s="11" t="s">
        <v>26</v>
      </c>
    </row>
    <row r="39" spans="1:54" s="7" customFormat="1">
      <c r="A39" s="5" t="s">
        <v>50</v>
      </c>
      <c r="B39" s="24" t="s">
        <v>25</v>
      </c>
      <c r="C39" s="10" t="s">
        <v>26</v>
      </c>
      <c r="D39" s="11" t="s">
        <v>26</v>
      </c>
      <c r="E39" s="11" t="s">
        <v>26</v>
      </c>
      <c r="F39" s="11" t="s">
        <v>26</v>
      </c>
      <c r="G39" s="10" t="s">
        <v>26</v>
      </c>
      <c r="H39" s="11" t="s">
        <v>26</v>
      </c>
      <c r="I39" s="11" t="s">
        <v>26</v>
      </c>
      <c r="J39" s="11" t="s">
        <v>26</v>
      </c>
      <c r="K39" s="10" t="s">
        <v>26</v>
      </c>
      <c r="L39" s="11" t="s">
        <v>26</v>
      </c>
      <c r="M39" s="11" t="s">
        <v>26</v>
      </c>
      <c r="N39" s="11" t="s">
        <v>26</v>
      </c>
      <c r="O39" s="10">
        <v>101182436.72</v>
      </c>
      <c r="P39" s="11">
        <v>4.5675983773E-4</v>
      </c>
      <c r="Q39" s="11">
        <v>0.13500000000000001</v>
      </c>
      <c r="R39" s="11">
        <v>0.13450000000000001</v>
      </c>
      <c r="S39" s="10">
        <v>44302652.280000001</v>
      </c>
      <c r="T39" s="11">
        <v>4.0196087640000002E-4</v>
      </c>
      <c r="U39" s="11">
        <v>0.13500000000000001</v>
      </c>
      <c r="V39" s="11">
        <v>0.1346</v>
      </c>
      <c r="W39" s="10" t="s">
        <v>26</v>
      </c>
      <c r="X39" s="11" t="s">
        <v>26</v>
      </c>
      <c r="Y39" s="11" t="s">
        <v>26</v>
      </c>
      <c r="Z39" s="11" t="s">
        <v>26</v>
      </c>
      <c r="AA39" s="10" t="s">
        <v>26</v>
      </c>
      <c r="AB39" s="11" t="s">
        <v>26</v>
      </c>
      <c r="AC39" s="11" t="s">
        <v>26</v>
      </c>
      <c r="AD39" s="11" t="s">
        <v>26</v>
      </c>
      <c r="AE39" s="10">
        <v>145485089</v>
      </c>
      <c r="AF39" s="11">
        <v>2.3032184057999999E-4</v>
      </c>
      <c r="AG39" s="11">
        <v>0.13500000000000001</v>
      </c>
      <c r="AH39" s="11">
        <v>0.1348</v>
      </c>
      <c r="AI39" s="10">
        <v>146749312.53</v>
      </c>
      <c r="AJ39" s="11">
        <v>8.6571242166200001E-3</v>
      </c>
      <c r="AK39" s="11">
        <v>0.13500000000000001</v>
      </c>
      <c r="AL39" s="11">
        <v>0.1263</v>
      </c>
      <c r="AM39" s="10" t="s">
        <v>26</v>
      </c>
      <c r="AN39" s="11" t="s">
        <v>26</v>
      </c>
      <c r="AO39" s="11" t="s">
        <v>26</v>
      </c>
      <c r="AP39" s="11" t="s">
        <v>26</v>
      </c>
      <c r="AQ39" s="10">
        <v>146749312.53</v>
      </c>
      <c r="AR39" s="11">
        <v>3.6022623106499998E-3</v>
      </c>
      <c r="AS39" s="11">
        <v>0.13500000000000001</v>
      </c>
      <c r="AT39" s="11">
        <v>0.13139999999999999</v>
      </c>
      <c r="AU39" s="10">
        <v>320599831.75999999</v>
      </c>
      <c r="AV39" s="11">
        <v>7.2061353789100004E-3</v>
      </c>
      <c r="AW39" s="11">
        <v>0.13500000000000001</v>
      </c>
      <c r="AX39" s="11">
        <v>0.1278</v>
      </c>
      <c r="AY39" s="10">
        <v>612834233.28999996</v>
      </c>
      <c r="AZ39" s="11">
        <v>8.5485362035999995E-4</v>
      </c>
      <c r="BA39" s="11">
        <v>0.13500000000000001</v>
      </c>
      <c r="BB39" s="11">
        <v>0.1341</v>
      </c>
    </row>
    <row r="40" spans="1:54" s="7" customFormat="1">
      <c r="A40" s="3" t="s">
        <v>38</v>
      </c>
      <c r="B40" s="31" t="s">
        <v>43</v>
      </c>
      <c r="C40" s="10" t="s">
        <v>26</v>
      </c>
      <c r="D40" s="11" t="s">
        <v>26</v>
      </c>
      <c r="E40" s="11" t="s">
        <v>26</v>
      </c>
      <c r="F40" s="11" t="s">
        <v>26</v>
      </c>
      <c r="G40" s="10" t="s">
        <v>26</v>
      </c>
      <c r="H40" s="11" t="s">
        <v>26</v>
      </c>
      <c r="I40" s="11" t="s">
        <v>26</v>
      </c>
      <c r="J40" s="11" t="s">
        <v>26</v>
      </c>
      <c r="K40" s="10" t="s">
        <v>26</v>
      </c>
      <c r="L40" s="11" t="s">
        <v>26</v>
      </c>
      <c r="M40" s="11" t="s">
        <v>26</v>
      </c>
      <c r="N40" s="11" t="s">
        <v>26</v>
      </c>
      <c r="O40" s="2">
        <v>101182436.72</v>
      </c>
      <c r="P40" s="1">
        <v>1</v>
      </c>
      <c r="Q40" s="11" t="s">
        <v>26</v>
      </c>
      <c r="R40" s="11" t="s">
        <v>26</v>
      </c>
      <c r="S40" s="2">
        <v>44302652.280000001</v>
      </c>
      <c r="T40" s="1">
        <v>1</v>
      </c>
      <c r="U40" s="11" t="s">
        <v>26</v>
      </c>
      <c r="V40" s="11" t="s">
        <v>26</v>
      </c>
      <c r="W40" s="10" t="s">
        <v>26</v>
      </c>
      <c r="X40" s="11" t="s">
        <v>26</v>
      </c>
      <c r="Y40" s="11" t="s">
        <v>26</v>
      </c>
      <c r="Z40" s="11" t="s">
        <v>26</v>
      </c>
      <c r="AA40" s="10" t="s">
        <v>26</v>
      </c>
      <c r="AB40" s="11" t="s">
        <v>26</v>
      </c>
      <c r="AC40" s="11" t="s">
        <v>26</v>
      </c>
      <c r="AD40" s="11" t="s">
        <v>26</v>
      </c>
      <c r="AE40" s="2">
        <v>145485089</v>
      </c>
      <c r="AF40" s="1">
        <v>1</v>
      </c>
      <c r="AG40" s="11" t="s">
        <v>26</v>
      </c>
      <c r="AH40" s="11" t="s">
        <v>26</v>
      </c>
      <c r="AI40" s="2">
        <v>146749312.53</v>
      </c>
      <c r="AJ40" s="1">
        <v>1</v>
      </c>
      <c r="AK40" s="11" t="s">
        <v>26</v>
      </c>
      <c r="AL40" s="11" t="s">
        <v>26</v>
      </c>
      <c r="AM40" s="10" t="s">
        <v>26</v>
      </c>
      <c r="AN40" s="11" t="s">
        <v>26</v>
      </c>
      <c r="AO40" s="11" t="s">
        <v>26</v>
      </c>
      <c r="AP40" s="11" t="s">
        <v>26</v>
      </c>
      <c r="AQ40" s="2">
        <v>146749312.53</v>
      </c>
      <c r="AR40" s="1">
        <v>1</v>
      </c>
      <c r="AS40" s="11" t="s">
        <v>26</v>
      </c>
      <c r="AT40" s="11" t="s">
        <v>26</v>
      </c>
      <c r="AU40" s="2">
        <v>320599831.75999999</v>
      </c>
      <c r="AV40" s="1">
        <v>1</v>
      </c>
      <c r="AW40" s="11" t="s">
        <v>26</v>
      </c>
      <c r="AX40" s="11" t="s">
        <v>26</v>
      </c>
      <c r="AY40" s="2">
        <v>612834233.28999996</v>
      </c>
      <c r="AZ40" s="1">
        <v>1</v>
      </c>
      <c r="BA40" s="11" t="s">
        <v>26</v>
      </c>
      <c r="BB40" s="11" t="s">
        <v>26</v>
      </c>
    </row>
    <row r="41" spans="1:54" s="7" customFormat="1">
      <c r="A41" s="5" t="s">
        <v>51</v>
      </c>
      <c r="B41" s="24" t="s">
        <v>25</v>
      </c>
      <c r="C41" s="10">
        <v>24642861.82</v>
      </c>
      <c r="D41" s="11">
        <v>4.0094213396800003E-3</v>
      </c>
      <c r="E41" s="11">
        <v>0.13500000000000001</v>
      </c>
      <c r="F41" s="11">
        <v>0.13100000000000001</v>
      </c>
      <c r="G41" s="10">
        <v>2774045161.21</v>
      </c>
      <c r="H41" s="11">
        <v>1.8728616583080001E-2</v>
      </c>
      <c r="I41" s="11">
        <v>0.13539999999999999</v>
      </c>
      <c r="J41" s="11">
        <v>0.1167</v>
      </c>
      <c r="K41" s="10" t="s">
        <v>26</v>
      </c>
      <c r="L41" s="11" t="s">
        <v>26</v>
      </c>
      <c r="M41" s="11" t="s">
        <v>26</v>
      </c>
      <c r="N41" s="11" t="s">
        <v>26</v>
      </c>
      <c r="O41" s="10">
        <v>5417589329.3999996</v>
      </c>
      <c r="P41" s="11">
        <v>2.4456193220830001E-2</v>
      </c>
      <c r="Q41" s="11">
        <v>0.05</v>
      </c>
      <c r="R41" s="11">
        <v>2.5499999999999998E-2</v>
      </c>
      <c r="S41" s="10">
        <v>5422966085.29</v>
      </c>
      <c r="T41" s="11">
        <v>4.9202927774140003E-2</v>
      </c>
      <c r="U41" s="11">
        <v>0.14399999999999999</v>
      </c>
      <c r="V41" s="11">
        <v>9.4799999999999995E-2</v>
      </c>
      <c r="W41" s="10">
        <v>653985263.13999999</v>
      </c>
      <c r="X41" s="11">
        <v>0.10646477642311999</v>
      </c>
      <c r="Y41" s="11">
        <v>0.15</v>
      </c>
      <c r="Z41" s="11">
        <v>4.3499999999999997E-2</v>
      </c>
      <c r="AA41" s="10">
        <v>4852802964.2600002</v>
      </c>
      <c r="AB41" s="11">
        <v>3.5512652156109999E-2</v>
      </c>
      <c r="AC41" s="11">
        <v>0.13780000000000001</v>
      </c>
      <c r="AD41" s="11">
        <v>0.1023</v>
      </c>
      <c r="AE41" s="10">
        <v>19146031665.119999</v>
      </c>
      <c r="AF41" s="11">
        <v>3.0310661272430001E-2</v>
      </c>
      <c r="AG41" s="11">
        <v>0.1394</v>
      </c>
      <c r="AH41" s="11">
        <v>0.1091</v>
      </c>
      <c r="AI41" s="10">
        <v>477222196.44999999</v>
      </c>
      <c r="AJ41" s="11">
        <v>2.8152580495050001E-2</v>
      </c>
      <c r="AK41" s="11">
        <v>0.14249999999999999</v>
      </c>
      <c r="AL41" s="11">
        <v>0.1143</v>
      </c>
      <c r="AM41" s="10">
        <v>42530419.780000001</v>
      </c>
      <c r="AN41" s="11">
        <v>1.7879825730799999E-3</v>
      </c>
      <c r="AO41" s="11">
        <v>0.15</v>
      </c>
      <c r="AP41" s="11">
        <v>0.1482</v>
      </c>
      <c r="AQ41" s="10">
        <v>519752616.23000002</v>
      </c>
      <c r="AR41" s="11">
        <v>1.2758392036239999E-2</v>
      </c>
      <c r="AS41" s="11">
        <v>0.1431</v>
      </c>
      <c r="AT41" s="11">
        <v>0.1303</v>
      </c>
      <c r="AU41" s="10">
        <v>2269078441.0700002</v>
      </c>
      <c r="AV41" s="11">
        <v>5.1002167848760001E-2</v>
      </c>
      <c r="AW41" s="11">
        <v>0.14269999999999999</v>
      </c>
      <c r="AX41" s="11">
        <v>9.1700000000000004E-2</v>
      </c>
      <c r="AY41" s="10">
        <v>21934862722.419998</v>
      </c>
      <c r="AZ41" s="11">
        <v>3.059733903853E-2</v>
      </c>
      <c r="BA41" s="11">
        <v>0.13980000000000001</v>
      </c>
      <c r="BB41" s="11">
        <v>0.10920000000000001</v>
      </c>
    </row>
    <row r="42" spans="1:54" s="7" customFormat="1">
      <c r="A42" s="3" t="s">
        <v>36</v>
      </c>
      <c r="B42" s="31" t="s">
        <v>37</v>
      </c>
      <c r="C42" s="2">
        <v>24642861.82</v>
      </c>
      <c r="D42" s="1">
        <v>1</v>
      </c>
      <c r="E42" s="11" t="s">
        <v>26</v>
      </c>
      <c r="F42" s="11" t="s">
        <v>26</v>
      </c>
      <c r="G42" s="2">
        <v>2704372473</v>
      </c>
      <c r="H42" s="1">
        <v>0.97488408293266005</v>
      </c>
      <c r="I42" s="11" t="s">
        <v>26</v>
      </c>
      <c r="J42" s="11" t="s">
        <v>26</v>
      </c>
      <c r="K42" s="10" t="s">
        <v>26</v>
      </c>
      <c r="L42" s="11" t="s">
        <v>26</v>
      </c>
      <c r="M42" s="11" t="s">
        <v>26</v>
      </c>
      <c r="N42" s="11" t="s">
        <v>26</v>
      </c>
      <c r="O42" s="2">
        <v>4698376666.1400003</v>
      </c>
      <c r="P42" s="1">
        <v>0.86724489075666999</v>
      </c>
      <c r="Q42" s="11" t="s">
        <v>26</v>
      </c>
      <c r="R42" s="11" t="s">
        <v>26</v>
      </c>
      <c r="S42" s="2">
        <v>2163993314.0799999</v>
      </c>
      <c r="T42" s="1">
        <v>0.39904238382569002</v>
      </c>
      <c r="U42" s="11" t="s">
        <v>26</v>
      </c>
      <c r="V42" s="11" t="s">
        <v>26</v>
      </c>
      <c r="W42" s="10" t="s">
        <v>26</v>
      </c>
      <c r="X42" s="11" t="s">
        <v>26</v>
      </c>
      <c r="Y42" s="11" t="s">
        <v>26</v>
      </c>
      <c r="Z42" s="11" t="s">
        <v>26</v>
      </c>
      <c r="AA42" s="2">
        <v>3954891858</v>
      </c>
      <c r="AB42" s="1">
        <v>0.81497062360187</v>
      </c>
      <c r="AC42" s="11" t="s">
        <v>26</v>
      </c>
      <c r="AD42" s="11" t="s">
        <v>26</v>
      </c>
      <c r="AE42" s="2">
        <v>13546277173.040001</v>
      </c>
      <c r="AF42" s="1">
        <v>0.70752401385182995</v>
      </c>
      <c r="AG42" s="11" t="s">
        <v>26</v>
      </c>
      <c r="AH42" s="11" t="s">
        <v>26</v>
      </c>
      <c r="AI42" s="2">
        <v>240062328.80000001</v>
      </c>
      <c r="AJ42" s="1">
        <v>0.50304099554839998</v>
      </c>
      <c r="AK42" s="11" t="s">
        <v>26</v>
      </c>
      <c r="AL42" s="11" t="s">
        <v>26</v>
      </c>
      <c r="AM42" s="10" t="s">
        <v>26</v>
      </c>
      <c r="AN42" s="11" t="s">
        <v>26</v>
      </c>
      <c r="AO42" s="11" t="s">
        <v>26</v>
      </c>
      <c r="AP42" s="11" t="s">
        <v>26</v>
      </c>
      <c r="AQ42" s="2">
        <v>240062328.80000001</v>
      </c>
      <c r="AR42" s="1">
        <v>0.46187805756762002</v>
      </c>
      <c r="AS42" s="11" t="s">
        <v>26</v>
      </c>
      <c r="AT42" s="11" t="s">
        <v>26</v>
      </c>
      <c r="AU42" s="2">
        <v>1109988730.3199999</v>
      </c>
      <c r="AV42" s="1">
        <v>0.48918041361169001</v>
      </c>
      <c r="AW42" s="11" t="s">
        <v>26</v>
      </c>
      <c r="AX42" s="11" t="s">
        <v>26</v>
      </c>
      <c r="AY42" s="2">
        <v>14896328232.16</v>
      </c>
      <c r="AZ42" s="1">
        <v>0.67911654705430002</v>
      </c>
      <c r="BA42" s="11" t="s">
        <v>26</v>
      </c>
      <c r="BB42" s="11" t="s">
        <v>26</v>
      </c>
    </row>
    <row r="43" spans="1:54" s="7" customFormat="1">
      <c r="A43" s="3" t="s">
        <v>38</v>
      </c>
      <c r="B43" s="31" t="s">
        <v>39</v>
      </c>
      <c r="C43" s="11" t="s">
        <v>26</v>
      </c>
      <c r="D43" s="11" t="s">
        <v>26</v>
      </c>
      <c r="E43" s="11" t="s">
        <v>26</v>
      </c>
      <c r="F43" s="11" t="s">
        <v>26</v>
      </c>
      <c r="G43" s="2">
        <v>69672688.209999993</v>
      </c>
      <c r="H43" s="1">
        <v>2.511591706734E-2</v>
      </c>
      <c r="I43" s="11" t="s">
        <v>26</v>
      </c>
      <c r="J43" s="11" t="s">
        <v>26</v>
      </c>
      <c r="K43" s="10" t="s">
        <v>26</v>
      </c>
      <c r="L43" s="11" t="s">
        <v>26</v>
      </c>
      <c r="M43" s="11" t="s">
        <v>26</v>
      </c>
      <c r="N43" s="11" t="s">
        <v>26</v>
      </c>
      <c r="O43" s="2">
        <v>719212663.25999999</v>
      </c>
      <c r="P43" s="1">
        <v>0.13275510924333001</v>
      </c>
      <c r="Q43" s="11" t="s">
        <v>26</v>
      </c>
      <c r="R43" s="11" t="s">
        <v>26</v>
      </c>
      <c r="S43" s="2">
        <v>3258972771.21</v>
      </c>
      <c r="T43" s="1">
        <v>0.60095761617430998</v>
      </c>
      <c r="U43" s="11" t="s">
        <v>26</v>
      </c>
      <c r="V43" s="11" t="s">
        <v>26</v>
      </c>
      <c r="W43" s="2">
        <v>653985263.13999999</v>
      </c>
      <c r="X43" s="1">
        <v>1</v>
      </c>
      <c r="Y43" s="11" t="s">
        <v>26</v>
      </c>
      <c r="Z43" s="11" t="s">
        <v>26</v>
      </c>
      <c r="AA43" s="2">
        <v>897911106.25999999</v>
      </c>
      <c r="AB43" s="1">
        <v>0.18502937639812</v>
      </c>
      <c r="AC43" s="11" t="s">
        <v>26</v>
      </c>
      <c r="AD43" s="11" t="s">
        <v>26</v>
      </c>
      <c r="AE43" s="2">
        <v>5599754492.0799999</v>
      </c>
      <c r="AF43" s="1">
        <v>0.29247598614817</v>
      </c>
      <c r="AG43" s="11" t="s">
        <v>26</v>
      </c>
      <c r="AH43" s="11" t="s">
        <v>26</v>
      </c>
      <c r="AI43" s="2">
        <v>237159867.65000001</v>
      </c>
      <c r="AJ43" s="1">
        <v>0.49695900445160002</v>
      </c>
      <c r="AK43" s="11" t="s">
        <v>26</v>
      </c>
      <c r="AL43" s="11" t="s">
        <v>26</v>
      </c>
      <c r="AM43" s="2">
        <v>42530419.780000001</v>
      </c>
      <c r="AN43" s="1">
        <v>1</v>
      </c>
      <c r="AO43" s="1" t="s">
        <v>25</v>
      </c>
      <c r="AP43" s="1" t="s">
        <v>25</v>
      </c>
      <c r="AQ43" s="2">
        <v>279690287.43000001</v>
      </c>
      <c r="AR43" s="1">
        <v>0.53812194243237998</v>
      </c>
      <c r="AS43" s="11" t="s">
        <v>26</v>
      </c>
      <c r="AT43" s="11" t="s">
        <v>26</v>
      </c>
      <c r="AU43" s="2">
        <v>1159089710.75</v>
      </c>
      <c r="AV43" s="1">
        <v>0.51081958638831004</v>
      </c>
      <c r="AW43" s="11" t="s">
        <v>26</v>
      </c>
      <c r="AX43" s="11" t="s">
        <v>26</v>
      </c>
      <c r="AY43" s="2">
        <v>7038534490.2600002</v>
      </c>
      <c r="AZ43" s="1">
        <v>0.32088345294569998</v>
      </c>
      <c r="BA43" s="11" t="s">
        <v>26</v>
      </c>
      <c r="BB43" s="11" t="s">
        <v>26</v>
      </c>
    </row>
    <row r="44" spans="1:54" s="7" customFormat="1">
      <c r="A44" s="5" t="s">
        <v>52</v>
      </c>
      <c r="B44" s="24" t="s">
        <v>25</v>
      </c>
      <c r="C44" s="11" t="s">
        <v>26</v>
      </c>
      <c r="D44" s="11" t="s">
        <v>26</v>
      </c>
      <c r="E44" s="11" t="s">
        <v>26</v>
      </c>
      <c r="F44" s="11" t="s">
        <v>26</v>
      </c>
      <c r="G44" s="10" t="s">
        <v>26</v>
      </c>
      <c r="H44" s="11" t="s">
        <v>26</v>
      </c>
      <c r="I44" s="11" t="s">
        <v>26</v>
      </c>
      <c r="J44" s="11" t="s">
        <v>26</v>
      </c>
      <c r="K44" s="10">
        <v>77850485.209999993</v>
      </c>
      <c r="L44" s="11">
        <v>2.7177504057309999E-2</v>
      </c>
      <c r="M44" s="11">
        <v>0.15</v>
      </c>
      <c r="N44" s="11">
        <v>0.12280000000000001</v>
      </c>
      <c r="O44" s="10" t="s">
        <v>26</v>
      </c>
      <c r="P44" s="11" t="s">
        <v>26</v>
      </c>
      <c r="Q44" s="11" t="s">
        <v>26</v>
      </c>
      <c r="R44" s="11" t="s">
        <v>26</v>
      </c>
      <c r="S44" s="10" t="s">
        <v>26</v>
      </c>
      <c r="T44" s="11" t="s">
        <v>26</v>
      </c>
      <c r="U44" s="11" t="s">
        <v>26</v>
      </c>
      <c r="V44" s="11" t="s">
        <v>26</v>
      </c>
      <c r="W44" s="10" t="s">
        <v>26</v>
      </c>
      <c r="X44" s="11" t="s">
        <v>26</v>
      </c>
      <c r="Y44" s="11" t="s">
        <v>26</v>
      </c>
      <c r="Z44" s="11" t="s">
        <v>26</v>
      </c>
      <c r="AA44" s="10">
        <v>70094629.450000003</v>
      </c>
      <c r="AB44" s="11">
        <v>5.1295018816999995E-4</v>
      </c>
      <c r="AC44" s="11">
        <v>0.15</v>
      </c>
      <c r="AD44" s="11">
        <v>0.14949999999999999</v>
      </c>
      <c r="AE44" s="10">
        <v>147945114.66</v>
      </c>
      <c r="AF44" s="11">
        <v>2.3421638153999999E-4</v>
      </c>
      <c r="AG44" s="11">
        <v>0.15</v>
      </c>
      <c r="AH44" s="11">
        <v>0.14979999999999999</v>
      </c>
      <c r="AI44" s="10" t="s">
        <v>26</v>
      </c>
      <c r="AJ44" s="11" t="s">
        <v>26</v>
      </c>
      <c r="AK44" s="11" t="s">
        <v>26</v>
      </c>
      <c r="AL44" s="11" t="s">
        <v>26</v>
      </c>
      <c r="AM44" s="10">
        <v>285299734.10000002</v>
      </c>
      <c r="AN44" s="11">
        <v>1.1994025812899999E-2</v>
      </c>
      <c r="AO44" s="11">
        <v>0.15</v>
      </c>
      <c r="AP44" s="11">
        <v>0.13800000000000001</v>
      </c>
      <c r="AQ44" s="10">
        <v>285299734.10000002</v>
      </c>
      <c r="AR44" s="11">
        <v>7.00326605739E-3</v>
      </c>
      <c r="AS44" s="11">
        <v>0.15</v>
      </c>
      <c r="AT44" s="11">
        <v>0.14299999999999999</v>
      </c>
      <c r="AU44" s="10" t="s">
        <v>26</v>
      </c>
      <c r="AV44" s="11" t="s">
        <v>26</v>
      </c>
      <c r="AW44" s="11" t="s">
        <v>26</v>
      </c>
      <c r="AX44" s="11" t="s">
        <v>26</v>
      </c>
      <c r="AY44" s="10">
        <v>433244848.75999999</v>
      </c>
      <c r="AZ44" s="11">
        <v>6.0434112089000004E-4</v>
      </c>
      <c r="BA44" s="11">
        <v>0.15</v>
      </c>
      <c r="BB44" s="11">
        <v>0.14940000000000001</v>
      </c>
    </row>
    <row r="45" spans="1:54" s="7" customFormat="1">
      <c r="A45" s="3" t="s">
        <v>38</v>
      </c>
      <c r="B45" s="31" t="s">
        <v>39</v>
      </c>
      <c r="C45" s="11" t="s">
        <v>26</v>
      </c>
      <c r="D45" s="11" t="s">
        <v>26</v>
      </c>
      <c r="E45" s="11" t="s">
        <v>26</v>
      </c>
      <c r="F45" s="11" t="s">
        <v>26</v>
      </c>
      <c r="G45" s="10" t="s">
        <v>26</v>
      </c>
      <c r="H45" s="11" t="s">
        <v>26</v>
      </c>
      <c r="I45" s="11" t="s">
        <v>26</v>
      </c>
      <c r="J45" s="11" t="s">
        <v>26</v>
      </c>
      <c r="K45" s="2">
        <v>77850485.209999993</v>
      </c>
      <c r="L45" s="1">
        <v>1</v>
      </c>
      <c r="M45" s="11" t="s">
        <v>26</v>
      </c>
      <c r="N45" s="11" t="s">
        <v>26</v>
      </c>
      <c r="O45" s="10" t="s">
        <v>26</v>
      </c>
      <c r="P45" s="11" t="s">
        <v>26</v>
      </c>
      <c r="Q45" s="11" t="s">
        <v>26</v>
      </c>
      <c r="R45" s="11" t="s">
        <v>26</v>
      </c>
      <c r="S45" s="10" t="s">
        <v>26</v>
      </c>
      <c r="T45" s="11" t="s">
        <v>26</v>
      </c>
      <c r="U45" s="11" t="s">
        <v>26</v>
      </c>
      <c r="V45" s="11" t="s">
        <v>26</v>
      </c>
      <c r="W45" s="10" t="s">
        <v>26</v>
      </c>
      <c r="X45" s="11" t="s">
        <v>26</v>
      </c>
      <c r="Y45" s="11" t="s">
        <v>26</v>
      </c>
      <c r="Z45" s="11" t="s">
        <v>26</v>
      </c>
      <c r="AA45" s="2">
        <v>70094629.450000003</v>
      </c>
      <c r="AB45" s="1">
        <v>1</v>
      </c>
      <c r="AC45" s="11" t="s">
        <v>26</v>
      </c>
      <c r="AD45" s="11" t="s">
        <v>26</v>
      </c>
      <c r="AE45" s="2">
        <v>147945114.66</v>
      </c>
      <c r="AF45" s="1">
        <v>1</v>
      </c>
      <c r="AG45" s="11" t="s">
        <v>26</v>
      </c>
      <c r="AH45" s="11" t="s">
        <v>26</v>
      </c>
      <c r="AI45" s="10" t="s">
        <v>26</v>
      </c>
      <c r="AJ45" s="11" t="s">
        <v>26</v>
      </c>
      <c r="AK45" s="11" t="s">
        <v>26</v>
      </c>
      <c r="AL45" s="11" t="s">
        <v>26</v>
      </c>
      <c r="AM45" s="2">
        <v>285299734.10000002</v>
      </c>
      <c r="AN45" s="1">
        <v>1</v>
      </c>
      <c r="AO45" s="11" t="s">
        <v>26</v>
      </c>
      <c r="AP45" s="11" t="s">
        <v>26</v>
      </c>
      <c r="AQ45" s="2">
        <v>285299734.10000002</v>
      </c>
      <c r="AR45" s="1">
        <v>1</v>
      </c>
      <c r="AS45" s="11" t="s">
        <v>26</v>
      </c>
      <c r="AT45" s="11" t="s">
        <v>26</v>
      </c>
      <c r="AU45" s="10" t="s">
        <v>26</v>
      </c>
      <c r="AV45" s="11" t="s">
        <v>26</v>
      </c>
      <c r="AW45" s="11" t="s">
        <v>26</v>
      </c>
      <c r="AX45" s="11" t="s">
        <v>26</v>
      </c>
      <c r="AY45" s="2">
        <v>433244848.75999999</v>
      </c>
      <c r="AZ45" s="1">
        <v>1</v>
      </c>
      <c r="BA45" s="11" t="s">
        <v>26</v>
      </c>
      <c r="BB45" s="11" t="s">
        <v>26</v>
      </c>
    </row>
    <row r="46" spans="1:54" s="7" customFormat="1">
      <c r="A46" s="5" t="s">
        <v>53</v>
      </c>
      <c r="B46" s="24" t="s">
        <v>25</v>
      </c>
      <c r="C46" s="11" t="s">
        <v>26</v>
      </c>
      <c r="D46" s="11" t="s">
        <v>26</v>
      </c>
      <c r="E46" s="11" t="s">
        <v>26</v>
      </c>
      <c r="F46" s="11" t="s">
        <v>26</v>
      </c>
      <c r="G46" s="10" t="s">
        <v>26</v>
      </c>
      <c r="H46" s="11" t="s">
        <v>26</v>
      </c>
      <c r="I46" s="11" t="s">
        <v>26</v>
      </c>
      <c r="J46" s="11" t="s">
        <v>26</v>
      </c>
      <c r="K46" s="10" t="s">
        <v>26</v>
      </c>
      <c r="L46" s="11" t="s">
        <v>26</v>
      </c>
      <c r="M46" s="11" t="s">
        <v>26</v>
      </c>
      <c r="N46" s="11" t="s">
        <v>26</v>
      </c>
      <c r="O46" s="10">
        <v>1895788607.4200001</v>
      </c>
      <c r="P46" s="11">
        <v>8.5580079385700007E-3</v>
      </c>
      <c r="Q46" s="11">
        <v>0.15</v>
      </c>
      <c r="R46" s="11">
        <v>0.1414</v>
      </c>
      <c r="S46" s="10">
        <v>665281859.32000005</v>
      </c>
      <c r="T46" s="11">
        <v>6.0361460423600001E-3</v>
      </c>
      <c r="U46" s="11">
        <v>0.15</v>
      </c>
      <c r="V46" s="11">
        <v>0.14399999999999999</v>
      </c>
      <c r="W46" s="10" t="s">
        <v>26</v>
      </c>
      <c r="X46" s="11" t="s">
        <v>26</v>
      </c>
      <c r="Y46" s="11" t="s">
        <v>26</v>
      </c>
      <c r="Z46" s="11" t="s">
        <v>26</v>
      </c>
      <c r="AA46" s="10" t="s">
        <v>26</v>
      </c>
      <c r="AB46" s="11" t="s">
        <v>26</v>
      </c>
      <c r="AC46" s="11" t="s">
        <v>26</v>
      </c>
      <c r="AD46" s="11" t="s">
        <v>26</v>
      </c>
      <c r="AE46" s="10">
        <v>2561070466.7399998</v>
      </c>
      <c r="AF46" s="11">
        <v>4.0545080447999997E-3</v>
      </c>
      <c r="AG46" s="11">
        <v>0.15</v>
      </c>
      <c r="AH46" s="11">
        <v>0.1459</v>
      </c>
      <c r="AI46" s="10">
        <v>584315693.09000003</v>
      </c>
      <c r="AJ46" s="11">
        <v>3.4470304832020002E-2</v>
      </c>
      <c r="AK46" s="11">
        <v>0.15</v>
      </c>
      <c r="AL46" s="11">
        <v>0.11550000000000001</v>
      </c>
      <c r="AM46" s="10" t="s">
        <v>26</v>
      </c>
      <c r="AN46" s="11" t="s">
        <v>26</v>
      </c>
      <c r="AO46" s="11" t="s">
        <v>26</v>
      </c>
      <c r="AP46" s="11" t="s">
        <v>26</v>
      </c>
      <c r="AQ46" s="10">
        <v>584315693.09000003</v>
      </c>
      <c r="AR46" s="11">
        <v>1.434322493544E-2</v>
      </c>
      <c r="AS46" s="11">
        <v>0.15</v>
      </c>
      <c r="AT46" s="11">
        <v>0.13569999999999999</v>
      </c>
      <c r="AU46" s="10">
        <v>115410619.73999999</v>
      </c>
      <c r="AV46" s="11">
        <v>2.5940891654400002E-3</v>
      </c>
      <c r="AW46" s="11">
        <v>0.15</v>
      </c>
      <c r="AX46" s="11">
        <v>0.1474</v>
      </c>
      <c r="AY46" s="10">
        <v>3260796779.5700002</v>
      </c>
      <c r="AZ46" s="11">
        <v>4.5485447464499998E-3</v>
      </c>
      <c r="BA46" s="11">
        <v>0.15</v>
      </c>
      <c r="BB46" s="11">
        <v>0.14549999999999999</v>
      </c>
    </row>
    <row r="47" spans="1:54" s="7" customFormat="1">
      <c r="A47" s="3" t="s">
        <v>38</v>
      </c>
      <c r="B47" s="31" t="s">
        <v>39</v>
      </c>
      <c r="C47" s="11" t="s">
        <v>26</v>
      </c>
      <c r="D47" s="11" t="s">
        <v>26</v>
      </c>
      <c r="E47" s="11" t="s">
        <v>26</v>
      </c>
      <c r="F47" s="11" t="s">
        <v>26</v>
      </c>
      <c r="G47" s="10" t="s">
        <v>26</v>
      </c>
      <c r="H47" s="11" t="s">
        <v>26</v>
      </c>
      <c r="I47" s="11" t="s">
        <v>26</v>
      </c>
      <c r="J47" s="11" t="s">
        <v>26</v>
      </c>
      <c r="K47" s="10" t="s">
        <v>26</v>
      </c>
      <c r="L47" s="11" t="s">
        <v>26</v>
      </c>
      <c r="M47" s="11" t="s">
        <v>26</v>
      </c>
      <c r="N47" s="11" t="s">
        <v>26</v>
      </c>
      <c r="O47" s="2">
        <v>1895788607.4200001</v>
      </c>
      <c r="P47" s="1">
        <v>1</v>
      </c>
      <c r="Q47" s="11" t="s">
        <v>26</v>
      </c>
      <c r="R47" s="11" t="s">
        <v>26</v>
      </c>
      <c r="S47" s="2">
        <v>665281859.32000005</v>
      </c>
      <c r="T47" s="1">
        <v>1</v>
      </c>
      <c r="U47" s="11" t="s">
        <v>26</v>
      </c>
      <c r="V47" s="11" t="s">
        <v>26</v>
      </c>
      <c r="W47" s="10" t="s">
        <v>26</v>
      </c>
      <c r="X47" s="11" t="s">
        <v>26</v>
      </c>
      <c r="Y47" s="11" t="s">
        <v>26</v>
      </c>
      <c r="Z47" s="11" t="s">
        <v>26</v>
      </c>
      <c r="AA47" s="10" t="s">
        <v>26</v>
      </c>
      <c r="AB47" s="11" t="s">
        <v>26</v>
      </c>
      <c r="AC47" s="11" t="s">
        <v>26</v>
      </c>
      <c r="AD47" s="11" t="s">
        <v>26</v>
      </c>
      <c r="AE47" s="2">
        <v>2561070466.7399998</v>
      </c>
      <c r="AF47" s="1">
        <v>1</v>
      </c>
      <c r="AG47" s="11" t="s">
        <v>26</v>
      </c>
      <c r="AH47" s="11" t="s">
        <v>26</v>
      </c>
      <c r="AI47" s="2">
        <v>584315693.09000003</v>
      </c>
      <c r="AJ47" s="1">
        <v>1</v>
      </c>
      <c r="AK47" s="11" t="s">
        <v>26</v>
      </c>
      <c r="AL47" s="11" t="s">
        <v>26</v>
      </c>
      <c r="AM47" s="10" t="s">
        <v>26</v>
      </c>
      <c r="AN47" s="11" t="s">
        <v>26</v>
      </c>
      <c r="AO47" s="11" t="s">
        <v>26</v>
      </c>
      <c r="AP47" s="11" t="s">
        <v>26</v>
      </c>
      <c r="AQ47" s="2">
        <v>584315693.09000003</v>
      </c>
      <c r="AR47" s="1">
        <v>1</v>
      </c>
      <c r="AS47" s="11" t="s">
        <v>26</v>
      </c>
      <c r="AT47" s="11" t="s">
        <v>26</v>
      </c>
      <c r="AU47" s="2">
        <v>115410619.73999999</v>
      </c>
      <c r="AV47" s="1">
        <v>1</v>
      </c>
      <c r="AW47" s="11" t="s">
        <v>26</v>
      </c>
      <c r="AX47" s="11" t="s">
        <v>26</v>
      </c>
      <c r="AY47" s="2">
        <v>3260796779.5700002</v>
      </c>
      <c r="AZ47" s="1">
        <v>1</v>
      </c>
      <c r="BA47" s="11" t="s">
        <v>26</v>
      </c>
      <c r="BB47" s="11" t="s">
        <v>26</v>
      </c>
    </row>
    <row r="48" spans="1:54" s="7" customFormat="1">
      <c r="A48" s="13" t="s">
        <v>54</v>
      </c>
      <c r="B48" s="25" t="s">
        <v>25</v>
      </c>
      <c r="C48" s="55">
        <v>74210822.390000001</v>
      </c>
      <c r="D48" s="56">
        <v>1.207418428504E-2</v>
      </c>
      <c r="E48" s="56" t="s">
        <v>26</v>
      </c>
      <c r="F48" s="56" t="s">
        <v>26</v>
      </c>
      <c r="G48" s="55">
        <v>383430481.77999997</v>
      </c>
      <c r="H48" s="56">
        <v>2.5886826140899999E-3</v>
      </c>
      <c r="I48" s="56" t="s">
        <v>26</v>
      </c>
      <c r="J48" s="56" t="s">
        <v>26</v>
      </c>
      <c r="K48" s="55">
        <v>100002043.75</v>
      </c>
      <c r="L48" s="56">
        <v>3.4910584595899997E-2</v>
      </c>
      <c r="M48" s="56" t="s">
        <v>26</v>
      </c>
      <c r="N48" s="56" t="s">
        <v>26</v>
      </c>
      <c r="O48" s="55">
        <v>3640005116.48</v>
      </c>
      <c r="P48" s="56">
        <v>1.643178599204E-2</v>
      </c>
      <c r="Q48" s="56" t="s">
        <v>26</v>
      </c>
      <c r="R48" s="56" t="s">
        <v>26</v>
      </c>
      <c r="S48" s="55">
        <v>1416870578.4000001</v>
      </c>
      <c r="T48" s="56">
        <v>1.285535989676E-2</v>
      </c>
      <c r="U48" s="56" t="s">
        <v>26</v>
      </c>
      <c r="V48" s="56" t="s">
        <v>26</v>
      </c>
      <c r="W48" s="55">
        <v>70487142.090000004</v>
      </c>
      <c r="X48" s="56">
        <v>1.1474872976929999E-2</v>
      </c>
      <c r="Y48" s="56" t="s">
        <v>26</v>
      </c>
      <c r="Z48" s="56" t="s">
        <v>26</v>
      </c>
      <c r="AA48" s="55">
        <v>2667282288.3400002</v>
      </c>
      <c r="AB48" s="56">
        <v>1.951908387907E-2</v>
      </c>
      <c r="AC48" s="56" t="s">
        <v>26</v>
      </c>
      <c r="AD48" s="56" t="s">
        <v>26</v>
      </c>
      <c r="AE48" s="55">
        <v>8352288473.2299995</v>
      </c>
      <c r="AF48" s="56">
        <v>1.3222760266449999E-2</v>
      </c>
      <c r="AG48" s="56" t="s">
        <v>26</v>
      </c>
      <c r="AH48" s="56" t="s">
        <v>26</v>
      </c>
      <c r="AI48" s="55">
        <v>235675680.28999999</v>
      </c>
      <c r="AJ48" s="56">
        <v>1.390312229701E-2</v>
      </c>
      <c r="AK48" s="56" t="s">
        <v>26</v>
      </c>
      <c r="AL48" s="56" t="s">
        <v>26</v>
      </c>
      <c r="AM48" s="55">
        <v>528864324.81</v>
      </c>
      <c r="AN48" s="56">
        <v>2.223350254183E-2</v>
      </c>
      <c r="AO48" s="56" t="s">
        <v>26</v>
      </c>
      <c r="AP48" s="56" t="s">
        <v>26</v>
      </c>
      <c r="AQ48" s="55">
        <v>764540005.10000002</v>
      </c>
      <c r="AR48" s="56">
        <v>1.876719964049E-2</v>
      </c>
      <c r="AS48" s="56" t="s">
        <v>26</v>
      </c>
      <c r="AT48" s="56" t="s">
        <v>26</v>
      </c>
      <c r="AU48" s="55">
        <v>768835644.78999996</v>
      </c>
      <c r="AV48" s="56">
        <v>1.7281149868579999E-2</v>
      </c>
      <c r="AW48" s="56" t="s">
        <v>26</v>
      </c>
      <c r="AX48" s="56" t="s">
        <v>26</v>
      </c>
      <c r="AY48" s="55">
        <v>9885664123.1200008</v>
      </c>
      <c r="AZ48" s="56">
        <v>1.3789692719939999E-2</v>
      </c>
      <c r="BA48" s="56" t="s">
        <v>26</v>
      </c>
      <c r="BB48" s="56" t="s">
        <v>26</v>
      </c>
    </row>
    <row r="49" spans="1:54" s="7" customFormat="1">
      <c r="A49" s="5" t="s">
        <v>55</v>
      </c>
      <c r="B49" s="24" t="s">
        <v>25</v>
      </c>
      <c r="C49" s="10">
        <v>36657170.200000003</v>
      </c>
      <c r="D49" s="11">
        <v>5.9641628283900001E-3</v>
      </c>
      <c r="E49" s="11">
        <v>0.12</v>
      </c>
      <c r="F49" s="11">
        <v>0.114</v>
      </c>
      <c r="G49" s="10" t="s">
        <v>26</v>
      </c>
      <c r="H49" s="11" t="s">
        <v>26</v>
      </c>
      <c r="I49" s="11" t="s">
        <v>26</v>
      </c>
      <c r="J49" s="11" t="s">
        <v>26</v>
      </c>
      <c r="K49" s="10">
        <v>31420431.600000001</v>
      </c>
      <c r="L49" s="11">
        <v>1.096883217861E-2</v>
      </c>
      <c r="M49" s="11">
        <v>0.12</v>
      </c>
      <c r="N49" s="11">
        <v>0.109</v>
      </c>
      <c r="O49" s="10">
        <v>841020219.15999997</v>
      </c>
      <c r="P49" s="11">
        <v>3.7965507778100001E-3</v>
      </c>
      <c r="Q49" s="11">
        <v>0.12</v>
      </c>
      <c r="R49" s="11">
        <v>0.1162</v>
      </c>
      <c r="S49" s="10">
        <v>314204316</v>
      </c>
      <c r="T49" s="11">
        <v>2.8507964134999999E-3</v>
      </c>
      <c r="U49" s="11">
        <v>0.12</v>
      </c>
      <c r="V49" s="11">
        <v>0.1171</v>
      </c>
      <c r="W49" s="10" t="s">
        <v>26</v>
      </c>
      <c r="X49" s="11" t="s">
        <v>26</v>
      </c>
      <c r="Y49" s="11" t="s">
        <v>26</v>
      </c>
      <c r="Z49" s="11" t="s">
        <v>26</v>
      </c>
      <c r="AA49" s="10">
        <v>921665993.60000002</v>
      </c>
      <c r="AB49" s="11">
        <v>6.74472136534E-3</v>
      </c>
      <c r="AC49" s="11">
        <v>0.12</v>
      </c>
      <c r="AD49" s="11">
        <v>0.1133</v>
      </c>
      <c r="AE49" s="10">
        <v>2144968130.5599999</v>
      </c>
      <c r="AF49" s="11">
        <v>3.39576386286E-3</v>
      </c>
      <c r="AG49" s="11">
        <v>0.12</v>
      </c>
      <c r="AH49" s="11">
        <v>0.1166</v>
      </c>
      <c r="AI49" s="10" t="s">
        <v>26</v>
      </c>
      <c r="AJ49" s="11" t="s">
        <v>26</v>
      </c>
      <c r="AK49" s="11" t="s">
        <v>26</v>
      </c>
      <c r="AL49" s="11" t="s">
        <v>26</v>
      </c>
      <c r="AM49" s="10" t="s">
        <v>26</v>
      </c>
      <c r="AN49" s="11" t="s">
        <v>26</v>
      </c>
      <c r="AO49" s="11" t="s">
        <v>26</v>
      </c>
      <c r="AP49" s="11" t="s">
        <v>26</v>
      </c>
      <c r="AQ49" s="10" t="s">
        <v>26</v>
      </c>
      <c r="AR49" s="11" t="s">
        <v>26</v>
      </c>
      <c r="AS49" s="11" t="s">
        <v>26</v>
      </c>
      <c r="AT49" s="11" t="s">
        <v>26</v>
      </c>
      <c r="AU49" s="10">
        <v>209469544</v>
      </c>
      <c r="AV49" s="11">
        <v>4.7082554084199998E-3</v>
      </c>
      <c r="AW49" s="11">
        <v>0.12</v>
      </c>
      <c r="AX49" s="11">
        <v>0.1153</v>
      </c>
      <c r="AY49" s="10">
        <v>2354437674.5599999</v>
      </c>
      <c r="AZ49" s="11">
        <v>3.2842479428900001E-3</v>
      </c>
      <c r="BA49" s="11">
        <v>0.12</v>
      </c>
      <c r="BB49" s="11">
        <v>0.1167</v>
      </c>
    </row>
    <row r="50" spans="1:54" s="7" customFormat="1">
      <c r="A50" s="3" t="s">
        <v>36</v>
      </c>
      <c r="B50" s="31" t="s">
        <v>56</v>
      </c>
      <c r="C50" s="2">
        <v>36657170.200000003</v>
      </c>
      <c r="D50" s="1">
        <v>1</v>
      </c>
      <c r="E50" s="11" t="s">
        <v>26</v>
      </c>
      <c r="F50" s="11" t="s">
        <v>26</v>
      </c>
      <c r="G50" s="10" t="s">
        <v>26</v>
      </c>
      <c r="H50" s="11" t="s">
        <v>26</v>
      </c>
      <c r="I50" s="11" t="s">
        <v>26</v>
      </c>
      <c r="J50" s="11" t="s">
        <v>26</v>
      </c>
      <c r="K50" s="2">
        <v>31420431.600000001</v>
      </c>
      <c r="L50" s="1">
        <v>1</v>
      </c>
      <c r="M50" s="11" t="s">
        <v>26</v>
      </c>
      <c r="N50" s="11" t="s">
        <v>26</v>
      </c>
      <c r="O50" s="2">
        <v>841020219.15999997</v>
      </c>
      <c r="P50" s="1">
        <v>1</v>
      </c>
      <c r="Q50" s="11" t="s">
        <v>26</v>
      </c>
      <c r="R50" s="11" t="s">
        <v>26</v>
      </c>
      <c r="S50" s="2">
        <v>314204316</v>
      </c>
      <c r="T50" s="1">
        <v>1</v>
      </c>
      <c r="U50" s="11" t="s">
        <v>26</v>
      </c>
      <c r="V50" s="11" t="s">
        <v>26</v>
      </c>
      <c r="W50" s="10" t="s">
        <v>26</v>
      </c>
      <c r="X50" s="11" t="s">
        <v>26</v>
      </c>
      <c r="Y50" s="11" t="s">
        <v>26</v>
      </c>
      <c r="Z50" s="11" t="s">
        <v>26</v>
      </c>
      <c r="AA50" s="2">
        <v>921665993.60000002</v>
      </c>
      <c r="AB50" s="1">
        <v>1</v>
      </c>
      <c r="AC50" s="11" t="s">
        <v>26</v>
      </c>
      <c r="AD50" s="11" t="s">
        <v>26</v>
      </c>
      <c r="AE50" s="2">
        <v>2144968130.5599999</v>
      </c>
      <c r="AF50" s="1">
        <v>1</v>
      </c>
      <c r="AG50" s="11" t="s">
        <v>26</v>
      </c>
      <c r="AH50" s="11" t="s">
        <v>26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2">
        <v>209469544</v>
      </c>
      <c r="AV50" s="1">
        <v>1</v>
      </c>
      <c r="AW50" s="11" t="s">
        <v>26</v>
      </c>
      <c r="AX50" s="11" t="s">
        <v>26</v>
      </c>
      <c r="AY50" s="2">
        <v>2354437674.5599999</v>
      </c>
      <c r="AZ50" s="1">
        <v>1</v>
      </c>
      <c r="BA50" s="11" t="s">
        <v>26</v>
      </c>
      <c r="BB50" s="11" t="s">
        <v>26</v>
      </c>
    </row>
    <row r="51" spans="1:54" s="7" customFormat="1">
      <c r="A51" s="5" t="s">
        <v>57</v>
      </c>
      <c r="B51" s="24" t="s">
        <v>25</v>
      </c>
      <c r="C51" s="10">
        <v>32546021.390000001</v>
      </c>
      <c r="D51" s="11">
        <v>5.2952742922400004E-3</v>
      </c>
      <c r="E51" s="11">
        <v>0.09</v>
      </c>
      <c r="F51" s="11">
        <v>8.4699999999999998E-2</v>
      </c>
      <c r="G51" s="10" t="s">
        <v>26</v>
      </c>
      <c r="H51" s="11" t="s">
        <v>26</v>
      </c>
      <c r="I51" s="11" t="s">
        <v>26</v>
      </c>
      <c r="J51" s="11" t="s">
        <v>26</v>
      </c>
      <c r="K51" s="10">
        <v>16145002.15</v>
      </c>
      <c r="L51" s="11">
        <v>5.6361994437599998E-3</v>
      </c>
      <c r="M51" s="11">
        <v>0.09</v>
      </c>
      <c r="N51" s="11">
        <v>8.4400000000000003E-2</v>
      </c>
      <c r="O51" s="10">
        <v>376616022.69999999</v>
      </c>
      <c r="P51" s="11">
        <v>1.7001277987700001E-3</v>
      </c>
      <c r="Q51" s="11">
        <v>0.09</v>
      </c>
      <c r="R51" s="11">
        <v>8.8300000000000003E-2</v>
      </c>
      <c r="S51" s="10">
        <v>285083831.85000002</v>
      </c>
      <c r="T51" s="11">
        <v>2.5865843465499999E-3</v>
      </c>
      <c r="U51" s="11">
        <v>0.09</v>
      </c>
      <c r="V51" s="11">
        <v>8.7400000000000005E-2</v>
      </c>
      <c r="W51" s="10" t="s">
        <v>26</v>
      </c>
      <c r="X51" s="11" t="s">
        <v>26</v>
      </c>
      <c r="Y51" s="11" t="s">
        <v>26</v>
      </c>
      <c r="Z51" s="11" t="s">
        <v>26</v>
      </c>
      <c r="AA51" s="10">
        <v>103003422.02</v>
      </c>
      <c r="AB51" s="11">
        <v>7.5377564760999995E-4</v>
      </c>
      <c r="AC51" s="11">
        <v>0.09</v>
      </c>
      <c r="AD51" s="11">
        <v>8.9200000000000002E-2</v>
      </c>
      <c r="AE51" s="10">
        <v>813394300.11000001</v>
      </c>
      <c r="AF51" s="11">
        <v>1.2877090951700001E-3</v>
      </c>
      <c r="AG51" s="11">
        <v>0.09</v>
      </c>
      <c r="AH51" s="11">
        <v>8.8700000000000001E-2</v>
      </c>
      <c r="AI51" s="10" t="s">
        <v>26</v>
      </c>
      <c r="AJ51" s="11" t="s">
        <v>26</v>
      </c>
      <c r="AK51" s="11" t="s">
        <v>26</v>
      </c>
      <c r="AL51" s="11" t="s">
        <v>26</v>
      </c>
      <c r="AM51" s="10" t="s">
        <v>26</v>
      </c>
      <c r="AN51" s="11" t="s">
        <v>26</v>
      </c>
      <c r="AO51" s="11" t="s">
        <v>26</v>
      </c>
      <c r="AP51" s="11" t="s">
        <v>26</v>
      </c>
      <c r="AQ51" s="10" t="s">
        <v>26</v>
      </c>
      <c r="AR51" s="11" t="s">
        <v>26</v>
      </c>
      <c r="AS51" s="11" t="s">
        <v>26</v>
      </c>
      <c r="AT51" s="11" t="s">
        <v>26</v>
      </c>
      <c r="AU51" s="10" t="s">
        <v>26</v>
      </c>
      <c r="AV51" s="11" t="s">
        <v>26</v>
      </c>
      <c r="AW51" s="11" t="s">
        <v>26</v>
      </c>
      <c r="AX51" s="11" t="s">
        <v>26</v>
      </c>
      <c r="AY51" s="10">
        <v>813394300.11000001</v>
      </c>
      <c r="AZ51" s="11">
        <v>1.1346185060500001E-3</v>
      </c>
      <c r="BA51" s="11">
        <v>0.09</v>
      </c>
      <c r="BB51" s="11">
        <v>8.8900000000000007E-2</v>
      </c>
    </row>
    <row r="52" spans="1:54" s="7" customFormat="1">
      <c r="A52" s="3" t="s">
        <v>36</v>
      </c>
      <c r="B52" s="31" t="s">
        <v>46</v>
      </c>
      <c r="C52" s="2">
        <v>32546021.390000001</v>
      </c>
      <c r="D52" s="1">
        <v>1</v>
      </c>
      <c r="E52" s="11" t="s">
        <v>26</v>
      </c>
      <c r="F52" s="11" t="s">
        <v>26</v>
      </c>
      <c r="G52" s="10" t="s">
        <v>26</v>
      </c>
      <c r="H52" s="11" t="s">
        <v>26</v>
      </c>
      <c r="I52" s="11" t="s">
        <v>26</v>
      </c>
      <c r="J52" s="11" t="s">
        <v>26</v>
      </c>
      <c r="K52" s="2">
        <v>16145002.15</v>
      </c>
      <c r="L52" s="1">
        <v>1</v>
      </c>
      <c r="M52" s="11" t="s">
        <v>26</v>
      </c>
      <c r="N52" s="11" t="s">
        <v>26</v>
      </c>
      <c r="O52" s="2">
        <v>376616022.69999999</v>
      </c>
      <c r="P52" s="1">
        <v>1</v>
      </c>
      <c r="Q52" s="11" t="s">
        <v>26</v>
      </c>
      <c r="R52" s="11" t="s">
        <v>26</v>
      </c>
      <c r="S52" s="2">
        <v>285083831.85000002</v>
      </c>
      <c r="T52" s="1">
        <v>1</v>
      </c>
      <c r="U52" s="11" t="s">
        <v>26</v>
      </c>
      <c r="V52" s="11" t="s">
        <v>26</v>
      </c>
      <c r="W52" s="10" t="s">
        <v>26</v>
      </c>
      <c r="X52" s="11" t="s">
        <v>26</v>
      </c>
      <c r="Y52" s="11" t="s">
        <v>26</v>
      </c>
      <c r="Z52" s="11" t="s">
        <v>26</v>
      </c>
      <c r="AA52" s="2">
        <v>103003422.02</v>
      </c>
      <c r="AB52" s="1">
        <v>1</v>
      </c>
      <c r="AC52" s="11" t="s">
        <v>26</v>
      </c>
      <c r="AD52" s="11" t="s">
        <v>26</v>
      </c>
      <c r="AE52" s="2">
        <v>813394300.11000001</v>
      </c>
      <c r="AF52" s="1">
        <v>1</v>
      </c>
      <c r="AG52" s="11" t="s">
        <v>26</v>
      </c>
      <c r="AH52" s="11" t="s">
        <v>26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2">
        <v>813394300.11000001</v>
      </c>
      <c r="AZ52" s="1">
        <v>1</v>
      </c>
      <c r="BA52" s="11" t="s">
        <v>26</v>
      </c>
      <c r="BB52" s="11" t="s">
        <v>26</v>
      </c>
    </row>
    <row r="53" spans="1:54" s="7" customFormat="1">
      <c r="A53" s="5" t="s">
        <v>58</v>
      </c>
      <c r="B53" s="24" t="s">
        <v>25</v>
      </c>
      <c r="C53" s="10">
        <v>5007630.8</v>
      </c>
      <c r="D53" s="11">
        <v>8.1474716441000004E-4</v>
      </c>
      <c r="E53" s="11">
        <v>0.12</v>
      </c>
      <c r="F53" s="11">
        <v>0.1192</v>
      </c>
      <c r="G53" s="10">
        <v>80123824.780000001</v>
      </c>
      <c r="H53" s="11">
        <v>5.4094591338000003E-4</v>
      </c>
      <c r="I53" s="11">
        <v>0.13500000000000001</v>
      </c>
      <c r="J53" s="11">
        <v>0.13450000000000001</v>
      </c>
      <c r="K53" s="10" t="s">
        <v>26</v>
      </c>
      <c r="L53" s="11" t="s">
        <v>26</v>
      </c>
      <c r="M53" s="11" t="s">
        <v>26</v>
      </c>
      <c r="N53" s="11" t="s">
        <v>26</v>
      </c>
      <c r="O53" s="10">
        <v>150224719.00999999</v>
      </c>
      <c r="P53" s="11">
        <v>6.7814751751999998E-4</v>
      </c>
      <c r="Q53" s="11">
        <v>0.13500000000000001</v>
      </c>
      <c r="R53" s="11">
        <v>0.1343</v>
      </c>
      <c r="S53" s="10">
        <v>139213954.81999999</v>
      </c>
      <c r="T53" s="11">
        <v>1.2630973633999999E-3</v>
      </c>
      <c r="U53" s="11">
        <v>0.12909999999999999</v>
      </c>
      <c r="V53" s="11">
        <v>0.1278</v>
      </c>
      <c r="W53" s="10" t="s">
        <v>26</v>
      </c>
      <c r="X53" s="11" t="s">
        <v>26</v>
      </c>
      <c r="Y53" s="11" t="s">
        <v>26</v>
      </c>
      <c r="Z53" s="11" t="s">
        <v>26</v>
      </c>
      <c r="AA53" s="10">
        <v>50076308</v>
      </c>
      <c r="AB53" s="11">
        <v>3.6645677155000003E-4</v>
      </c>
      <c r="AC53" s="11">
        <v>0.12</v>
      </c>
      <c r="AD53" s="11">
        <v>0.1196</v>
      </c>
      <c r="AE53" s="10">
        <v>424646437.41000003</v>
      </c>
      <c r="AF53" s="11">
        <v>6.7227060678000004E-4</v>
      </c>
      <c r="AG53" s="11">
        <v>0.13109999999999999</v>
      </c>
      <c r="AH53" s="11">
        <v>0.13039999999999999</v>
      </c>
      <c r="AI53" s="10" t="s">
        <v>26</v>
      </c>
      <c r="AJ53" s="11" t="s">
        <v>26</v>
      </c>
      <c r="AK53" s="11" t="s">
        <v>26</v>
      </c>
      <c r="AL53" s="11" t="s">
        <v>26</v>
      </c>
      <c r="AM53" s="10" t="s">
        <v>26</v>
      </c>
      <c r="AN53" s="11" t="s">
        <v>26</v>
      </c>
      <c r="AO53" s="11" t="s">
        <v>26</v>
      </c>
      <c r="AP53" s="11" t="s">
        <v>26</v>
      </c>
      <c r="AQ53" s="10" t="s">
        <v>26</v>
      </c>
      <c r="AR53" s="11" t="s">
        <v>26</v>
      </c>
      <c r="AS53" s="11" t="s">
        <v>26</v>
      </c>
      <c r="AT53" s="11" t="s">
        <v>26</v>
      </c>
      <c r="AU53" s="10" t="s">
        <v>26</v>
      </c>
      <c r="AV53" s="11" t="s">
        <v>26</v>
      </c>
      <c r="AW53" s="11" t="s">
        <v>26</v>
      </c>
      <c r="AX53" s="11" t="s">
        <v>26</v>
      </c>
      <c r="AY53" s="10">
        <v>424646437.41000003</v>
      </c>
      <c r="AZ53" s="11">
        <v>5.9234704048000001E-4</v>
      </c>
      <c r="BA53" s="11">
        <v>0.13109999999999999</v>
      </c>
      <c r="BB53" s="11">
        <v>0.1305</v>
      </c>
    </row>
    <row r="54" spans="1:54" s="7" customFormat="1">
      <c r="A54" s="3" t="s">
        <v>36</v>
      </c>
      <c r="B54" s="31" t="s">
        <v>56</v>
      </c>
      <c r="C54" s="2">
        <v>5007630.8</v>
      </c>
      <c r="D54" s="1">
        <v>1</v>
      </c>
      <c r="E54" s="11" t="s">
        <v>26</v>
      </c>
      <c r="F54" s="11" t="s">
        <v>26</v>
      </c>
      <c r="G54" s="10" t="s">
        <v>26</v>
      </c>
      <c r="H54" s="11" t="s">
        <v>26</v>
      </c>
      <c r="I54" s="11" t="s">
        <v>26</v>
      </c>
      <c r="J54" s="11" t="s">
        <v>26</v>
      </c>
      <c r="K54" s="10" t="s">
        <v>26</v>
      </c>
      <c r="L54" s="11" t="s">
        <v>26</v>
      </c>
      <c r="M54" s="11" t="s">
        <v>26</v>
      </c>
      <c r="N54" s="11" t="s">
        <v>26</v>
      </c>
      <c r="O54" s="10" t="s">
        <v>26</v>
      </c>
      <c r="P54" s="11" t="s">
        <v>26</v>
      </c>
      <c r="Q54" s="11" t="s">
        <v>26</v>
      </c>
      <c r="R54" s="11" t="s">
        <v>26</v>
      </c>
      <c r="S54" s="2">
        <v>55083938.799999997</v>
      </c>
      <c r="T54" s="1">
        <v>0.39567828434456997</v>
      </c>
      <c r="U54" s="11" t="s">
        <v>26</v>
      </c>
      <c r="V54" s="11" t="s">
        <v>26</v>
      </c>
      <c r="W54" s="10" t="s">
        <v>26</v>
      </c>
      <c r="X54" s="11" t="s">
        <v>26</v>
      </c>
      <c r="Y54" s="11" t="s">
        <v>26</v>
      </c>
      <c r="Z54" s="11" t="s">
        <v>26</v>
      </c>
      <c r="AA54" s="2">
        <v>50076308</v>
      </c>
      <c r="AB54" s="1">
        <v>1</v>
      </c>
      <c r="AC54" s="11" t="s">
        <v>26</v>
      </c>
      <c r="AD54" s="11" t="s">
        <v>26</v>
      </c>
      <c r="AE54" s="2">
        <v>110167877.59999999</v>
      </c>
      <c r="AF54" s="1">
        <v>0.25943436208234</v>
      </c>
      <c r="AG54" s="11" t="s">
        <v>26</v>
      </c>
      <c r="AH54" s="11" t="s">
        <v>26</v>
      </c>
      <c r="AI54" s="10" t="s">
        <v>26</v>
      </c>
      <c r="AJ54" s="11" t="s">
        <v>26</v>
      </c>
      <c r="AK54" s="11" t="s">
        <v>26</v>
      </c>
      <c r="AL54" s="11" t="s">
        <v>26</v>
      </c>
      <c r="AM54" s="10" t="s">
        <v>26</v>
      </c>
      <c r="AN54" s="11" t="s">
        <v>26</v>
      </c>
      <c r="AO54" s="11" t="s">
        <v>26</v>
      </c>
      <c r="AP54" s="11" t="s">
        <v>26</v>
      </c>
      <c r="AQ54" s="10" t="s">
        <v>26</v>
      </c>
      <c r="AR54" s="11" t="s">
        <v>26</v>
      </c>
      <c r="AS54" s="11" t="s">
        <v>26</v>
      </c>
      <c r="AT54" s="11" t="s">
        <v>26</v>
      </c>
      <c r="AU54" s="10" t="s">
        <v>26</v>
      </c>
      <c r="AV54" s="11" t="s">
        <v>26</v>
      </c>
      <c r="AW54" s="11" t="s">
        <v>26</v>
      </c>
      <c r="AX54" s="11" t="s">
        <v>26</v>
      </c>
      <c r="AY54" s="2">
        <v>110167877.59999999</v>
      </c>
      <c r="AZ54" s="1">
        <v>0.25943436208234</v>
      </c>
      <c r="BA54" s="11" t="s">
        <v>26</v>
      </c>
      <c r="BB54" s="11" t="s">
        <v>26</v>
      </c>
    </row>
    <row r="55" spans="1:54" s="7" customFormat="1">
      <c r="A55" s="3" t="s">
        <v>38</v>
      </c>
      <c r="B55" s="31" t="s">
        <v>43</v>
      </c>
      <c r="C55" s="11" t="s">
        <v>26</v>
      </c>
      <c r="D55" s="11" t="s">
        <v>26</v>
      </c>
      <c r="E55" s="11" t="s">
        <v>26</v>
      </c>
      <c r="F55" s="11" t="s">
        <v>26</v>
      </c>
      <c r="G55" s="2">
        <v>80123824.780000001</v>
      </c>
      <c r="H55" s="1">
        <v>1</v>
      </c>
      <c r="I55" s="11" t="s">
        <v>26</v>
      </c>
      <c r="J55" s="11" t="s">
        <v>26</v>
      </c>
      <c r="K55" s="10" t="s">
        <v>26</v>
      </c>
      <c r="L55" s="11" t="s">
        <v>26</v>
      </c>
      <c r="M55" s="11" t="s">
        <v>26</v>
      </c>
      <c r="N55" s="11" t="s">
        <v>26</v>
      </c>
      <c r="O55" s="2">
        <v>150224719.00999999</v>
      </c>
      <c r="P55" s="1">
        <v>1</v>
      </c>
      <c r="Q55" s="11" t="s">
        <v>26</v>
      </c>
      <c r="R55" s="11" t="s">
        <v>26</v>
      </c>
      <c r="S55" s="2">
        <v>84130016.019999996</v>
      </c>
      <c r="T55" s="1">
        <v>0.60432171565543003</v>
      </c>
      <c r="U55" s="11" t="s">
        <v>26</v>
      </c>
      <c r="V55" s="11" t="s">
        <v>26</v>
      </c>
      <c r="W55" s="10" t="s">
        <v>26</v>
      </c>
      <c r="X55" s="11" t="s">
        <v>26</v>
      </c>
      <c r="Y55" s="11" t="s">
        <v>26</v>
      </c>
      <c r="Z55" s="11" t="s">
        <v>26</v>
      </c>
      <c r="AA55" s="10" t="s">
        <v>26</v>
      </c>
      <c r="AB55" s="11" t="s">
        <v>26</v>
      </c>
      <c r="AC55" s="11" t="s">
        <v>26</v>
      </c>
      <c r="AD55" s="11" t="s">
        <v>26</v>
      </c>
      <c r="AE55" s="2">
        <v>314478559.81</v>
      </c>
      <c r="AF55" s="1">
        <v>0.74056563791765995</v>
      </c>
      <c r="AG55" s="11" t="s">
        <v>26</v>
      </c>
      <c r="AH55" s="11" t="s">
        <v>26</v>
      </c>
      <c r="AI55" s="10" t="s">
        <v>26</v>
      </c>
      <c r="AJ55" s="11" t="s">
        <v>26</v>
      </c>
      <c r="AK55" s="11" t="s">
        <v>26</v>
      </c>
      <c r="AL55" s="11" t="s">
        <v>26</v>
      </c>
      <c r="AM55" s="10" t="s">
        <v>26</v>
      </c>
      <c r="AN55" s="11" t="s">
        <v>26</v>
      </c>
      <c r="AO55" s="11" t="s">
        <v>26</v>
      </c>
      <c r="AP55" s="11" t="s">
        <v>26</v>
      </c>
      <c r="AQ55" s="10" t="s">
        <v>26</v>
      </c>
      <c r="AR55" s="11" t="s">
        <v>26</v>
      </c>
      <c r="AS55" s="11" t="s">
        <v>26</v>
      </c>
      <c r="AT55" s="11" t="s">
        <v>26</v>
      </c>
      <c r="AU55" s="10" t="s">
        <v>26</v>
      </c>
      <c r="AV55" s="11" t="s">
        <v>26</v>
      </c>
      <c r="AW55" s="11" t="s">
        <v>26</v>
      </c>
      <c r="AX55" s="11" t="s">
        <v>26</v>
      </c>
      <c r="AY55" s="2">
        <v>314478559.81</v>
      </c>
      <c r="AZ55" s="1">
        <v>0.74056563791765995</v>
      </c>
      <c r="BA55" s="11" t="s">
        <v>26</v>
      </c>
      <c r="BB55" s="11" t="s">
        <v>26</v>
      </c>
    </row>
    <row r="56" spans="1:54" s="7" customFormat="1">
      <c r="A56" s="5" t="s">
        <v>59</v>
      </c>
      <c r="B56" s="24" t="s">
        <v>25</v>
      </c>
      <c r="C56" s="11" t="s">
        <v>26</v>
      </c>
      <c r="D56" s="11" t="s">
        <v>26</v>
      </c>
      <c r="E56" s="11" t="s">
        <v>26</v>
      </c>
      <c r="F56" s="11" t="s">
        <v>26</v>
      </c>
      <c r="G56" s="10">
        <v>303306657</v>
      </c>
      <c r="H56" s="11">
        <v>2.0477367007100001E-3</v>
      </c>
      <c r="I56" s="11">
        <v>0.12</v>
      </c>
      <c r="J56" s="11">
        <v>0.11799999999999999</v>
      </c>
      <c r="K56" s="10">
        <v>52436610</v>
      </c>
      <c r="L56" s="11">
        <v>1.8305552973529999E-2</v>
      </c>
      <c r="M56" s="11">
        <v>0.12</v>
      </c>
      <c r="N56" s="11">
        <v>0.1017</v>
      </c>
      <c r="O56" s="10">
        <v>2272144155.6100001</v>
      </c>
      <c r="P56" s="11">
        <v>1.025695989794E-2</v>
      </c>
      <c r="Q56" s="11">
        <v>0.1201</v>
      </c>
      <c r="R56" s="11">
        <v>0.10979999999999999</v>
      </c>
      <c r="S56" s="10">
        <v>678368475.73000002</v>
      </c>
      <c r="T56" s="11">
        <v>6.1548817732999996E-3</v>
      </c>
      <c r="U56" s="11">
        <v>0.125</v>
      </c>
      <c r="V56" s="11">
        <v>0.1188</v>
      </c>
      <c r="W56" s="10">
        <v>70487142.090000004</v>
      </c>
      <c r="X56" s="11">
        <v>1.1474872976929999E-2</v>
      </c>
      <c r="Y56" s="11">
        <v>0.12920000000000001</v>
      </c>
      <c r="Z56" s="11">
        <v>0.1177</v>
      </c>
      <c r="AA56" s="10">
        <v>1592536564.72</v>
      </c>
      <c r="AB56" s="11">
        <v>1.165413009457E-2</v>
      </c>
      <c r="AC56" s="11">
        <v>0.12280000000000001</v>
      </c>
      <c r="AD56" s="11">
        <v>0.1111</v>
      </c>
      <c r="AE56" s="10">
        <v>4969279605.1499996</v>
      </c>
      <c r="AF56" s="11">
        <v>7.8670167016400006E-3</v>
      </c>
      <c r="AG56" s="11">
        <v>0.12180000000000001</v>
      </c>
      <c r="AH56" s="11">
        <v>0.1139</v>
      </c>
      <c r="AI56" s="10">
        <v>235675680.28999999</v>
      </c>
      <c r="AJ56" s="11">
        <v>1.390312229701E-2</v>
      </c>
      <c r="AK56" s="11">
        <v>0.12330000000000001</v>
      </c>
      <c r="AL56" s="11">
        <v>0.1094</v>
      </c>
      <c r="AM56" s="10">
        <v>528864324.81</v>
      </c>
      <c r="AN56" s="11">
        <v>2.223350254183E-2</v>
      </c>
      <c r="AO56" s="11">
        <v>0.1371</v>
      </c>
      <c r="AP56" s="11">
        <v>0.1149</v>
      </c>
      <c r="AQ56" s="10">
        <v>764540005.10000002</v>
      </c>
      <c r="AR56" s="11">
        <v>1.876719964049E-2</v>
      </c>
      <c r="AS56" s="11">
        <v>0.13289999999999999</v>
      </c>
      <c r="AT56" s="11">
        <v>0.11409999999999999</v>
      </c>
      <c r="AU56" s="10">
        <v>559366100.78999996</v>
      </c>
      <c r="AV56" s="11">
        <v>1.257289446016E-2</v>
      </c>
      <c r="AW56" s="11">
        <v>0.1331</v>
      </c>
      <c r="AX56" s="11">
        <v>0.1205</v>
      </c>
      <c r="AY56" s="10">
        <v>6293185711.04</v>
      </c>
      <c r="AZ56" s="11">
        <v>8.7784792305199994E-3</v>
      </c>
      <c r="BA56" s="11">
        <v>0.1241</v>
      </c>
      <c r="BB56" s="11">
        <v>0.1153</v>
      </c>
    </row>
    <row r="57" spans="1:54" s="7" customFormat="1">
      <c r="A57" s="3" t="s">
        <v>36</v>
      </c>
      <c r="B57" s="31" t="s">
        <v>56</v>
      </c>
      <c r="C57" s="11" t="s">
        <v>26</v>
      </c>
      <c r="D57" s="11" t="s">
        <v>26</v>
      </c>
      <c r="E57" s="11" t="s">
        <v>26</v>
      </c>
      <c r="F57" s="11" t="s">
        <v>26</v>
      </c>
      <c r="G57" s="2">
        <v>303306657</v>
      </c>
      <c r="H57" s="1">
        <v>1</v>
      </c>
      <c r="I57" s="11" t="s">
        <v>26</v>
      </c>
      <c r="J57" s="11" t="s">
        <v>26</v>
      </c>
      <c r="K57" s="2">
        <v>52436610</v>
      </c>
      <c r="L57" s="1">
        <v>1</v>
      </c>
      <c r="M57" s="11" t="s">
        <v>26</v>
      </c>
      <c r="N57" s="11" t="s">
        <v>26</v>
      </c>
      <c r="O57" s="2">
        <v>2261366568</v>
      </c>
      <c r="P57" s="1">
        <v>0.9952566444416</v>
      </c>
      <c r="Q57" s="11" t="s">
        <v>26</v>
      </c>
      <c r="R57" s="11" t="s">
        <v>26</v>
      </c>
      <c r="S57" s="2">
        <v>566315388</v>
      </c>
      <c r="T57" s="1">
        <v>0.83481973036936996</v>
      </c>
      <c r="U57" s="11" t="s">
        <v>26</v>
      </c>
      <c r="V57" s="11" t="s">
        <v>26</v>
      </c>
      <c r="W57" s="2">
        <v>48878422.100000001</v>
      </c>
      <c r="X57" s="1">
        <v>0.69343742207041004</v>
      </c>
      <c r="Y57" s="11" t="s">
        <v>26</v>
      </c>
      <c r="Z57" s="11" t="s">
        <v>26</v>
      </c>
      <c r="AA57" s="2">
        <v>1443191399.8699999</v>
      </c>
      <c r="AB57" s="1">
        <v>0.90622182990426003</v>
      </c>
      <c r="AC57" s="11" t="s">
        <v>26</v>
      </c>
      <c r="AD57" s="11" t="s">
        <v>26</v>
      </c>
      <c r="AE57" s="2">
        <v>4675495044.9700003</v>
      </c>
      <c r="AF57" s="1">
        <v>0.94087984908807998</v>
      </c>
      <c r="AG57" s="11" t="s">
        <v>26</v>
      </c>
      <c r="AH57" s="11" t="s">
        <v>26</v>
      </c>
      <c r="AI57" s="2">
        <v>209746440</v>
      </c>
      <c r="AJ57" s="1">
        <v>0.88997914312544002</v>
      </c>
      <c r="AK57" s="11" t="s">
        <v>26</v>
      </c>
      <c r="AL57" s="11" t="s">
        <v>26</v>
      </c>
      <c r="AM57" s="2">
        <v>227260267.74000001</v>
      </c>
      <c r="AN57" s="1">
        <v>0.42971374146223001</v>
      </c>
      <c r="AO57" s="11" t="s">
        <v>26</v>
      </c>
      <c r="AP57" s="11" t="s">
        <v>26</v>
      </c>
      <c r="AQ57" s="2">
        <v>437006707.74000001</v>
      </c>
      <c r="AR57" s="1">
        <v>0.57159429830338004</v>
      </c>
      <c r="AS57" s="11" t="s">
        <v>26</v>
      </c>
      <c r="AT57" s="11" t="s">
        <v>26</v>
      </c>
      <c r="AU57" s="2">
        <v>314619660</v>
      </c>
      <c r="AV57" s="1">
        <v>0.56245750244009995</v>
      </c>
      <c r="AW57" s="11" t="s">
        <v>26</v>
      </c>
      <c r="AX57" s="11" t="s">
        <v>26</v>
      </c>
      <c r="AY57" s="2">
        <v>5427121412.71</v>
      </c>
      <c r="AZ57" s="1">
        <v>0.86238062277255001</v>
      </c>
      <c r="BA57" s="11" t="s">
        <v>26</v>
      </c>
      <c r="BB57" s="11" t="s">
        <v>26</v>
      </c>
    </row>
    <row r="58" spans="1:54" s="7" customFormat="1">
      <c r="A58" s="3" t="s">
        <v>38</v>
      </c>
      <c r="B58" s="31" t="s">
        <v>39</v>
      </c>
      <c r="C58" s="11" t="s">
        <v>26</v>
      </c>
      <c r="D58" s="11" t="s">
        <v>26</v>
      </c>
      <c r="E58" s="11" t="s">
        <v>26</v>
      </c>
      <c r="F58" s="11" t="s">
        <v>26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2">
        <v>10777587.609999999</v>
      </c>
      <c r="P58" s="1">
        <v>4.7433555584000002E-3</v>
      </c>
      <c r="Q58" s="11" t="s">
        <v>26</v>
      </c>
      <c r="R58" s="11" t="s">
        <v>26</v>
      </c>
      <c r="S58" s="2">
        <v>112053087.73</v>
      </c>
      <c r="T58" s="1">
        <v>0.16518026963063001</v>
      </c>
      <c r="U58" s="11" t="s">
        <v>26</v>
      </c>
      <c r="V58" s="11" t="s">
        <v>26</v>
      </c>
      <c r="W58" s="2">
        <v>21608719.989999998</v>
      </c>
      <c r="X58" s="1">
        <v>0.30656257792959002</v>
      </c>
      <c r="Y58" s="11" t="s">
        <v>26</v>
      </c>
      <c r="Z58" s="11" t="s">
        <v>26</v>
      </c>
      <c r="AA58" s="2">
        <v>149345164.84999999</v>
      </c>
      <c r="AB58" s="1">
        <v>9.3778170095739993E-2</v>
      </c>
      <c r="AC58" s="11" t="s">
        <v>26</v>
      </c>
      <c r="AD58" s="11" t="s">
        <v>26</v>
      </c>
      <c r="AE58" s="2">
        <v>293784560.18000001</v>
      </c>
      <c r="AF58" s="1">
        <v>5.9120150911920001E-2</v>
      </c>
      <c r="AG58" s="11" t="s">
        <v>26</v>
      </c>
      <c r="AH58" s="11" t="s">
        <v>26</v>
      </c>
      <c r="AI58" s="2">
        <v>25929240.289999999</v>
      </c>
      <c r="AJ58" s="1">
        <v>0.11002085687455999</v>
      </c>
      <c r="AK58" s="11" t="s">
        <v>26</v>
      </c>
      <c r="AL58" s="11" t="s">
        <v>26</v>
      </c>
      <c r="AM58" s="2">
        <v>301604057.06999999</v>
      </c>
      <c r="AN58" s="1">
        <v>0.57028625853777004</v>
      </c>
      <c r="AO58" s="11" t="s">
        <v>26</v>
      </c>
      <c r="AP58" s="11" t="s">
        <v>26</v>
      </c>
      <c r="AQ58" s="2">
        <v>327533297.36000001</v>
      </c>
      <c r="AR58" s="1">
        <v>0.42840570169662001</v>
      </c>
      <c r="AS58" s="11" t="s">
        <v>26</v>
      </c>
      <c r="AT58" s="11" t="s">
        <v>26</v>
      </c>
      <c r="AU58" s="2">
        <v>244746440.78999999</v>
      </c>
      <c r="AV58" s="1">
        <v>0.43754249755989999</v>
      </c>
      <c r="AW58" s="11" t="s">
        <v>26</v>
      </c>
      <c r="AX58" s="11" t="s">
        <v>26</v>
      </c>
      <c r="AY58" s="2">
        <v>866064298.33000004</v>
      </c>
      <c r="AZ58" s="1">
        <v>0.13761937722744999</v>
      </c>
      <c r="BA58" s="11" t="s">
        <v>26</v>
      </c>
      <c r="BB58" s="11" t="s">
        <v>26</v>
      </c>
    </row>
    <row r="59" spans="1:54" s="7" customFormat="1">
      <c r="A59" s="13" t="s">
        <v>60</v>
      </c>
      <c r="B59" s="25" t="s">
        <v>25</v>
      </c>
      <c r="C59" s="55">
        <v>89210476.319999993</v>
      </c>
      <c r="D59" s="56">
        <v>1.451464485306E-2</v>
      </c>
      <c r="E59" s="56" t="s">
        <v>26</v>
      </c>
      <c r="F59" s="56" t="s">
        <v>26</v>
      </c>
      <c r="G59" s="56" t="s">
        <v>26</v>
      </c>
      <c r="H59" s="56" t="s">
        <v>26</v>
      </c>
      <c r="I59" s="56" t="s">
        <v>26</v>
      </c>
      <c r="J59" s="56" t="s">
        <v>26</v>
      </c>
      <c r="K59" s="55">
        <v>65465926.640000001</v>
      </c>
      <c r="L59" s="56">
        <v>2.2854070621080001E-2</v>
      </c>
      <c r="M59" s="56" t="s">
        <v>26</v>
      </c>
      <c r="N59" s="56" t="s">
        <v>26</v>
      </c>
      <c r="O59" s="55">
        <v>100380447.2</v>
      </c>
      <c r="P59" s="56">
        <v>4.5313948014E-4</v>
      </c>
      <c r="Q59" s="56" t="s">
        <v>26</v>
      </c>
      <c r="R59" s="56" t="s">
        <v>26</v>
      </c>
      <c r="S59" s="55">
        <v>107715675.06</v>
      </c>
      <c r="T59" s="56">
        <v>9.7731140057999996E-4</v>
      </c>
      <c r="U59" s="56" t="s">
        <v>26</v>
      </c>
      <c r="V59" s="56" t="s">
        <v>26</v>
      </c>
      <c r="W59" s="56" t="s">
        <v>26</v>
      </c>
      <c r="X59" s="56" t="s">
        <v>26</v>
      </c>
      <c r="Y59" s="56" t="s">
        <v>26</v>
      </c>
      <c r="Z59" s="56" t="s">
        <v>26</v>
      </c>
      <c r="AA59" s="55">
        <v>121677315.67</v>
      </c>
      <c r="AB59" s="56">
        <v>8.9043058589000003E-4</v>
      </c>
      <c r="AC59" s="56" t="s">
        <v>26</v>
      </c>
      <c r="AD59" s="56" t="s">
        <v>26</v>
      </c>
      <c r="AE59" s="55">
        <v>484449840.88999999</v>
      </c>
      <c r="AF59" s="56">
        <v>7.6694718192999996E-4</v>
      </c>
      <c r="AG59" s="56" t="s">
        <v>26</v>
      </c>
      <c r="AH59" s="56" t="s">
        <v>26</v>
      </c>
      <c r="AI59" s="56" t="s">
        <v>26</v>
      </c>
      <c r="AJ59" s="56" t="s">
        <v>26</v>
      </c>
      <c r="AK59" s="56" t="s">
        <v>26</v>
      </c>
      <c r="AL59" s="56" t="s">
        <v>26</v>
      </c>
      <c r="AM59" s="56" t="s">
        <v>26</v>
      </c>
      <c r="AN59" s="56" t="s">
        <v>26</v>
      </c>
      <c r="AO59" s="56" t="s">
        <v>26</v>
      </c>
      <c r="AP59" s="56" t="s">
        <v>26</v>
      </c>
      <c r="AQ59" s="56" t="s">
        <v>26</v>
      </c>
      <c r="AR59" s="56" t="s">
        <v>26</v>
      </c>
      <c r="AS59" s="56" t="s">
        <v>26</v>
      </c>
      <c r="AT59" s="56" t="s">
        <v>26</v>
      </c>
      <c r="AU59" s="55">
        <v>62236704.170000002</v>
      </c>
      <c r="AV59" s="56">
        <v>1.39889691558E-3</v>
      </c>
      <c r="AW59" s="56" t="s">
        <v>26</v>
      </c>
      <c r="AX59" s="56" t="s">
        <v>26</v>
      </c>
      <c r="AY59" s="55">
        <v>546686545.05999994</v>
      </c>
      <c r="AZ59" s="56">
        <v>7.6258300672999997E-4</v>
      </c>
      <c r="BA59" s="56" t="s">
        <v>26</v>
      </c>
      <c r="BB59" s="56" t="s">
        <v>26</v>
      </c>
    </row>
    <row r="60" spans="1:54" s="7" customFormat="1">
      <c r="A60" s="5" t="s">
        <v>61</v>
      </c>
      <c r="B60" s="24" t="s">
        <v>25</v>
      </c>
      <c r="C60" s="10">
        <v>49272923.310000002</v>
      </c>
      <c r="D60" s="11">
        <v>8.0167600512699999E-3</v>
      </c>
      <c r="E60" s="11">
        <v>0.09</v>
      </c>
      <c r="F60" s="11">
        <v>8.2000000000000003E-2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 t="s">
        <v>26</v>
      </c>
      <c r="AB60" s="11" t="s">
        <v>26</v>
      </c>
      <c r="AC60" s="11" t="s">
        <v>26</v>
      </c>
      <c r="AD60" s="11" t="s">
        <v>26</v>
      </c>
      <c r="AE60" s="10">
        <v>49272923.310000002</v>
      </c>
      <c r="AF60" s="11">
        <v>7.8005453789999998E-5</v>
      </c>
      <c r="AG60" s="11">
        <v>0.09</v>
      </c>
      <c r="AH60" s="11">
        <v>8.9899999999999994E-2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49272923.310000002</v>
      </c>
      <c r="AZ60" s="11">
        <v>6.8731697070000005E-5</v>
      </c>
      <c r="BA60" s="11">
        <v>0.09</v>
      </c>
      <c r="BB60" s="11">
        <v>8.9899999999999994E-2</v>
      </c>
    </row>
    <row r="61" spans="1:54" s="7" customFormat="1">
      <c r="A61" s="3" t="s">
        <v>36</v>
      </c>
      <c r="B61" s="31" t="s">
        <v>46</v>
      </c>
      <c r="C61" s="2">
        <v>49272923.310000002</v>
      </c>
      <c r="D61" s="1">
        <v>1</v>
      </c>
      <c r="E61" s="11" t="s">
        <v>26</v>
      </c>
      <c r="F61" s="11" t="s">
        <v>26</v>
      </c>
      <c r="G61" s="10" t="s">
        <v>26</v>
      </c>
      <c r="H61" s="11" t="s">
        <v>26</v>
      </c>
      <c r="I61" s="11" t="s">
        <v>26</v>
      </c>
      <c r="J61" s="11" t="s">
        <v>26</v>
      </c>
      <c r="K61" s="10" t="s">
        <v>26</v>
      </c>
      <c r="L61" s="11" t="s">
        <v>26</v>
      </c>
      <c r="M61" s="11" t="s">
        <v>26</v>
      </c>
      <c r="N61" s="11" t="s">
        <v>26</v>
      </c>
      <c r="O61" s="10" t="s">
        <v>26</v>
      </c>
      <c r="P61" s="11" t="s">
        <v>26</v>
      </c>
      <c r="Q61" s="11" t="s">
        <v>26</v>
      </c>
      <c r="R61" s="11" t="s">
        <v>26</v>
      </c>
      <c r="S61" s="10" t="s">
        <v>26</v>
      </c>
      <c r="T61" s="11" t="s">
        <v>26</v>
      </c>
      <c r="U61" s="11" t="s">
        <v>26</v>
      </c>
      <c r="V61" s="11" t="s">
        <v>26</v>
      </c>
      <c r="W61" s="10" t="s">
        <v>26</v>
      </c>
      <c r="X61" s="11" t="s">
        <v>26</v>
      </c>
      <c r="Y61" s="11" t="s">
        <v>26</v>
      </c>
      <c r="Z61" s="11" t="s">
        <v>26</v>
      </c>
      <c r="AA61" s="10" t="s">
        <v>26</v>
      </c>
      <c r="AB61" s="11" t="s">
        <v>26</v>
      </c>
      <c r="AC61" s="11" t="s">
        <v>26</v>
      </c>
      <c r="AD61" s="11" t="s">
        <v>26</v>
      </c>
      <c r="AE61" s="2">
        <v>49272923.310000002</v>
      </c>
      <c r="AF61" s="1">
        <v>1</v>
      </c>
      <c r="AG61" s="11" t="s">
        <v>26</v>
      </c>
      <c r="AH61" s="11" t="s">
        <v>26</v>
      </c>
      <c r="AI61" s="10" t="s">
        <v>26</v>
      </c>
      <c r="AJ61" s="11" t="s">
        <v>26</v>
      </c>
      <c r="AK61" s="11" t="s">
        <v>26</v>
      </c>
      <c r="AL61" s="11" t="s">
        <v>26</v>
      </c>
      <c r="AM61" s="10" t="s">
        <v>26</v>
      </c>
      <c r="AN61" s="11" t="s">
        <v>26</v>
      </c>
      <c r="AO61" s="11" t="s">
        <v>26</v>
      </c>
      <c r="AP61" s="11" t="s">
        <v>26</v>
      </c>
      <c r="AQ61" s="10" t="s">
        <v>26</v>
      </c>
      <c r="AR61" s="11" t="s">
        <v>26</v>
      </c>
      <c r="AS61" s="11" t="s">
        <v>26</v>
      </c>
      <c r="AT61" s="11" t="s">
        <v>26</v>
      </c>
      <c r="AU61" s="10" t="s">
        <v>26</v>
      </c>
      <c r="AV61" s="11" t="s">
        <v>26</v>
      </c>
      <c r="AW61" s="11" t="s">
        <v>26</v>
      </c>
      <c r="AX61" s="11" t="s">
        <v>26</v>
      </c>
      <c r="AY61" s="2">
        <v>49272923.310000002</v>
      </c>
      <c r="AZ61" s="1">
        <v>1</v>
      </c>
      <c r="BA61" s="11" t="s">
        <v>26</v>
      </c>
      <c r="BB61" s="11" t="s">
        <v>26</v>
      </c>
    </row>
    <row r="62" spans="1:54" s="7" customFormat="1">
      <c r="A62" s="5" t="s">
        <v>62</v>
      </c>
      <c r="B62" s="24" t="s">
        <v>25</v>
      </c>
      <c r="C62" s="10">
        <v>17863077.07</v>
      </c>
      <c r="D62" s="11">
        <v>2.9063427340500002E-3</v>
      </c>
      <c r="E62" s="11">
        <v>0.12</v>
      </c>
      <c r="F62" s="11">
        <v>0.1171</v>
      </c>
      <c r="G62" s="10" t="s">
        <v>26</v>
      </c>
      <c r="H62" s="11" t="s">
        <v>26</v>
      </c>
      <c r="I62" s="11" t="s">
        <v>26</v>
      </c>
      <c r="J62" s="11" t="s">
        <v>26</v>
      </c>
      <c r="K62" s="10" t="s">
        <v>26</v>
      </c>
      <c r="L62" s="11" t="s">
        <v>26</v>
      </c>
      <c r="M62" s="11" t="s">
        <v>26</v>
      </c>
      <c r="N62" s="11" t="s">
        <v>26</v>
      </c>
      <c r="O62" s="10" t="s">
        <v>26</v>
      </c>
      <c r="P62" s="11" t="s">
        <v>26</v>
      </c>
      <c r="Q62" s="11" t="s">
        <v>26</v>
      </c>
      <c r="R62" s="11" t="s">
        <v>26</v>
      </c>
      <c r="S62" s="10" t="s">
        <v>26</v>
      </c>
      <c r="T62" s="11" t="s">
        <v>26</v>
      </c>
      <c r="U62" s="11" t="s">
        <v>26</v>
      </c>
      <c r="V62" s="11" t="s">
        <v>26</v>
      </c>
      <c r="W62" s="10" t="s">
        <v>26</v>
      </c>
      <c r="X62" s="11" t="s">
        <v>26</v>
      </c>
      <c r="Y62" s="11" t="s">
        <v>26</v>
      </c>
      <c r="Z62" s="11" t="s">
        <v>26</v>
      </c>
      <c r="AA62" s="10">
        <v>91400613.260000005</v>
      </c>
      <c r="AB62" s="11">
        <v>6.6886667549999996E-4</v>
      </c>
      <c r="AC62" s="11">
        <v>0.13500000000000001</v>
      </c>
      <c r="AD62" s="11">
        <v>0.1343</v>
      </c>
      <c r="AE62" s="10">
        <v>109263690.33</v>
      </c>
      <c r="AF62" s="11">
        <v>1.7297864982999999E-4</v>
      </c>
      <c r="AG62" s="11">
        <v>0.13250000000000001</v>
      </c>
      <c r="AH62" s="11">
        <v>0.1323</v>
      </c>
      <c r="AI62" s="10" t="s">
        <v>26</v>
      </c>
      <c r="AJ62" s="11" t="s">
        <v>26</v>
      </c>
      <c r="AK62" s="11" t="s">
        <v>26</v>
      </c>
      <c r="AL62" s="11" t="s">
        <v>26</v>
      </c>
      <c r="AM62" s="10" t="s">
        <v>26</v>
      </c>
      <c r="AN62" s="11" t="s">
        <v>26</v>
      </c>
      <c r="AO62" s="11" t="s">
        <v>26</v>
      </c>
      <c r="AP62" s="11" t="s">
        <v>26</v>
      </c>
      <c r="AQ62" s="10" t="s">
        <v>26</v>
      </c>
      <c r="AR62" s="11" t="s">
        <v>26</v>
      </c>
      <c r="AS62" s="11" t="s">
        <v>26</v>
      </c>
      <c r="AT62" s="11" t="s">
        <v>26</v>
      </c>
      <c r="AU62" s="10" t="s">
        <v>26</v>
      </c>
      <c r="AV62" s="11" t="s">
        <v>26</v>
      </c>
      <c r="AW62" s="11" t="s">
        <v>26</v>
      </c>
      <c r="AX62" s="11" t="s">
        <v>26</v>
      </c>
      <c r="AY62" s="10">
        <v>109263690.33</v>
      </c>
      <c r="AZ62" s="11">
        <v>1.5241390931E-4</v>
      </c>
      <c r="BA62" s="11">
        <v>0.13250000000000001</v>
      </c>
      <c r="BB62" s="11">
        <v>0.1323</v>
      </c>
    </row>
    <row r="63" spans="1:54" s="7" customFormat="1">
      <c r="A63" s="3" t="s">
        <v>36</v>
      </c>
      <c r="B63" s="31" t="s">
        <v>56</v>
      </c>
      <c r="C63" s="2">
        <v>17863077.07</v>
      </c>
      <c r="D63" s="1">
        <v>1</v>
      </c>
      <c r="E63" s="11" t="s">
        <v>26</v>
      </c>
      <c r="F63" s="11" t="s">
        <v>26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2">
        <v>17863077.07</v>
      </c>
      <c r="AF63" s="1">
        <v>0.16348593952894999</v>
      </c>
      <c r="AG63" s="11" t="s">
        <v>26</v>
      </c>
      <c r="AH63" s="11" t="s">
        <v>26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2">
        <v>17863077.07</v>
      </c>
      <c r="AZ63" s="1">
        <v>0.16348593952894999</v>
      </c>
      <c r="BA63" s="11" t="s">
        <v>26</v>
      </c>
      <c r="BB63" s="11" t="s">
        <v>26</v>
      </c>
    </row>
    <row r="64" spans="1:54" s="7" customFormat="1">
      <c r="A64" s="3" t="s">
        <v>38</v>
      </c>
      <c r="B64" s="31" t="s">
        <v>43</v>
      </c>
      <c r="C64" s="11" t="s">
        <v>26</v>
      </c>
      <c r="D64" s="11" t="s">
        <v>26</v>
      </c>
      <c r="E64" s="11" t="s">
        <v>26</v>
      </c>
      <c r="F64" s="11" t="s">
        <v>26</v>
      </c>
      <c r="G64" s="10" t="s">
        <v>26</v>
      </c>
      <c r="H64" s="11" t="s">
        <v>26</v>
      </c>
      <c r="I64" s="11" t="s">
        <v>26</v>
      </c>
      <c r="J64" s="11" t="s">
        <v>26</v>
      </c>
      <c r="K64" s="10" t="s">
        <v>26</v>
      </c>
      <c r="L64" s="11" t="s">
        <v>26</v>
      </c>
      <c r="M64" s="11" t="s">
        <v>26</v>
      </c>
      <c r="N64" s="11" t="s">
        <v>26</v>
      </c>
      <c r="O64" s="10" t="s">
        <v>26</v>
      </c>
      <c r="P64" s="11" t="s">
        <v>26</v>
      </c>
      <c r="Q64" s="11" t="s">
        <v>26</v>
      </c>
      <c r="R64" s="11" t="s">
        <v>26</v>
      </c>
      <c r="S64" s="10" t="s">
        <v>26</v>
      </c>
      <c r="T64" s="11" t="s">
        <v>26</v>
      </c>
      <c r="U64" s="11" t="s">
        <v>26</v>
      </c>
      <c r="V64" s="11" t="s">
        <v>26</v>
      </c>
      <c r="W64" s="10" t="s">
        <v>26</v>
      </c>
      <c r="X64" s="11" t="s">
        <v>26</v>
      </c>
      <c r="Y64" s="11" t="s">
        <v>26</v>
      </c>
      <c r="Z64" s="11" t="s">
        <v>26</v>
      </c>
      <c r="AA64" s="2">
        <v>91400613.260000005</v>
      </c>
      <c r="AB64" s="1">
        <v>1</v>
      </c>
      <c r="AC64" s="11" t="s">
        <v>26</v>
      </c>
      <c r="AD64" s="11" t="s">
        <v>26</v>
      </c>
      <c r="AE64" s="2">
        <v>91400613.260000005</v>
      </c>
      <c r="AF64" s="1">
        <v>0.83651406047105004</v>
      </c>
      <c r="AG64" s="11" t="s">
        <v>26</v>
      </c>
      <c r="AH64" s="11" t="s">
        <v>26</v>
      </c>
      <c r="AI64" s="10" t="s">
        <v>26</v>
      </c>
      <c r="AJ64" s="11" t="s">
        <v>26</v>
      </c>
      <c r="AK64" s="11" t="s">
        <v>26</v>
      </c>
      <c r="AL64" s="11" t="s">
        <v>26</v>
      </c>
      <c r="AM64" s="10" t="s">
        <v>26</v>
      </c>
      <c r="AN64" s="11" t="s">
        <v>26</v>
      </c>
      <c r="AO64" s="11" t="s">
        <v>26</v>
      </c>
      <c r="AP64" s="11" t="s">
        <v>26</v>
      </c>
      <c r="AQ64" s="10" t="s">
        <v>26</v>
      </c>
      <c r="AR64" s="11" t="s">
        <v>26</v>
      </c>
      <c r="AS64" s="11" t="s">
        <v>26</v>
      </c>
      <c r="AT64" s="11" t="s">
        <v>26</v>
      </c>
      <c r="AU64" s="10" t="s">
        <v>26</v>
      </c>
      <c r="AV64" s="11" t="s">
        <v>26</v>
      </c>
      <c r="AW64" s="11" t="s">
        <v>26</v>
      </c>
      <c r="AX64" s="11" t="s">
        <v>26</v>
      </c>
      <c r="AY64" s="2">
        <v>91400613.260000005</v>
      </c>
      <c r="AZ64" s="1">
        <v>0.83651406047105004</v>
      </c>
      <c r="BA64" s="11" t="s">
        <v>26</v>
      </c>
      <c r="BB64" s="11" t="s">
        <v>26</v>
      </c>
    </row>
    <row r="65" spans="1:54" s="7" customFormat="1">
      <c r="A65" s="5" t="s">
        <v>63</v>
      </c>
      <c r="B65" s="24" t="s">
        <v>25</v>
      </c>
      <c r="C65" s="10">
        <v>22074475.940000001</v>
      </c>
      <c r="D65" s="11">
        <v>3.5915420677399999E-3</v>
      </c>
      <c r="E65" s="11">
        <v>0.12</v>
      </c>
      <c r="F65" s="11">
        <v>0.1164</v>
      </c>
      <c r="G65" s="10" t="s">
        <v>26</v>
      </c>
      <c r="H65" s="11" t="s">
        <v>26</v>
      </c>
      <c r="I65" s="11" t="s">
        <v>26</v>
      </c>
      <c r="J65" s="11" t="s">
        <v>26</v>
      </c>
      <c r="K65" s="10" t="s">
        <v>26</v>
      </c>
      <c r="L65" s="11" t="s">
        <v>26</v>
      </c>
      <c r="M65" s="11" t="s">
        <v>26</v>
      </c>
      <c r="N65" s="11" t="s">
        <v>26</v>
      </c>
      <c r="O65" s="10" t="s">
        <v>26</v>
      </c>
      <c r="P65" s="11" t="s">
        <v>26</v>
      </c>
      <c r="Q65" s="11" t="s">
        <v>26</v>
      </c>
      <c r="R65" s="11" t="s">
        <v>26</v>
      </c>
      <c r="S65" s="10" t="s">
        <v>26</v>
      </c>
      <c r="T65" s="11" t="s">
        <v>26</v>
      </c>
      <c r="U65" s="11" t="s">
        <v>26</v>
      </c>
      <c r="V65" s="11" t="s">
        <v>26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 t="s">
        <v>26</v>
      </c>
      <c r="AB65" s="11" t="s">
        <v>26</v>
      </c>
      <c r="AC65" s="11" t="s">
        <v>26</v>
      </c>
      <c r="AD65" s="11" t="s">
        <v>26</v>
      </c>
      <c r="AE65" s="10">
        <v>22074475.940000001</v>
      </c>
      <c r="AF65" s="11">
        <v>3.4946769889999999E-5</v>
      </c>
      <c r="AG65" s="11">
        <v>0.12</v>
      </c>
      <c r="AH65" s="11">
        <v>0.12</v>
      </c>
      <c r="AI65" s="10" t="s">
        <v>26</v>
      </c>
      <c r="AJ65" s="11" t="s">
        <v>26</v>
      </c>
      <c r="AK65" s="11" t="s">
        <v>26</v>
      </c>
      <c r="AL65" s="11" t="s">
        <v>26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 t="s">
        <v>26</v>
      </c>
      <c r="AR65" s="11" t="s">
        <v>26</v>
      </c>
      <c r="AS65" s="11" t="s">
        <v>26</v>
      </c>
      <c r="AT65" s="11" t="s">
        <v>26</v>
      </c>
      <c r="AU65" s="10" t="s">
        <v>26</v>
      </c>
      <c r="AV65" s="11" t="s">
        <v>26</v>
      </c>
      <c r="AW65" s="11" t="s">
        <v>26</v>
      </c>
      <c r="AX65" s="11" t="s">
        <v>26</v>
      </c>
      <c r="AY65" s="10">
        <v>22074475.940000001</v>
      </c>
      <c r="AZ65" s="11">
        <v>3.0792088059999999E-5</v>
      </c>
      <c r="BA65" s="11">
        <v>0.12</v>
      </c>
      <c r="BB65" s="11">
        <v>0.12</v>
      </c>
    </row>
    <row r="66" spans="1:54" s="7" customFormat="1">
      <c r="A66" s="3" t="s">
        <v>36</v>
      </c>
      <c r="B66" s="31" t="s">
        <v>56</v>
      </c>
      <c r="C66" s="2">
        <v>22074475.940000001</v>
      </c>
      <c r="D66" s="1">
        <v>1</v>
      </c>
      <c r="E66" s="11" t="s">
        <v>26</v>
      </c>
      <c r="F66" s="11" t="s">
        <v>26</v>
      </c>
      <c r="G66" s="10" t="s">
        <v>26</v>
      </c>
      <c r="H66" s="11" t="s">
        <v>26</v>
      </c>
      <c r="I66" s="11" t="s">
        <v>26</v>
      </c>
      <c r="J66" s="11" t="s">
        <v>26</v>
      </c>
      <c r="K66" s="10" t="s">
        <v>26</v>
      </c>
      <c r="L66" s="11" t="s">
        <v>26</v>
      </c>
      <c r="M66" s="11" t="s">
        <v>26</v>
      </c>
      <c r="N66" s="11" t="s">
        <v>26</v>
      </c>
      <c r="O66" s="10" t="s">
        <v>26</v>
      </c>
      <c r="P66" s="11" t="s">
        <v>26</v>
      </c>
      <c r="Q66" s="11" t="s">
        <v>26</v>
      </c>
      <c r="R66" s="11" t="s">
        <v>26</v>
      </c>
      <c r="S66" s="10" t="s">
        <v>26</v>
      </c>
      <c r="T66" s="11" t="s">
        <v>26</v>
      </c>
      <c r="U66" s="11" t="s">
        <v>26</v>
      </c>
      <c r="V66" s="11" t="s">
        <v>26</v>
      </c>
      <c r="W66" s="10" t="s">
        <v>26</v>
      </c>
      <c r="X66" s="11" t="s">
        <v>26</v>
      </c>
      <c r="Y66" s="11" t="s">
        <v>26</v>
      </c>
      <c r="Z66" s="11" t="s">
        <v>26</v>
      </c>
      <c r="AA66" s="10" t="s">
        <v>26</v>
      </c>
      <c r="AB66" s="11" t="s">
        <v>26</v>
      </c>
      <c r="AC66" s="11" t="s">
        <v>26</v>
      </c>
      <c r="AD66" s="11" t="s">
        <v>26</v>
      </c>
      <c r="AE66" s="2">
        <v>22074475.940000001</v>
      </c>
      <c r="AF66" s="1">
        <v>1</v>
      </c>
      <c r="AG66" s="11" t="s">
        <v>26</v>
      </c>
      <c r="AH66" s="11" t="s">
        <v>26</v>
      </c>
      <c r="AI66" s="10" t="s">
        <v>26</v>
      </c>
      <c r="AJ66" s="11" t="s">
        <v>26</v>
      </c>
      <c r="AK66" s="11" t="s">
        <v>26</v>
      </c>
      <c r="AL66" s="11" t="s">
        <v>26</v>
      </c>
      <c r="AM66" s="10" t="s">
        <v>26</v>
      </c>
      <c r="AN66" s="11" t="s">
        <v>26</v>
      </c>
      <c r="AO66" s="11" t="s">
        <v>26</v>
      </c>
      <c r="AP66" s="11" t="s">
        <v>26</v>
      </c>
      <c r="AQ66" s="10" t="s">
        <v>26</v>
      </c>
      <c r="AR66" s="11" t="s">
        <v>26</v>
      </c>
      <c r="AS66" s="11" t="s">
        <v>26</v>
      </c>
      <c r="AT66" s="11" t="s">
        <v>26</v>
      </c>
      <c r="AU66" s="10" t="s">
        <v>26</v>
      </c>
      <c r="AV66" s="11" t="s">
        <v>26</v>
      </c>
      <c r="AW66" s="11" t="s">
        <v>26</v>
      </c>
      <c r="AX66" s="11" t="s">
        <v>26</v>
      </c>
      <c r="AY66" s="2">
        <v>22074475.940000001</v>
      </c>
      <c r="AZ66" s="1">
        <v>1</v>
      </c>
      <c r="BA66" s="11" t="s">
        <v>26</v>
      </c>
      <c r="BB66" s="11" t="s">
        <v>26</v>
      </c>
    </row>
    <row r="67" spans="1:54" s="7" customFormat="1">
      <c r="A67" s="5" t="s">
        <v>64</v>
      </c>
      <c r="B67" s="24" t="s">
        <v>25</v>
      </c>
      <c r="C67" s="11" t="s">
        <v>26</v>
      </c>
      <c r="D67" s="11" t="s">
        <v>26</v>
      </c>
      <c r="E67" s="11" t="s">
        <v>26</v>
      </c>
      <c r="F67" s="11" t="s">
        <v>26</v>
      </c>
      <c r="G67" s="10" t="s">
        <v>26</v>
      </c>
      <c r="H67" s="11" t="s">
        <v>26</v>
      </c>
      <c r="I67" s="11" t="s">
        <v>26</v>
      </c>
      <c r="J67" s="11" t="s">
        <v>26</v>
      </c>
      <c r="K67" s="10">
        <v>65465926.640000001</v>
      </c>
      <c r="L67" s="11">
        <v>2.2854070621080001E-2</v>
      </c>
      <c r="M67" s="11">
        <v>0.13500000000000001</v>
      </c>
      <c r="N67" s="11">
        <v>0.11210000000000001</v>
      </c>
      <c r="O67" s="10">
        <v>100380447.2</v>
      </c>
      <c r="P67" s="11">
        <v>4.5313948014E-4</v>
      </c>
      <c r="Q67" s="11">
        <v>0.13500000000000001</v>
      </c>
      <c r="R67" s="11">
        <v>0.13450000000000001</v>
      </c>
      <c r="S67" s="10">
        <v>107715675.06</v>
      </c>
      <c r="T67" s="11">
        <v>9.7731140057999996E-4</v>
      </c>
      <c r="U67" s="11">
        <v>0.13500000000000001</v>
      </c>
      <c r="V67" s="11">
        <v>0.13400000000000001</v>
      </c>
      <c r="W67" s="10" t="s">
        <v>26</v>
      </c>
      <c r="X67" s="11" t="s">
        <v>26</v>
      </c>
      <c r="Y67" s="11" t="s">
        <v>26</v>
      </c>
      <c r="Z67" s="11" t="s">
        <v>26</v>
      </c>
      <c r="AA67" s="10">
        <v>30276702.41</v>
      </c>
      <c r="AB67" s="11">
        <v>2.2156391038999999E-4</v>
      </c>
      <c r="AC67" s="11">
        <v>0.13500000000000001</v>
      </c>
      <c r="AD67" s="11">
        <v>0.1348</v>
      </c>
      <c r="AE67" s="10">
        <v>303838751.31</v>
      </c>
      <c r="AF67" s="11">
        <v>4.8101630842000001E-4</v>
      </c>
      <c r="AG67" s="11">
        <v>0.13500000000000001</v>
      </c>
      <c r="AH67" s="11">
        <v>0.13450000000000001</v>
      </c>
      <c r="AI67" s="10" t="s">
        <v>26</v>
      </c>
      <c r="AJ67" s="11" t="s">
        <v>26</v>
      </c>
      <c r="AK67" s="11" t="s">
        <v>26</v>
      </c>
      <c r="AL67" s="11" t="s">
        <v>26</v>
      </c>
      <c r="AM67" s="10" t="s">
        <v>26</v>
      </c>
      <c r="AN67" s="11" t="s">
        <v>26</v>
      </c>
      <c r="AO67" s="11" t="s">
        <v>26</v>
      </c>
      <c r="AP67" s="11" t="s">
        <v>26</v>
      </c>
      <c r="AQ67" s="10" t="s">
        <v>26</v>
      </c>
      <c r="AR67" s="11" t="s">
        <v>26</v>
      </c>
      <c r="AS67" s="11" t="s">
        <v>26</v>
      </c>
      <c r="AT67" s="11" t="s">
        <v>26</v>
      </c>
      <c r="AU67" s="10">
        <v>62236704.170000002</v>
      </c>
      <c r="AV67" s="11">
        <v>1.39889691558E-3</v>
      </c>
      <c r="AW67" s="11">
        <v>0.13500000000000001</v>
      </c>
      <c r="AX67" s="11">
        <v>0.1336</v>
      </c>
      <c r="AY67" s="10">
        <v>366075455.48000002</v>
      </c>
      <c r="AZ67" s="11">
        <v>5.1064531228999996E-4</v>
      </c>
      <c r="BA67" s="11">
        <v>0.13500000000000001</v>
      </c>
      <c r="BB67" s="11">
        <v>0.13450000000000001</v>
      </c>
    </row>
    <row r="68" spans="1:54" s="7" customFormat="1">
      <c r="A68" s="3" t="s">
        <v>38</v>
      </c>
      <c r="B68" s="31" t="s">
        <v>43</v>
      </c>
      <c r="C68" s="11" t="s">
        <v>26</v>
      </c>
      <c r="D68" s="11" t="s">
        <v>26</v>
      </c>
      <c r="E68" s="11" t="s">
        <v>26</v>
      </c>
      <c r="F68" s="11" t="s">
        <v>26</v>
      </c>
      <c r="G68" s="10" t="s">
        <v>26</v>
      </c>
      <c r="H68" s="11" t="s">
        <v>26</v>
      </c>
      <c r="I68" s="11" t="s">
        <v>26</v>
      </c>
      <c r="J68" s="11" t="s">
        <v>26</v>
      </c>
      <c r="K68" s="2">
        <v>65465926.640000001</v>
      </c>
      <c r="L68" s="1">
        <v>1</v>
      </c>
      <c r="M68" s="11" t="s">
        <v>26</v>
      </c>
      <c r="N68" s="11" t="s">
        <v>26</v>
      </c>
      <c r="O68" s="2">
        <v>100380447.2</v>
      </c>
      <c r="P68" s="1">
        <v>1</v>
      </c>
      <c r="Q68" s="11" t="s">
        <v>26</v>
      </c>
      <c r="R68" s="11" t="s">
        <v>26</v>
      </c>
      <c r="S68" s="2">
        <v>107715675.06</v>
      </c>
      <c r="T68" s="1">
        <v>1</v>
      </c>
      <c r="U68" s="11" t="s">
        <v>26</v>
      </c>
      <c r="V68" s="11" t="s">
        <v>26</v>
      </c>
      <c r="W68" s="10" t="s">
        <v>26</v>
      </c>
      <c r="X68" s="11" t="s">
        <v>26</v>
      </c>
      <c r="Y68" s="11" t="s">
        <v>26</v>
      </c>
      <c r="Z68" s="11" t="s">
        <v>26</v>
      </c>
      <c r="AA68" s="2">
        <v>30276702.41</v>
      </c>
      <c r="AB68" s="1">
        <v>1</v>
      </c>
      <c r="AC68" s="11" t="s">
        <v>26</v>
      </c>
      <c r="AD68" s="11" t="s">
        <v>26</v>
      </c>
      <c r="AE68" s="2">
        <v>303838751.31</v>
      </c>
      <c r="AF68" s="1">
        <v>1</v>
      </c>
      <c r="AG68" s="11" t="s">
        <v>26</v>
      </c>
      <c r="AH68" s="11" t="s">
        <v>26</v>
      </c>
      <c r="AI68" s="10" t="s">
        <v>26</v>
      </c>
      <c r="AJ68" s="11" t="s">
        <v>26</v>
      </c>
      <c r="AK68" s="11" t="s">
        <v>26</v>
      </c>
      <c r="AL68" s="11" t="s">
        <v>26</v>
      </c>
      <c r="AM68" s="10" t="s">
        <v>26</v>
      </c>
      <c r="AN68" s="11" t="s">
        <v>26</v>
      </c>
      <c r="AO68" s="11" t="s">
        <v>26</v>
      </c>
      <c r="AP68" s="11" t="s">
        <v>26</v>
      </c>
      <c r="AQ68" s="10" t="s">
        <v>26</v>
      </c>
      <c r="AR68" s="11" t="s">
        <v>26</v>
      </c>
      <c r="AS68" s="11" t="s">
        <v>26</v>
      </c>
      <c r="AT68" s="11" t="s">
        <v>26</v>
      </c>
      <c r="AU68" s="2">
        <v>62236704.170000002</v>
      </c>
      <c r="AV68" s="1">
        <v>1</v>
      </c>
      <c r="AW68" s="11" t="s">
        <v>26</v>
      </c>
      <c r="AX68" s="11" t="s">
        <v>26</v>
      </c>
      <c r="AY68" s="2">
        <v>366075455.48000002</v>
      </c>
      <c r="AZ68" s="1">
        <v>1</v>
      </c>
      <c r="BA68" s="11" t="s">
        <v>26</v>
      </c>
      <c r="BB68" s="11" t="s">
        <v>26</v>
      </c>
    </row>
    <row r="69" spans="1:54" s="7" customFormat="1">
      <c r="A69" s="13" t="s">
        <v>65</v>
      </c>
      <c r="B69" s="25" t="s">
        <v>25</v>
      </c>
      <c r="C69" s="55">
        <v>790915459.04999995</v>
      </c>
      <c r="D69" s="56">
        <v>0.12868283491421001</v>
      </c>
      <c r="E69" s="56" t="s">
        <v>26</v>
      </c>
      <c r="F69" s="56" t="s">
        <v>26</v>
      </c>
      <c r="G69" s="55">
        <v>7064191431.7799997</v>
      </c>
      <c r="H69" s="56">
        <v>4.7692998890319999E-2</v>
      </c>
      <c r="I69" s="56" t="s">
        <v>26</v>
      </c>
      <c r="J69" s="56" t="s">
        <v>26</v>
      </c>
      <c r="K69" s="55">
        <v>558733371.03999996</v>
      </c>
      <c r="L69" s="56">
        <v>0.19505309976469001</v>
      </c>
      <c r="M69" s="56" t="s">
        <v>26</v>
      </c>
      <c r="N69" s="56" t="s">
        <v>26</v>
      </c>
      <c r="O69" s="55">
        <v>10980519122.459999</v>
      </c>
      <c r="P69" s="56">
        <v>4.9568485353180002E-2</v>
      </c>
      <c r="Q69" s="56" t="s">
        <v>26</v>
      </c>
      <c r="R69" s="56" t="s">
        <v>26</v>
      </c>
      <c r="S69" s="55">
        <v>5981471713.6199999</v>
      </c>
      <c r="T69" s="56">
        <v>5.4270286053720002E-2</v>
      </c>
      <c r="U69" s="56" t="s">
        <v>26</v>
      </c>
      <c r="V69" s="56" t="s">
        <v>26</v>
      </c>
      <c r="W69" s="56" t="s">
        <v>26</v>
      </c>
      <c r="X69" s="56" t="s">
        <v>26</v>
      </c>
      <c r="Y69" s="56" t="s">
        <v>26</v>
      </c>
      <c r="Z69" s="56" t="s">
        <v>26</v>
      </c>
      <c r="AA69" s="55">
        <v>5418974842.8599997</v>
      </c>
      <c r="AB69" s="56">
        <v>3.9655879304090001E-2</v>
      </c>
      <c r="AC69" s="56" t="s">
        <v>26</v>
      </c>
      <c r="AD69" s="56" t="s">
        <v>26</v>
      </c>
      <c r="AE69" s="55">
        <v>30794805940.810001</v>
      </c>
      <c r="AF69" s="56">
        <v>4.8752187824000003E-2</v>
      </c>
      <c r="AG69" s="56" t="s">
        <v>26</v>
      </c>
      <c r="AH69" s="56" t="s">
        <v>26</v>
      </c>
      <c r="AI69" s="55">
        <v>1086509158.4300001</v>
      </c>
      <c r="AJ69" s="56">
        <v>6.40960055271E-2</v>
      </c>
      <c r="AK69" s="56" t="s">
        <v>26</v>
      </c>
      <c r="AL69" s="56" t="s">
        <v>26</v>
      </c>
      <c r="AM69" s="55">
        <v>2206979147.8800001</v>
      </c>
      <c r="AN69" s="56">
        <v>9.2781596701149993E-2</v>
      </c>
      <c r="AO69" s="56" t="s">
        <v>26</v>
      </c>
      <c r="AP69" s="56" t="s">
        <v>26</v>
      </c>
      <c r="AQ69" s="55">
        <v>3293488306.3099999</v>
      </c>
      <c r="AR69" s="56">
        <v>8.0845413118769999E-2</v>
      </c>
      <c r="AS69" s="56" t="s">
        <v>26</v>
      </c>
      <c r="AT69" s="56" t="s">
        <v>26</v>
      </c>
      <c r="AU69" s="55">
        <v>1498818208.53</v>
      </c>
      <c r="AV69" s="56">
        <v>3.3688997463729997E-2</v>
      </c>
      <c r="AW69" s="56" t="s">
        <v>26</v>
      </c>
      <c r="AX69" s="56" t="s">
        <v>26</v>
      </c>
      <c r="AY69" s="55">
        <v>35587112455.650002</v>
      </c>
      <c r="AZ69" s="56">
        <v>4.9641110545669997E-2</v>
      </c>
      <c r="BA69" s="56" t="s">
        <v>26</v>
      </c>
      <c r="BB69" s="56" t="s">
        <v>26</v>
      </c>
    </row>
    <row r="70" spans="1:54" s="7" customFormat="1">
      <c r="A70" s="5" t="s">
        <v>105</v>
      </c>
      <c r="B70" s="24" t="s">
        <v>25</v>
      </c>
      <c r="C70" s="10">
        <v>83928845.180000007</v>
      </c>
      <c r="D70" s="11">
        <v>1.36553175251E-2</v>
      </c>
      <c r="E70" s="11">
        <v>0.08</v>
      </c>
      <c r="F70" s="11">
        <v>6.6299999999999998E-2</v>
      </c>
      <c r="G70" s="10" t="s">
        <v>26</v>
      </c>
      <c r="H70" s="11" t="s">
        <v>26</v>
      </c>
      <c r="I70" s="11" t="s">
        <v>26</v>
      </c>
      <c r="J70" s="11" t="s">
        <v>26</v>
      </c>
      <c r="K70" s="10">
        <v>62713810.649999999</v>
      </c>
      <c r="L70" s="11">
        <v>2.1893310475750001E-2</v>
      </c>
      <c r="M70" s="11">
        <v>0.08</v>
      </c>
      <c r="N70" s="11">
        <v>5.8099999999999999E-2</v>
      </c>
      <c r="O70" s="10" t="s">
        <v>26</v>
      </c>
      <c r="P70" s="11" t="s">
        <v>26</v>
      </c>
      <c r="Q70" s="11" t="s">
        <v>26</v>
      </c>
      <c r="R70" s="11" t="s">
        <v>26</v>
      </c>
      <c r="S70" s="10">
        <v>86915372.469999999</v>
      </c>
      <c r="T70" s="11">
        <v>7.8858888786000004E-4</v>
      </c>
      <c r="U70" s="11">
        <v>0.08</v>
      </c>
      <c r="V70" s="11">
        <v>7.9200000000000007E-2</v>
      </c>
      <c r="W70" s="10" t="s">
        <v>26</v>
      </c>
      <c r="X70" s="11" t="s">
        <v>26</v>
      </c>
      <c r="Y70" s="11" t="s">
        <v>26</v>
      </c>
      <c r="Z70" s="11" t="s">
        <v>26</v>
      </c>
      <c r="AA70" s="10" t="s">
        <v>26</v>
      </c>
      <c r="AB70" s="11" t="s">
        <v>26</v>
      </c>
      <c r="AC70" s="11" t="s">
        <v>26</v>
      </c>
      <c r="AD70" s="11" t="s">
        <v>26</v>
      </c>
      <c r="AE70" s="10">
        <v>233558028.30000001</v>
      </c>
      <c r="AF70" s="11">
        <v>3.6975277211999998E-4</v>
      </c>
      <c r="AG70" s="11">
        <v>0.08</v>
      </c>
      <c r="AH70" s="11">
        <v>7.9600000000000004E-2</v>
      </c>
      <c r="AI70" s="10" t="s">
        <v>26</v>
      </c>
      <c r="AJ70" s="11" t="s">
        <v>26</v>
      </c>
      <c r="AK70" s="11" t="s">
        <v>26</v>
      </c>
      <c r="AL70" s="11" t="s">
        <v>26</v>
      </c>
      <c r="AM70" s="10" t="s">
        <v>26</v>
      </c>
      <c r="AN70" s="11" t="s">
        <v>26</v>
      </c>
      <c r="AO70" s="11" t="s">
        <v>26</v>
      </c>
      <c r="AP70" s="11" t="s">
        <v>26</v>
      </c>
      <c r="AQ70" s="10" t="s">
        <v>26</v>
      </c>
      <c r="AR70" s="11" t="s">
        <v>26</v>
      </c>
      <c r="AS70" s="11" t="s">
        <v>26</v>
      </c>
      <c r="AT70" s="11" t="s">
        <v>26</v>
      </c>
      <c r="AU70" s="10" t="s">
        <v>26</v>
      </c>
      <c r="AV70" s="11" t="s">
        <v>26</v>
      </c>
      <c r="AW70" s="11" t="s">
        <v>26</v>
      </c>
      <c r="AX70" s="11" t="s">
        <v>26</v>
      </c>
      <c r="AY70" s="10">
        <v>233558028.30000001</v>
      </c>
      <c r="AZ70" s="11">
        <v>3.2579434243999999E-4</v>
      </c>
      <c r="BA70" s="11">
        <v>0.08</v>
      </c>
      <c r="BB70" s="11">
        <v>7.9699999999999993E-2</v>
      </c>
    </row>
    <row r="71" spans="1:54" s="7" customFormat="1">
      <c r="A71" s="3" t="s">
        <v>67</v>
      </c>
      <c r="B71" s="31" t="s">
        <v>56</v>
      </c>
      <c r="C71" s="2">
        <v>83928845.180000007</v>
      </c>
      <c r="D71" s="1">
        <v>1</v>
      </c>
      <c r="E71" s="11" t="s">
        <v>26</v>
      </c>
      <c r="F71" s="11" t="s">
        <v>26</v>
      </c>
      <c r="G71" s="10" t="s">
        <v>26</v>
      </c>
      <c r="H71" s="11" t="s">
        <v>26</v>
      </c>
      <c r="I71" s="11" t="s">
        <v>26</v>
      </c>
      <c r="J71" s="11" t="s">
        <v>26</v>
      </c>
      <c r="K71" s="2">
        <v>62713810.649999999</v>
      </c>
      <c r="L71" s="1">
        <v>1</v>
      </c>
      <c r="M71" s="11" t="s">
        <v>26</v>
      </c>
      <c r="N71" s="11" t="s">
        <v>26</v>
      </c>
      <c r="O71" s="10" t="s">
        <v>26</v>
      </c>
      <c r="P71" s="11" t="s">
        <v>26</v>
      </c>
      <c r="Q71" s="11" t="s">
        <v>26</v>
      </c>
      <c r="R71" s="11" t="s">
        <v>26</v>
      </c>
      <c r="S71" s="2">
        <v>86915372.469999999</v>
      </c>
      <c r="T71" s="1">
        <v>1</v>
      </c>
      <c r="U71" s="11" t="s">
        <v>26</v>
      </c>
      <c r="V71" s="11" t="s">
        <v>26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 t="s">
        <v>26</v>
      </c>
      <c r="AB71" s="11" t="s">
        <v>26</v>
      </c>
      <c r="AC71" s="11" t="s">
        <v>26</v>
      </c>
      <c r="AD71" s="11" t="s">
        <v>26</v>
      </c>
      <c r="AE71" s="2">
        <v>233558028.30000001</v>
      </c>
      <c r="AF71" s="1">
        <v>1</v>
      </c>
      <c r="AG71" s="11" t="s">
        <v>26</v>
      </c>
      <c r="AH71" s="11" t="s">
        <v>26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2">
        <v>233558028.30000001</v>
      </c>
      <c r="AZ71" s="1">
        <v>1</v>
      </c>
      <c r="BA71" s="11" t="s">
        <v>26</v>
      </c>
      <c r="BB71" s="11" t="s">
        <v>26</v>
      </c>
    </row>
    <row r="72" spans="1:54" s="7" customFormat="1">
      <c r="A72" s="5" t="s">
        <v>66</v>
      </c>
      <c r="B72" s="24" t="s">
        <v>25</v>
      </c>
      <c r="C72" s="11" t="s">
        <v>26</v>
      </c>
      <c r="D72" s="11" t="s">
        <v>26</v>
      </c>
      <c r="E72" s="11" t="s">
        <v>26</v>
      </c>
      <c r="F72" s="11" t="s">
        <v>26</v>
      </c>
      <c r="G72" s="10">
        <v>605778500.45000005</v>
      </c>
      <c r="H72" s="11">
        <v>4.0898372628699999E-3</v>
      </c>
      <c r="I72" s="11">
        <v>0.08</v>
      </c>
      <c r="J72" s="11">
        <v>7.5899999999999995E-2</v>
      </c>
      <c r="K72" s="10">
        <v>82514332.760000005</v>
      </c>
      <c r="L72" s="11">
        <v>2.88056472265E-2</v>
      </c>
      <c r="M72" s="11">
        <v>0.08</v>
      </c>
      <c r="N72" s="11">
        <v>5.1200000000000002E-2</v>
      </c>
      <c r="O72" s="10">
        <v>459988781.75999999</v>
      </c>
      <c r="P72" s="11">
        <v>2.0764908231600001E-3</v>
      </c>
      <c r="Q72" s="11">
        <v>0.08</v>
      </c>
      <c r="R72" s="11">
        <f>+Q72-P72</f>
        <v>7.7923509176840003E-2</v>
      </c>
      <c r="S72" s="10">
        <v>100611464</v>
      </c>
      <c r="T72" s="11">
        <v>9.1285442663000004E-4</v>
      </c>
      <c r="U72" s="11">
        <v>0.08</v>
      </c>
      <c r="V72" s="11">
        <v>7.9100000000000004E-2</v>
      </c>
      <c r="W72" s="10" t="s">
        <v>26</v>
      </c>
      <c r="X72" s="11" t="s">
        <v>26</v>
      </c>
      <c r="Y72" s="11" t="s">
        <v>26</v>
      </c>
      <c r="Z72" s="11" t="s">
        <v>26</v>
      </c>
      <c r="AA72" s="10">
        <v>42570719.359999999</v>
      </c>
      <c r="AB72" s="11">
        <v>3.1153112124999999E-4</v>
      </c>
      <c r="AC72" s="11">
        <v>0.08</v>
      </c>
      <c r="AD72" s="11">
        <v>7.9699999999999993E-2</v>
      </c>
      <c r="AE72" s="10">
        <v>1291463798.3299999</v>
      </c>
      <c r="AF72" s="11">
        <v>2.0445553638200002E-3</v>
      </c>
      <c r="AG72" s="11">
        <v>6.1899999999999997E-2</v>
      </c>
      <c r="AH72" s="11">
        <v>5.9900000000000002E-2</v>
      </c>
      <c r="AI72" s="10" t="s">
        <v>26</v>
      </c>
      <c r="AJ72" s="11" t="s">
        <v>26</v>
      </c>
      <c r="AK72" s="11" t="s">
        <v>26</v>
      </c>
      <c r="AL72" s="11" t="s">
        <v>26</v>
      </c>
      <c r="AM72" s="10" t="s">
        <v>26</v>
      </c>
      <c r="AN72" s="11" t="s">
        <v>26</v>
      </c>
      <c r="AO72" s="11" t="s">
        <v>26</v>
      </c>
      <c r="AP72" s="11" t="s">
        <v>26</v>
      </c>
      <c r="AQ72" s="10" t="s">
        <v>26</v>
      </c>
      <c r="AR72" s="11" t="s">
        <v>26</v>
      </c>
      <c r="AS72" s="11" t="s">
        <v>26</v>
      </c>
      <c r="AT72" s="11" t="s">
        <v>26</v>
      </c>
      <c r="AU72" s="10">
        <v>100611464</v>
      </c>
      <c r="AV72" s="11">
        <v>2.2614479436099998E-3</v>
      </c>
      <c r="AW72" s="11">
        <v>0.08</v>
      </c>
      <c r="AX72" s="11">
        <v>7.7700000000000005E-2</v>
      </c>
      <c r="AY72" s="10">
        <v>1392075262.3299999</v>
      </c>
      <c r="AZ72" s="11">
        <v>1.9418311073E-3</v>
      </c>
      <c r="BA72" s="11">
        <v>6.3200000000000006E-2</v>
      </c>
      <c r="BB72" s="11">
        <v>6.13E-2</v>
      </c>
    </row>
    <row r="73" spans="1:54" s="7" customFormat="1">
      <c r="A73" s="3" t="s">
        <v>67</v>
      </c>
      <c r="B73" s="31" t="s">
        <v>56</v>
      </c>
      <c r="C73" s="11" t="s">
        <v>26</v>
      </c>
      <c r="D73" s="11" t="s">
        <v>26</v>
      </c>
      <c r="E73" s="11" t="s">
        <v>26</v>
      </c>
      <c r="F73" s="11" t="s">
        <v>26</v>
      </c>
      <c r="G73" s="2">
        <v>605778500.45000005</v>
      </c>
      <c r="H73" s="1">
        <v>1</v>
      </c>
      <c r="I73" s="11" t="s">
        <v>26</v>
      </c>
      <c r="J73" s="11" t="s">
        <v>26</v>
      </c>
      <c r="K73" s="2">
        <v>82514332.760000005</v>
      </c>
      <c r="L73" s="1">
        <v>1</v>
      </c>
      <c r="M73" s="11" t="s">
        <v>26</v>
      </c>
      <c r="N73" s="11" t="s">
        <v>26</v>
      </c>
      <c r="O73" s="2">
        <v>459988781.75999999</v>
      </c>
      <c r="P73" s="1">
        <f>+O73/O72</f>
        <v>1</v>
      </c>
      <c r="Q73" s="11" t="s">
        <v>26</v>
      </c>
      <c r="R73" s="11" t="s">
        <v>26</v>
      </c>
      <c r="S73" s="2">
        <v>100611464</v>
      </c>
      <c r="T73" s="1">
        <v>1</v>
      </c>
      <c r="U73" s="11" t="s">
        <v>26</v>
      </c>
      <c r="V73" s="11" t="s">
        <v>26</v>
      </c>
      <c r="W73" s="10" t="s">
        <v>26</v>
      </c>
      <c r="X73" s="11" t="s">
        <v>26</v>
      </c>
      <c r="Y73" s="11" t="s">
        <v>26</v>
      </c>
      <c r="Z73" s="11" t="s">
        <v>26</v>
      </c>
      <c r="AA73" s="2">
        <v>42570719.359999999</v>
      </c>
      <c r="AB73" s="1">
        <v>1</v>
      </c>
      <c r="AC73" s="11" t="s">
        <v>26</v>
      </c>
      <c r="AD73" s="11" t="s">
        <v>26</v>
      </c>
      <c r="AE73" s="2">
        <v>1291463798.3299999</v>
      </c>
      <c r="AF73" s="1">
        <f>+AE73/AE72</f>
        <v>1</v>
      </c>
      <c r="AG73" s="11" t="s">
        <v>26</v>
      </c>
      <c r="AH73" s="11" t="s">
        <v>26</v>
      </c>
      <c r="AI73" s="10" t="s">
        <v>26</v>
      </c>
      <c r="AJ73" s="11" t="s">
        <v>26</v>
      </c>
      <c r="AK73" s="11" t="s">
        <v>26</v>
      </c>
      <c r="AL73" s="11" t="s">
        <v>26</v>
      </c>
      <c r="AM73" s="10" t="s">
        <v>26</v>
      </c>
      <c r="AN73" s="11" t="s">
        <v>26</v>
      </c>
      <c r="AO73" s="11" t="s">
        <v>26</v>
      </c>
      <c r="AP73" s="11" t="s">
        <v>26</v>
      </c>
      <c r="AQ73" s="10" t="s">
        <v>26</v>
      </c>
      <c r="AR73" s="11" t="s">
        <v>26</v>
      </c>
      <c r="AS73" s="11" t="s">
        <v>26</v>
      </c>
      <c r="AT73" s="11" t="s">
        <v>26</v>
      </c>
      <c r="AU73" s="2">
        <v>100611464</v>
      </c>
      <c r="AV73" s="1">
        <v>1</v>
      </c>
      <c r="AW73" s="11" t="s">
        <v>26</v>
      </c>
      <c r="AX73" s="11" t="s">
        <v>26</v>
      </c>
      <c r="AY73" s="2">
        <v>1392075262.3299999</v>
      </c>
      <c r="AZ73" s="1">
        <f>+AY73/AY72</f>
        <v>1</v>
      </c>
      <c r="BA73" s="11" t="s">
        <v>26</v>
      </c>
      <c r="BB73" s="11" t="s">
        <v>26</v>
      </c>
    </row>
    <row r="74" spans="1:54" s="7" customFormat="1">
      <c r="A74" s="5" t="s">
        <v>68</v>
      </c>
      <c r="B74" s="24" t="s">
        <v>25</v>
      </c>
      <c r="C74" s="11" t="s">
        <v>26</v>
      </c>
      <c r="D74" s="11" t="s">
        <v>26</v>
      </c>
      <c r="E74" s="11" t="s">
        <v>26</v>
      </c>
      <c r="F74" s="11" t="s">
        <v>26</v>
      </c>
      <c r="G74" s="10">
        <v>526762498.19</v>
      </c>
      <c r="H74" s="11">
        <v>3.5563706737400001E-3</v>
      </c>
      <c r="I74" s="11">
        <v>0.09</v>
      </c>
      <c r="J74" s="11">
        <v>8.6400000000000005E-2</v>
      </c>
      <c r="K74" s="10" t="s">
        <v>26</v>
      </c>
      <c r="L74" s="11" t="s">
        <v>26</v>
      </c>
      <c r="M74" s="11" t="s">
        <v>26</v>
      </c>
      <c r="N74" s="11" t="s">
        <v>26</v>
      </c>
      <c r="O74" s="10">
        <v>1160392572.1500001</v>
      </c>
      <c r="P74" s="11">
        <v>5.2382680249500003E-3</v>
      </c>
      <c r="Q74" s="11">
        <v>0.09</v>
      </c>
      <c r="R74" s="11">
        <v>8.48E-2</v>
      </c>
      <c r="S74" s="10">
        <v>530193051.60000002</v>
      </c>
      <c r="T74" s="11">
        <v>4.8104764097600004E-3</v>
      </c>
      <c r="U74" s="11">
        <v>0.09</v>
      </c>
      <c r="V74" s="11">
        <v>8.5199999999999998E-2</v>
      </c>
      <c r="W74" s="10" t="s">
        <v>26</v>
      </c>
      <c r="X74" s="11" t="s">
        <v>26</v>
      </c>
      <c r="Y74" s="11" t="s">
        <v>26</v>
      </c>
      <c r="Z74" s="11" t="s">
        <v>26</v>
      </c>
      <c r="AA74" s="10">
        <v>1411953031.5599999</v>
      </c>
      <c r="AB74" s="11">
        <v>1.033262575049E-2</v>
      </c>
      <c r="AC74" s="11">
        <v>0.09</v>
      </c>
      <c r="AD74" s="11">
        <v>7.9699999999999993E-2</v>
      </c>
      <c r="AE74" s="10">
        <v>3629301153.5</v>
      </c>
      <c r="AF74" s="11">
        <v>5.7456563241699999E-3</v>
      </c>
      <c r="AG74" s="11">
        <v>0.09</v>
      </c>
      <c r="AH74" s="11">
        <v>8.43E-2</v>
      </c>
      <c r="AI74" s="10">
        <v>98893888.780000001</v>
      </c>
      <c r="AJ74" s="11">
        <v>5.83400810997E-3</v>
      </c>
      <c r="AK74" s="11">
        <v>0.09</v>
      </c>
      <c r="AL74" s="11">
        <v>8.4199999999999997E-2</v>
      </c>
      <c r="AM74" s="10">
        <v>13919496.279999999</v>
      </c>
      <c r="AN74" s="11">
        <v>5.8517684291000001E-4</v>
      </c>
      <c r="AO74" s="11">
        <v>0.09</v>
      </c>
      <c r="AP74" s="11">
        <v>8.9399999999999993E-2</v>
      </c>
      <c r="AQ74" s="10">
        <v>112813385.06</v>
      </c>
      <c r="AR74" s="11">
        <v>2.7692354950899999E-3</v>
      </c>
      <c r="AS74" s="11">
        <v>0.09</v>
      </c>
      <c r="AT74" s="11">
        <v>8.72E-2</v>
      </c>
      <c r="AU74" s="10">
        <v>191217135.61000001</v>
      </c>
      <c r="AV74" s="11">
        <v>4.2979952871700002E-3</v>
      </c>
      <c r="AW74" s="11">
        <v>0.09</v>
      </c>
      <c r="AX74" s="11">
        <v>8.5699999999999998E-2</v>
      </c>
      <c r="AY74" s="10">
        <v>3933331674.1700001</v>
      </c>
      <c r="AZ74" s="11">
        <v>5.4866759053200003E-3</v>
      </c>
      <c r="BA74" s="11">
        <v>0.09</v>
      </c>
      <c r="BB74" s="11">
        <v>8.4500000000000006E-2</v>
      </c>
    </row>
    <row r="75" spans="1:54" s="7" customFormat="1">
      <c r="A75" s="3" t="s">
        <v>67</v>
      </c>
      <c r="B75" s="31" t="s">
        <v>37</v>
      </c>
      <c r="C75" s="11" t="s">
        <v>26</v>
      </c>
      <c r="D75" s="11" t="s">
        <v>26</v>
      </c>
      <c r="E75" s="11" t="s">
        <v>26</v>
      </c>
      <c r="F75" s="11" t="s">
        <v>26</v>
      </c>
      <c r="G75" s="2">
        <v>526762498.19</v>
      </c>
      <c r="H75" s="1">
        <v>1</v>
      </c>
      <c r="I75" s="11" t="s">
        <v>26</v>
      </c>
      <c r="J75" s="11" t="s">
        <v>26</v>
      </c>
      <c r="K75" s="10" t="s">
        <v>26</v>
      </c>
      <c r="L75" s="11" t="s">
        <v>26</v>
      </c>
      <c r="M75" s="11" t="s">
        <v>26</v>
      </c>
      <c r="N75" s="11" t="s">
        <v>26</v>
      </c>
      <c r="O75" s="2">
        <v>1160392572.1500001</v>
      </c>
      <c r="P75" s="1">
        <v>1</v>
      </c>
      <c r="Q75" s="11" t="s">
        <v>26</v>
      </c>
      <c r="R75" s="11" t="s">
        <v>26</v>
      </c>
      <c r="S75" s="2">
        <v>530193051.60000002</v>
      </c>
      <c r="T75" s="1">
        <v>1</v>
      </c>
      <c r="U75" s="11" t="s">
        <v>26</v>
      </c>
      <c r="V75" s="11" t="s">
        <v>26</v>
      </c>
      <c r="W75" s="10" t="s">
        <v>26</v>
      </c>
      <c r="X75" s="11" t="s">
        <v>26</v>
      </c>
      <c r="Y75" s="11" t="s">
        <v>26</v>
      </c>
      <c r="Z75" s="11" t="s">
        <v>26</v>
      </c>
      <c r="AA75" s="2">
        <v>1411953031.5599999</v>
      </c>
      <c r="AB75" s="1">
        <v>1</v>
      </c>
      <c r="AC75" s="11" t="s">
        <v>26</v>
      </c>
      <c r="AD75" s="11" t="s">
        <v>26</v>
      </c>
      <c r="AE75" s="2">
        <v>3629301153.5</v>
      </c>
      <c r="AF75" s="1">
        <v>1</v>
      </c>
      <c r="AG75" s="11" t="s">
        <v>26</v>
      </c>
      <c r="AH75" s="11" t="s">
        <v>26</v>
      </c>
      <c r="AI75" s="2">
        <v>98893888.780000001</v>
      </c>
      <c r="AJ75" s="1">
        <v>1</v>
      </c>
      <c r="AK75" s="11" t="s">
        <v>26</v>
      </c>
      <c r="AL75" s="11" t="s">
        <v>26</v>
      </c>
      <c r="AM75" s="2">
        <v>13919496.279999999</v>
      </c>
      <c r="AN75" s="1">
        <v>1</v>
      </c>
      <c r="AO75" s="11" t="s">
        <v>26</v>
      </c>
      <c r="AP75" s="11" t="s">
        <v>26</v>
      </c>
      <c r="AQ75" s="2">
        <v>112813385.06</v>
      </c>
      <c r="AR75" s="1">
        <v>1</v>
      </c>
      <c r="AS75" s="11" t="s">
        <v>26</v>
      </c>
      <c r="AT75" s="11" t="s">
        <v>26</v>
      </c>
      <c r="AU75" s="2">
        <v>191217135.61000001</v>
      </c>
      <c r="AV75" s="1">
        <v>1</v>
      </c>
      <c r="AW75" s="11" t="s">
        <v>26</v>
      </c>
      <c r="AX75" s="11" t="s">
        <v>26</v>
      </c>
      <c r="AY75" s="2">
        <v>3933331674.1700001</v>
      </c>
      <c r="AZ75" s="1">
        <v>1</v>
      </c>
      <c r="BA75" s="11" t="s">
        <v>26</v>
      </c>
      <c r="BB75" s="11" t="s">
        <v>26</v>
      </c>
    </row>
    <row r="76" spans="1:54" s="7" customFormat="1">
      <c r="A76" s="5" t="s">
        <v>69</v>
      </c>
      <c r="B76" s="24" t="s">
        <v>25</v>
      </c>
      <c r="C76" s="10">
        <v>314086792.45999998</v>
      </c>
      <c r="D76" s="11">
        <v>5.1102274459790001E-2</v>
      </c>
      <c r="E76" s="11">
        <v>0.08</v>
      </c>
      <c r="F76" s="11">
        <v>2.8899999999999999E-2</v>
      </c>
      <c r="G76" s="10">
        <v>473247423.43000001</v>
      </c>
      <c r="H76" s="11">
        <v>3.1950703854E-3</v>
      </c>
      <c r="I76" s="11">
        <v>0.08</v>
      </c>
      <c r="J76" s="11">
        <v>7.6799999999999993E-2</v>
      </c>
      <c r="K76" s="10">
        <v>166425880.75999999</v>
      </c>
      <c r="L76" s="11">
        <v>5.8099060492639999E-2</v>
      </c>
      <c r="M76" s="11">
        <v>0.08</v>
      </c>
      <c r="N76" s="11">
        <v>2.1899999999999999E-2</v>
      </c>
      <c r="O76" s="10">
        <v>1459928537.3900001</v>
      </c>
      <c r="P76" s="11">
        <v>6.59043944237E-3</v>
      </c>
      <c r="Q76" s="11">
        <v>0.08</v>
      </c>
      <c r="R76" s="11">
        <v>7.3400000000000007E-2</v>
      </c>
      <c r="S76" s="10">
        <v>314860297.55000001</v>
      </c>
      <c r="T76" s="11">
        <v>2.8567481772200001E-3</v>
      </c>
      <c r="U76" s="11">
        <v>0.08</v>
      </c>
      <c r="V76" s="11">
        <v>7.7100000000000002E-2</v>
      </c>
      <c r="W76" s="10" t="s">
        <v>26</v>
      </c>
      <c r="X76" s="11" t="s">
        <v>26</v>
      </c>
      <c r="Y76" s="11" t="s">
        <v>26</v>
      </c>
      <c r="Z76" s="11" t="s">
        <v>26</v>
      </c>
      <c r="AA76" s="10" t="s">
        <v>26</v>
      </c>
      <c r="AB76" s="11" t="s">
        <v>26</v>
      </c>
      <c r="AC76" s="11" t="s">
        <v>26</v>
      </c>
      <c r="AD76" s="11" t="s">
        <v>26</v>
      </c>
      <c r="AE76" s="10">
        <v>2728548931.5900002</v>
      </c>
      <c r="AF76" s="11">
        <v>4.3196482632700001E-3</v>
      </c>
      <c r="AG76" s="11">
        <v>0.08</v>
      </c>
      <c r="AH76" s="11">
        <v>7.5700000000000003E-2</v>
      </c>
      <c r="AI76" s="10" t="s">
        <v>26</v>
      </c>
      <c r="AJ76" s="11" t="s">
        <v>26</v>
      </c>
      <c r="AK76" s="11" t="s">
        <v>26</v>
      </c>
      <c r="AL76" s="11" t="s">
        <v>26</v>
      </c>
      <c r="AM76" s="10" t="s">
        <v>26</v>
      </c>
      <c r="AN76" s="11" t="s">
        <v>26</v>
      </c>
      <c r="AO76" s="11" t="s">
        <v>26</v>
      </c>
      <c r="AP76" s="11" t="s">
        <v>26</v>
      </c>
      <c r="AQ76" s="10" t="s">
        <v>26</v>
      </c>
      <c r="AR76" s="11" t="s">
        <v>26</v>
      </c>
      <c r="AS76" s="11" t="s">
        <v>26</v>
      </c>
      <c r="AT76" s="11" t="s">
        <v>26</v>
      </c>
      <c r="AU76" s="10" t="s">
        <v>26</v>
      </c>
      <c r="AV76" s="11" t="s">
        <v>26</v>
      </c>
      <c r="AW76" s="11" t="s">
        <v>26</v>
      </c>
      <c r="AX76" s="11" t="s">
        <v>26</v>
      </c>
      <c r="AY76" s="10">
        <v>2728548931.5900002</v>
      </c>
      <c r="AZ76" s="11">
        <v>3.8061025409399998E-3</v>
      </c>
      <c r="BA76" s="11">
        <v>0.08</v>
      </c>
      <c r="BB76" s="11">
        <v>7.6200000000000004E-2</v>
      </c>
    </row>
    <row r="77" spans="1:54" s="7" customFormat="1">
      <c r="A77" s="3" t="s">
        <v>67</v>
      </c>
      <c r="B77" s="31" t="s">
        <v>56</v>
      </c>
      <c r="C77" s="2">
        <v>314086792.45999998</v>
      </c>
      <c r="D77" s="1">
        <v>1</v>
      </c>
      <c r="E77" s="11" t="s">
        <v>26</v>
      </c>
      <c r="F77" s="11" t="s">
        <v>26</v>
      </c>
      <c r="G77" s="2">
        <v>473247423.43000001</v>
      </c>
      <c r="H77" s="1">
        <v>1</v>
      </c>
      <c r="I77" s="11" t="s">
        <v>26</v>
      </c>
      <c r="J77" s="11" t="s">
        <v>26</v>
      </c>
      <c r="K77" s="2">
        <v>166425880.75999999</v>
      </c>
      <c r="L77" s="1">
        <v>1</v>
      </c>
      <c r="M77" s="11" t="s">
        <v>26</v>
      </c>
      <c r="N77" s="11" t="s">
        <v>26</v>
      </c>
      <c r="O77" s="2">
        <v>1459928537.3900001</v>
      </c>
      <c r="P77" s="1">
        <v>1</v>
      </c>
      <c r="Q77" s="11" t="s">
        <v>26</v>
      </c>
      <c r="R77" s="11" t="s">
        <v>26</v>
      </c>
      <c r="S77" s="2">
        <v>314860297.55000001</v>
      </c>
      <c r="T77" s="1">
        <v>1</v>
      </c>
      <c r="U77" s="11" t="s">
        <v>26</v>
      </c>
      <c r="V77" s="11" t="s">
        <v>26</v>
      </c>
      <c r="W77" s="10" t="s">
        <v>26</v>
      </c>
      <c r="X77" s="11" t="s">
        <v>26</v>
      </c>
      <c r="Y77" s="11" t="s">
        <v>26</v>
      </c>
      <c r="Z77" s="11" t="s">
        <v>26</v>
      </c>
      <c r="AA77" s="10" t="s">
        <v>26</v>
      </c>
      <c r="AB77" s="11" t="s">
        <v>26</v>
      </c>
      <c r="AC77" s="11" t="s">
        <v>26</v>
      </c>
      <c r="AD77" s="11" t="s">
        <v>26</v>
      </c>
      <c r="AE77" s="2">
        <v>2728548931.5900002</v>
      </c>
      <c r="AF77" s="1">
        <v>1</v>
      </c>
      <c r="AG77" s="11" t="s">
        <v>26</v>
      </c>
      <c r="AH77" s="11" t="s">
        <v>26</v>
      </c>
      <c r="AI77" s="10" t="s">
        <v>26</v>
      </c>
      <c r="AJ77" s="11" t="s">
        <v>26</v>
      </c>
      <c r="AK77" s="11" t="s">
        <v>26</v>
      </c>
      <c r="AL77" s="11" t="s">
        <v>26</v>
      </c>
      <c r="AM77" s="10" t="s">
        <v>26</v>
      </c>
      <c r="AN77" s="11" t="s">
        <v>26</v>
      </c>
      <c r="AO77" s="11" t="s">
        <v>26</v>
      </c>
      <c r="AP77" s="11" t="s">
        <v>26</v>
      </c>
      <c r="AQ77" s="10" t="s">
        <v>26</v>
      </c>
      <c r="AR77" s="11" t="s">
        <v>26</v>
      </c>
      <c r="AS77" s="11" t="s">
        <v>26</v>
      </c>
      <c r="AT77" s="11" t="s">
        <v>26</v>
      </c>
      <c r="AU77" s="10" t="s">
        <v>26</v>
      </c>
      <c r="AV77" s="11" t="s">
        <v>26</v>
      </c>
      <c r="AW77" s="11" t="s">
        <v>26</v>
      </c>
      <c r="AX77" s="11" t="s">
        <v>26</v>
      </c>
      <c r="AY77" s="2">
        <v>2728548931.5900002</v>
      </c>
      <c r="AZ77" s="1">
        <v>1</v>
      </c>
      <c r="BA77" s="11" t="s">
        <v>26</v>
      </c>
      <c r="BB77" s="11" t="s">
        <v>26</v>
      </c>
    </row>
    <row r="78" spans="1:54" s="7" customFormat="1">
      <c r="A78" s="5" t="s">
        <v>70</v>
      </c>
      <c r="B78" s="24" t="s">
        <v>25</v>
      </c>
      <c r="C78" s="11" t="s">
        <v>26</v>
      </c>
      <c r="D78" s="11" t="s">
        <v>26</v>
      </c>
      <c r="E78" s="11" t="s">
        <v>26</v>
      </c>
      <c r="F78" s="11" t="s">
        <v>26</v>
      </c>
      <c r="G78" s="10">
        <v>2671715145.1100001</v>
      </c>
      <c r="H78" s="11">
        <v>1.8037748365330002E-2</v>
      </c>
      <c r="I78" s="11">
        <v>0.09</v>
      </c>
      <c r="J78" s="11">
        <v>7.1999999999999995E-2</v>
      </c>
      <c r="K78" s="10" t="s">
        <v>26</v>
      </c>
      <c r="L78" s="11" t="s">
        <v>26</v>
      </c>
      <c r="M78" s="11" t="s">
        <v>26</v>
      </c>
      <c r="N78" s="11" t="s">
        <v>26</v>
      </c>
      <c r="O78" s="10">
        <v>2249167241.6799998</v>
      </c>
      <c r="P78" s="11">
        <v>1.015323704032E-2</v>
      </c>
      <c r="Q78" s="11">
        <v>0.09</v>
      </c>
      <c r="R78" s="11">
        <v>7.9799999999999996E-2</v>
      </c>
      <c r="S78" s="10">
        <v>1408048923.3800001</v>
      </c>
      <c r="T78" s="11">
        <v>1.2775320440859999E-2</v>
      </c>
      <c r="U78" s="11">
        <v>0.09</v>
      </c>
      <c r="V78" s="11">
        <v>7.7200000000000005E-2</v>
      </c>
      <c r="W78" s="10" t="s">
        <v>26</v>
      </c>
      <c r="X78" s="11" t="s">
        <v>26</v>
      </c>
      <c r="Y78" s="11" t="s">
        <v>26</v>
      </c>
      <c r="Z78" s="11" t="s">
        <v>26</v>
      </c>
      <c r="AA78" s="10">
        <v>1876967401.8900001</v>
      </c>
      <c r="AB78" s="11">
        <v>1.373558558684E-2</v>
      </c>
      <c r="AC78" s="11">
        <v>0.09</v>
      </c>
      <c r="AD78" s="11">
        <v>7.6300000000000007E-2</v>
      </c>
      <c r="AE78" s="10">
        <v>8205898712.0600004</v>
      </c>
      <c r="AF78" s="11">
        <v>1.299100621202E-2</v>
      </c>
      <c r="AG78" s="11">
        <v>0.09</v>
      </c>
      <c r="AH78" s="11">
        <v>7.6999999999999999E-2</v>
      </c>
      <c r="AI78" s="10">
        <v>16723231.99</v>
      </c>
      <c r="AJ78" s="11">
        <v>9.8654701779999992E-4</v>
      </c>
      <c r="AK78" s="11">
        <v>0.09</v>
      </c>
      <c r="AL78" s="11">
        <v>8.8999999999999996E-2</v>
      </c>
      <c r="AM78" s="10">
        <v>119672881.76000001</v>
      </c>
      <c r="AN78" s="11">
        <v>5.0310584321500004E-3</v>
      </c>
      <c r="AO78" s="11">
        <v>0.09</v>
      </c>
      <c r="AP78" s="11">
        <v>8.5000000000000006E-2</v>
      </c>
      <c r="AQ78" s="10">
        <v>136396113.75</v>
      </c>
      <c r="AR78" s="11">
        <v>3.34812185086E-3</v>
      </c>
      <c r="AS78" s="11">
        <v>0.09</v>
      </c>
      <c r="AT78" s="11">
        <v>8.6699999999999999E-2</v>
      </c>
      <c r="AU78" s="10">
        <v>493017044.14999998</v>
      </c>
      <c r="AV78" s="11">
        <v>1.1081564031859999E-2</v>
      </c>
      <c r="AW78" s="11">
        <v>0.09</v>
      </c>
      <c r="AX78" s="11">
        <v>7.8899999999999998E-2</v>
      </c>
      <c r="AY78" s="10">
        <v>8835311869.9599991</v>
      </c>
      <c r="AZ78" s="11">
        <v>1.232453725457E-2</v>
      </c>
      <c r="BA78" s="11">
        <v>0.09</v>
      </c>
      <c r="BB78" s="11">
        <v>7.7700000000000005E-2</v>
      </c>
    </row>
    <row r="79" spans="1:54" s="7" customFormat="1">
      <c r="A79" s="3" t="s">
        <v>67</v>
      </c>
      <c r="B79" s="31" t="s">
        <v>37</v>
      </c>
      <c r="C79" s="11" t="s">
        <v>26</v>
      </c>
      <c r="D79" s="11" t="s">
        <v>26</v>
      </c>
      <c r="E79" s="11" t="s">
        <v>26</v>
      </c>
      <c r="F79" s="11" t="s">
        <v>26</v>
      </c>
      <c r="G79" s="2">
        <v>2671715145.1100001</v>
      </c>
      <c r="H79" s="1">
        <v>1</v>
      </c>
      <c r="I79" s="11" t="s">
        <v>26</v>
      </c>
      <c r="J79" s="11" t="s">
        <v>26</v>
      </c>
      <c r="K79" s="10" t="s">
        <v>26</v>
      </c>
      <c r="L79" s="11" t="s">
        <v>26</v>
      </c>
      <c r="M79" s="11" t="s">
        <v>26</v>
      </c>
      <c r="N79" s="11" t="s">
        <v>26</v>
      </c>
      <c r="O79" s="2">
        <v>2249167241.6799998</v>
      </c>
      <c r="P79" s="1">
        <v>1</v>
      </c>
      <c r="Q79" s="11" t="s">
        <v>26</v>
      </c>
      <c r="R79" s="11" t="s">
        <v>26</v>
      </c>
      <c r="S79" s="2">
        <v>1408048923.3800001</v>
      </c>
      <c r="T79" s="1">
        <v>1</v>
      </c>
      <c r="U79" s="11" t="s">
        <v>26</v>
      </c>
      <c r="V79" s="11" t="s">
        <v>26</v>
      </c>
      <c r="W79" s="10" t="s">
        <v>26</v>
      </c>
      <c r="X79" s="11" t="s">
        <v>26</v>
      </c>
      <c r="Y79" s="11" t="s">
        <v>26</v>
      </c>
      <c r="Z79" s="11" t="s">
        <v>26</v>
      </c>
      <c r="AA79" s="2">
        <v>1876967401.8900001</v>
      </c>
      <c r="AB79" s="1">
        <v>1</v>
      </c>
      <c r="AC79" s="11" t="s">
        <v>26</v>
      </c>
      <c r="AD79" s="11" t="s">
        <v>26</v>
      </c>
      <c r="AE79" s="2">
        <v>8205898712.0600004</v>
      </c>
      <c r="AF79" s="1">
        <v>1</v>
      </c>
      <c r="AG79" s="11" t="s">
        <v>26</v>
      </c>
      <c r="AH79" s="11" t="s">
        <v>26</v>
      </c>
      <c r="AI79" s="2">
        <v>16723231.99</v>
      </c>
      <c r="AJ79" s="1">
        <v>1</v>
      </c>
      <c r="AK79" s="1" t="s">
        <v>25</v>
      </c>
      <c r="AL79" s="1" t="s">
        <v>25</v>
      </c>
      <c r="AM79" s="2">
        <v>119672881.76000001</v>
      </c>
      <c r="AN79" s="1">
        <v>1</v>
      </c>
      <c r="AO79" s="11" t="s">
        <v>26</v>
      </c>
      <c r="AP79" s="11" t="s">
        <v>26</v>
      </c>
      <c r="AQ79" s="2">
        <v>136396113.75</v>
      </c>
      <c r="AR79" s="1">
        <v>1</v>
      </c>
      <c r="AS79" s="11" t="s">
        <v>26</v>
      </c>
      <c r="AT79" s="11" t="s">
        <v>26</v>
      </c>
      <c r="AU79" s="2">
        <v>493017044.14999998</v>
      </c>
      <c r="AV79" s="1">
        <v>1</v>
      </c>
      <c r="AW79" s="11" t="s">
        <v>26</v>
      </c>
      <c r="AX79" s="11" t="s">
        <v>26</v>
      </c>
      <c r="AY79" s="2">
        <v>8835311869.9599991</v>
      </c>
      <c r="AZ79" s="1">
        <v>1</v>
      </c>
      <c r="BA79" s="11" t="s">
        <v>26</v>
      </c>
      <c r="BB79" s="11" t="s">
        <v>26</v>
      </c>
    </row>
    <row r="80" spans="1:54" s="7" customFormat="1">
      <c r="A80" s="5" t="s">
        <v>71</v>
      </c>
      <c r="B80" s="24" t="s">
        <v>25</v>
      </c>
      <c r="C80" s="10">
        <v>87691312.489999995</v>
      </c>
      <c r="D80" s="11">
        <v>1.426747518896E-2</v>
      </c>
      <c r="E80" s="11">
        <v>0.08</v>
      </c>
      <c r="F80" s="11">
        <v>6.5699999999999995E-2</v>
      </c>
      <c r="G80" s="10">
        <v>223075137.69</v>
      </c>
      <c r="H80" s="11">
        <v>1.50606370128E-3</v>
      </c>
      <c r="I80" s="11">
        <v>0.08</v>
      </c>
      <c r="J80" s="11">
        <v>7.85E-2</v>
      </c>
      <c r="K80" s="10">
        <v>105546570.37</v>
      </c>
      <c r="L80" s="11">
        <v>3.6846171693450003E-2</v>
      </c>
      <c r="M80" s="11">
        <v>0.08</v>
      </c>
      <c r="N80" s="11">
        <v>4.3200000000000002E-2</v>
      </c>
      <c r="O80" s="10">
        <v>2751247390.21</v>
      </c>
      <c r="P80" s="11">
        <v>1.2419737577399999E-2</v>
      </c>
      <c r="Q80" s="11">
        <v>0.08</v>
      </c>
      <c r="R80" s="11">
        <v>6.7599999999999993E-2</v>
      </c>
      <c r="S80" s="10">
        <v>2902102175.4099998</v>
      </c>
      <c r="T80" s="11">
        <v>2.6330963809119999E-2</v>
      </c>
      <c r="U80" s="11">
        <v>0.08</v>
      </c>
      <c r="V80" s="11">
        <v>5.3699999999999998E-2</v>
      </c>
      <c r="W80" s="10" t="s">
        <v>26</v>
      </c>
      <c r="X80" s="11" t="s">
        <v>26</v>
      </c>
      <c r="Y80" s="11" t="s">
        <v>26</v>
      </c>
      <c r="Z80" s="11" t="s">
        <v>26</v>
      </c>
      <c r="AA80" s="10">
        <v>1890862798.55</v>
      </c>
      <c r="AB80" s="11">
        <v>1.383727164164E-2</v>
      </c>
      <c r="AC80" s="11">
        <v>0.08</v>
      </c>
      <c r="AD80" s="11">
        <v>6.6199999999999995E-2</v>
      </c>
      <c r="AE80" s="10">
        <v>7960525384.7200003</v>
      </c>
      <c r="AF80" s="11">
        <v>1.2602548282960001E-2</v>
      </c>
      <c r="AG80" s="11">
        <v>0.08</v>
      </c>
      <c r="AH80" s="11">
        <v>6.7400000000000002E-2</v>
      </c>
      <c r="AI80" s="10">
        <v>618473451.15999997</v>
      </c>
      <c r="AJ80" s="11">
        <v>3.648535995886E-2</v>
      </c>
      <c r="AK80" s="11">
        <v>0.08</v>
      </c>
      <c r="AL80" s="11">
        <v>4.3499999999999997E-2</v>
      </c>
      <c r="AM80" s="10">
        <v>1695483832.9000001</v>
      </c>
      <c r="AN80" s="11">
        <v>7.1278288854040001E-2</v>
      </c>
      <c r="AO80" s="11">
        <v>0.08</v>
      </c>
      <c r="AP80" s="11">
        <v>8.6999999999999994E-3</v>
      </c>
      <c r="AQ80" s="10">
        <v>2313957284.0599999</v>
      </c>
      <c r="AR80" s="11">
        <v>5.6800818818940002E-2</v>
      </c>
      <c r="AS80" s="11">
        <v>0.08</v>
      </c>
      <c r="AT80" s="11">
        <v>2.3199999999999998E-2</v>
      </c>
      <c r="AU80" s="10">
        <v>713972564.76999998</v>
      </c>
      <c r="AV80" s="11">
        <v>1.6047990201099999E-2</v>
      </c>
      <c r="AW80" s="11">
        <v>0.08</v>
      </c>
      <c r="AX80" s="11">
        <v>6.4000000000000001E-2</v>
      </c>
      <c r="AY80" s="10">
        <v>10988455233.549999</v>
      </c>
      <c r="AZ80" s="11">
        <v>1.532799610125E-2</v>
      </c>
      <c r="BA80" s="11">
        <v>0.08</v>
      </c>
      <c r="BB80" s="11">
        <v>6.4699999999999994E-2</v>
      </c>
    </row>
    <row r="81" spans="1:54" s="7" customFormat="1">
      <c r="A81" s="3" t="s">
        <v>67</v>
      </c>
      <c r="B81" s="31" t="s">
        <v>56</v>
      </c>
      <c r="C81" s="2">
        <v>87691312.489999995</v>
      </c>
      <c r="D81" s="1">
        <v>1</v>
      </c>
      <c r="E81" s="11" t="s">
        <v>26</v>
      </c>
      <c r="F81" s="11" t="s">
        <v>26</v>
      </c>
      <c r="G81" s="2">
        <v>223075137.69</v>
      </c>
      <c r="H81" s="1">
        <v>1</v>
      </c>
      <c r="I81" s="11" t="s">
        <v>26</v>
      </c>
      <c r="J81" s="11" t="s">
        <v>26</v>
      </c>
      <c r="K81" s="2">
        <v>105546570.37</v>
      </c>
      <c r="L81" s="1">
        <v>1</v>
      </c>
      <c r="M81" s="11" t="s">
        <v>26</v>
      </c>
      <c r="N81" s="11" t="s">
        <v>26</v>
      </c>
      <c r="O81" s="2">
        <v>2751247390.21</v>
      </c>
      <c r="P81" s="1">
        <v>1</v>
      </c>
      <c r="Q81" s="11" t="s">
        <v>26</v>
      </c>
      <c r="R81" s="11" t="s">
        <v>26</v>
      </c>
      <c r="S81" s="2">
        <v>2902102175.4099998</v>
      </c>
      <c r="T81" s="1">
        <v>1</v>
      </c>
      <c r="U81" s="11" t="s">
        <v>26</v>
      </c>
      <c r="V81" s="11" t="s">
        <v>26</v>
      </c>
      <c r="W81" s="10" t="s">
        <v>26</v>
      </c>
      <c r="X81" s="11" t="s">
        <v>26</v>
      </c>
      <c r="Y81" s="11" t="s">
        <v>26</v>
      </c>
      <c r="Z81" s="11" t="s">
        <v>26</v>
      </c>
      <c r="AA81" s="2">
        <v>1890862798.55</v>
      </c>
      <c r="AB81" s="1">
        <v>1</v>
      </c>
      <c r="AC81" s="11" t="s">
        <v>26</v>
      </c>
      <c r="AD81" s="11" t="s">
        <v>26</v>
      </c>
      <c r="AE81" s="2">
        <v>7960525384.7200003</v>
      </c>
      <c r="AF81" s="1">
        <v>1</v>
      </c>
      <c r="AG81" s="11" t="s">
        <v>26</v>
      </c>
      <c r="AH81" s="11" t="s">
        <v>26</v>
      </c>
      <c r="AI81" s="2">
        <v>618473451.15999997</v>
      </c>
      <c r="AJ81" s="1">
        <v>1</v>
      </c>
      <c r="AK81" s="11" t="s">
        <v>26</v>
      </c>
      <c r="AL81" s="11" t="s">
        <v>26</v>
      </c>
      <c r="AM81" s="2">
        <v>1695483832.9000001</v>
      </c>
      <c r="AN81" s="1">
        <v>1</v>
      </c>
      <c r="AO81" s="11" t="s">
        <v>26</v>
      </c>
      <c r="AP81" s="11" t="s">
        <v>26</v>
      </c>
      <c r="AQ81" s="2">
        <v>2313957284.0599999</v>
      </c>
      <c r="AR81" s="1">
        <v>1</v>
      </c>
      <c r="AS81" s="11" t="s">
        <v>26</v>
      </c>
      <c r="AT81" s="11" t="s">
        <v>26</v>
      </c>
      <c r="AU81" s="2">
        <v>713972564.76999998</v>
      </c>
      <c r="AV81" s="1">
        <v>1</v>
      </c>
      <c r="AW81" s="11" t="s">
        <v>26</v>
      </c>
      <c r="AX81" s="11" t="s">
        <v>26</v>
      </c>
      <c r="AY81" s="2">
        <v>10988455233.549999</v>
      </c>
      <c r="AZ81" s="1">
        <v>1</v>
      </c>
      <c r="BA81" s="11" t="s">
        <v>26</v>
      </c>
      <c r="BB81" s="11" t="s">
        <v>26</v>
      </c>
    </row>
    <row r="82" spans="1:54" s="7" customFormat="1">
      <c r="A82" s="5" t="s">
        <v>72</v>
      </c>
      <c r="B82" s="24" t="s">
        <v>25</v>
      </c>
      <c r="C82" s="10">
        <v>173218133.19999999</v>
      </c>
      <c r="D82" s="11">
        <v>2.8182785130410001E-2</v>
      </c>
      <c r="E82" s="11">
        <v>0.08</v>
      </c>
      <c r="F82" s="11">
        <v>5.1799999999999999E-2</v>
      </c>
      <c r="G82" s="10">
        <v>872148745.78999996</v>
      </c>
      <c r="H82" s="11">
        <v>5.8882024314900003E-3</v>
      </c>
      <c r="I82" s="11">
        <v>0.08</v>
      </c>
      <c r="J82" s="11">
        <v>7.4099999999999999E-2</v>
      </c>
      <c r="K82" s="10">
        <v>107822037.25</v>
      </c>
      <c r="L82" s="11">
        <v>3.7640534248760002E-2</v>
      </c>
      <c r="M82" s="11">
        <v>0.08</v>
      </c>
      <c r="N82" s="11">
        <v>4.24E-2</v>
      </c>
      <c r="O82" s="10">
        <v>1862259772.73</v>
      </c>
      <c r="P82" s="11">
        <v>8.40665138314E-3</v>
      </c>
      <c r="Q82" s="11">
        <v>0.08</v>
      </c>
      <c r="R82" s="11">
        <v>7.1599999999999997E-2</v>
      </c>
      <c r="S82" s="10" t="s">
        <v>26</v>
      </c>
      <c r="T82" s="11" t="s">
        <v>26</v>
      </c>
      <c r="U82" s="11" t="s">
        <v>26</v>
      </c>
      <c r="V82" s="11" t="s">
        <v>26</v>
      </c>
      <c r="W82" s="10" t="s">
        <v>26</v>
      </c>
      <c r="X82" s="11" t="s">
        <v>26</v>
      </c>
      <c r="Y82" s="11" t="s">
        <v>26</v>
      </c>
      <c r="Z82" s="11" t="s">
        <v>26</v>
      </c>
      <c r="AA82" s="10" t="s">
        <v>26</v>
      </c>
      <c r="AB82" s="11" t="s">
        <v>26</v>
      </c>
      <c r="AC82" s="11" t="s">
        <v>26</v>
      </c>
      <c r="AD82" s="11" t="s">
        <v>26</v>
      </c>
      <c r="AE82" s="10">
        <v>3015448688.9699998</v>
      </c>
      <c r="AF82" s="11">
        <v>4.7738479385400004E-3</v>
      </c>
      <c r="AG82" s="11">
        <v>0.08</v>
      </c>
      <c r="AH82" s="11">
        <v>7.5200000000000003E-2</v>
      </c>
      <c r="AI82" s="10" t="s">
        <v>26</v>
      </c>
      <c r="AJ82" s="11" t="s">
        <v>26</v>
      </c>
      <c r="AK82" s="11" t="s">
        <v>26</v>
      </c>
      <c r="AL82" s="11" t="s">
        <v>26</v>
      </c>
      <c r="AM82" s="10">
        <v>377902936.94</v>
      </c>
      <c r="AN82" s="11">
        <v>1.5887072572040001E-2</v>
      </c>
      <c r="AO82" s="11">
        <v>0.08</v>
      </c>
      <c r="AP82" s="11">
        <v>6.4100000000000004E-2</v>
      </c>
      <c r="AQ82" s="10">
        <v>377902936.94</v>
      </c>
      <c r="AR82" s="11">
        <v>9.2764012543100002E-3</v>
      </c>
      <c r="AS82" s="11">
        <v>0.08</v>
      </c>
      <c r="AT82" s="11">
        <v>7.0699999999999999E-2</v>
      </c>
      <c r="AU82" s="10" t="s">
        <v>26</v>
      </c>
      <c r="AV82" s="11" t="s">
        <v>26</v>
      </c>
      <c r="AW82" s="11" t="s">
        <v>26</v>
      </c>
      <c r="AX82" s="11" t="s">
        <v>26</v>
      </c>
      <c r="AY82" s="10">
        <v>3393351625.9099998</v>
      </c>
      <c r="AZ82" s="11">
        <v>4.7334479129799998E-3</v>
      </c>
      <c r="BA82" s="11">
        <v>0.08</v>
      </c>
      <c r="BB82" s="11">
        <v>7.5300000000000006E-2</v>
      </c>
    </row>
    <row r="83" spans="1:54" s="7" customFormat="1">
      <c r="A83" s="3" t="s">
        <v>67</v>
      </c>
      <c r="B83" s="31" t="s">
        <v>56</v>
      </c>
      <c r="C83" s="2">
        <v>173218133.19999999</v>
      </c>
      <c r="D83" s="1">
        <v>1</v>
      </c>
      <c r="E83" s="11" t="s">
        <v>26</v>
      </c>
      <c r="F83" s="11" t="s">
        <v>26</v>
      </c>
      <c r="G83" s="2">
        <v>872148745.78999996</v>
      </c>
      <c r="H83" s="1">
        <v>1</v>
      </c>
      <c r="I83" s="11" t="s">
        <v>26</v>
      </c>
      <c r="J83" s="11" t="s">
        <v>26</v>
      </c>
      <c r="K83" s="2">
        <v>107822037.25</v>
      </c>
      <c r="L83" s="1">
        <v>1</v>
      </c>
      <c r="M83" s="11" t="s">
        <v>26</v>
      </c>
      <c r="N83" s="11" t="s">
        <v>26</v>
      </c>
      <c r="O83" s="2">
        <v>1862259772.73</v>
      </c>
      <c r="P83" s="1">
        <v>1</v>
      </c>
      <c r="Q83" s="11" t="s">
        <v>26</v>
      </c>
      <c r="R83" s="11" t="s">
        <v>26</v>
      </c>
      <c r="S83" s="10" t="s">
        <v>26</v>
      </c>
      <c r="T83" s="11" t="s">
        <v>26</v>
      </c>
      <c r="U83" s="11" t="s">
        <v>26</v>
      </c>
      <c r="V83" s="11" t="s">
        <v>26</v>
      </c>
      <c r="W83" s="10" t="s">
        <v>26</v>
      </c>
      <c r="X83" s="11" t="s">
        <v>26</v>
      </c>
      <c r="Y83" s="11" t="s">
        <v>26</v>
      </c>
      <c r="Z83" s="11" t="s">
        <v>26</v>
      </c>
      <c r="AA83" s="10" t="s">
        <v>26</v>
      </c>
      <c r="AB83" s="11" t="s">
        <v>26</v>
      </c>
      <c r="AC83" s="11" t="s">
        <v>26</v>
      </c>
      <c r="AD83" s="11" t="s">
        <v>26</v>
      </c>
      <c r="AE83" s="2">
        <v>3015448688.9699998</v>
      </c>
      <c r="AF83" s="1">
        <v>1</v>
      </c>
      <c r="AG83" s="11" t="s">
        <v>26</v>
      </c>
      <c r="AH83" s="11" t="s">
        <v>26</v>
      </c>
      <c r="AI83" s="10" t="s">
        <v>26</v>
      </c>
      <c r="AJ83" s="11" t="s">
        <v>26</v>
      </c>
      <c r="AK83" s="11" t="s">
        <v>26</v>
      </c>
      <c r="AL83" s="11" t="s">
        <v>26</v>
      </c>
      <c r="AM83" s="2">
        <v>377902936.94</v>
      </c>
      <c r="AN83" s="1">
        <v>1</v>
      </c>
      <c r="AO83" s="1" t="s">
        <v>25</v>
      </c>
      <c r="AP83" s="1" t="s">
        <v>25</v>
      </c>
      <c r="AQ83" s="2">
        <v>377902936.94</v>
      </c>
      <c r="AR83" s="1">
        <v>1</v>
      </c>
      <c r="AS83" s="11" t="s">
        <v>26</v>
      </c>
      <c r="AT83" s="11" t="s">
        <v>26</v>
      </c>
      <c r="AU83" s="10" t="s">
        <v>26</v>
      </c>
      <c r="AV83" s="11" t="s">
        <v>26</v>
      </c>
      <c r="AW83" s="11" t="s">
        <v>26</v>
      </c>
      <c r="AX83" s="11" t="s">
        <v>26</v>
      </c>
      <c r="AY83" s="2">
        <v>3393351625.9099998</v>
      </c>
      <c r="AZ83" s="1">
        <v>1</v>
      </c>
      <c r="BA83" s="11" t="s">
        <v>26</v>
      </c>
      <c r="BB83" s="11" t="s">
        <v>26</v>
      </c>
    </row>
    <row r="84" spans="1:54" s="7" customFormat="1">
      <c r="A84" s="5" t="s">
        <v>73</v>
      </c>
      <c r="B84" s="24" t="s">
        <v>25</v>
      </c>
      <c r="C84" s="10">
        <v>88976389.969999999</v>
      </c>
      <c r="D84" s="11">
        <v>1.4476558740580001E-2</v>
      </c>
      <c r="E84" s="11">
        <v>0.06</v>
      </c>
      <c r="F84" s="11">
        <v>4.5499999999999999E-2</v>
      </c>
      <c r="G84" s="10">
        <v>658468135.74000001</v>
      </c>
      <c r="H84" s="11">
        <v>4.4455647005700004E-3</v>
      </c>
      <c r="I84" s="11">
        <v>0.06</v>
      </c>
      <c r="J84" s="11">
        <v>5.5599999999999997E-2</v>
      </c>
      <c r="K84" s="10">
        <v>33710739.25</v>
      </c>
      <c r="L84" s="11">
        <v>1.1768375627600001E-2</v>
      </c>
      <c r="M84" s="11">
        <v>0.06</v>
      </c>
      <c r="N84" s="11">
        <v>4.82E-2</v>
      </c>
      <c r="O84" s="10">
        <v>508686060.33999997</v>
      </c>
      <c r="P84" s="11">
        <v>2.2963210801E-3</v>
      </c>
      <c r="Q84" s="11">
        <v>0.06</v>
      </c>
      <c r="R84" s="11">
        <v>5.7700000000000001E-2</v>
      </c>
      <c r="S84" s="10">
        <v>330553644.63</v>
      </c>
      <c r="T84" s="11">
        <v>2.9991349468900001E-3</v>
      </c>
      <c r="U84" s="11">
        <v>0.06</v>
      </c>
      <c r="V84" s="11">
        <v>5.7000000000000002E-2</v>
      </c>
      <c r="W84" s="10" t="s">
        <v>26</v>
      </c>
      <c r="X84" s="11" t="s">
        <v>26</v>
      </c>
      <c r="Y84" s="11" t="s">
        <v>26</v>
      </c>
      <c r="Z84" s="11" t="s">
        <v>26</v>
      </c>
      <c r="AA84" s="10">
        <v>41785616</v>
      </c>
      <c r="AB84" s="11">
        <v>3.0578576074000001E-4</v>
      </c>
      <c r="AC84" s="11">
        <v>0.06</v>
      </c>
      <c r="AD84" s="11">
        <v>5.9700000000000003E-2</v>
      </c>
      <c r="AE84" s="10">
        <v>1662180585.9300001</v>
      </c>
      <c r="AF84" s="11">
        <v>2.6314483123699999E-3</v>
      </c>
      <c r="AG84" s="11">
        <v>0.06</v>
      </c>
      <c r="AH84" s="11">
        <v>5.74E-2</v>
      </c>
      <c r="AI84" s="10">
        <v>233141368.5</v>
      </c>
      <c r="AJ84" s="11">
        <v>1.3753616642830001E-2</v>
      </c>
      <c r="AK84" s="11">
        <v>0.06</v>
      </c>
      <c r="AL84" s="11">
        <v>4.6199999999999998E-2</v>
      </c>
      <c r="AM84" s="10" t="s">
        <v>26</v>
      </c>
      <c r="AN84" s="11" t="s">
        <v>26</v>
      </c>
      <c r="AO84" s="11" t="s">
        <v>26</v>
      </c>
      <c r="AP84" s="11" t="s">
        <v>26</v>
      </c>
      <c r="AQ84" s="10">
        <v>233141368.5</v>
      </c>
      <c r="AR84" s="11">
        <v>5.7229321917899997E-3</v>
      </c>
      <c r="AS84" s="11">
        <v>0.06</v>
      </c>
      <c r="AT84" s="11">
        <v>5.4300000000000001E-2</v>
      </c>
      <c r="AU84" s="10" t="s">
        <v>26</v>
      </c>
      <c r="AV84" s="11" t="s">
        <v>26</v>
      </c>
      <c r="AW84" s="11" t="s">
        <v>26</v>
      </c>
      <c r="AX84" s="11" t="s">
        <v>26</v>
      </c>
      <c r="AY84" s="10">
        <v>1895321954.4300001</v>
      </c>
      <c r="AZ84" s="11">
        <v>2.64381907289E-3</v>
      </c>
      <c r="BA84" s="11">
        <v>0.06</v>
      </c>
      <c r="BB84" s="11">
        <v>5.74E-2</v>
      </c>
    </row>
    <row r="85" spans="1:54" s="7" customFormat="1">
      <c r="A85" s="3" t="s">
        <v>67</v>
      </c>
      <c r="B85" s="31" t="s">
        <v>46</v>
      </c>
      <c r="C85" s="2">
        <v>88976389.969999999</v>
      </c>
      <c r="D85" s="1">
        <v>1</v>
      </c>
      <c r="E85" s="11" t="s">
        <v>26</v>
      </c>
      <c r="F85" s="11" t="s">
        <v>26</v>
      </c>
      <c r="G85" s="2">
        <v>658468135.74000001</v>
      </c>
      <c r="H85" s="1">
        <v>1</v>
      </c>
      <c r="I85" s="11" t="s">
        <v>26</v>
      </c>
      <c r="J85" s="11" t="s">
        <v>26</v>
      </c>
      <c r="K85" s="2">
        <v>33710739.25</v>
      </c>
      <c r="L85" s="1">
        <v>1</v>
      </c>
      <c r="M85" s="1" t="s">
        <v>25</v>
      </c>
      <c r="N85" s="1" t="s">
        <v>25</v>
      </c>
      <c r="O85" s="2">
        <v>508686060.33999997</v>
      </c>
      <c r="P85" s="1">
        <v>1</v>
      </c>
      <c r="Q85" s="1" t="s">
        <v>25</v>
      </c>
      <c r="R85" s="1" t="s">
        <v>25</v>
      </c>
      <c r="S85" s="2">
        <v>330553644.63</v>
      </c>
      <c r="T85" s="1">
        <v>1</v>
      </c>
      <c r="U85" s="11" t="s">
        <v>26</v>
      </c>
      <c r="V85" s="11" t="s">
        <v>26</v>
      </c>
      <c r="W85" s="10" t="s">
        <v>26</v>
      </c>
      <c r="X85" s="11" t="s">
        <v>26</v>
      </c>
      <c r="Y85" s="11" t="s">
        <v>26</v>
      </c>
      <c r="Z85" s="11" t="s">
        <v>26</v>
      </c>
      <c r="AA85" s="2">
        <v>41785616</v>
      </c>
      <c r="AB85" s="1">
        <v>1</v>
      </c>
      <c r="AC85" s="11" t="s">
        <v>26</v>
      </c>
      <c r="AD85" s="11" t="s">
        <v>26</v>
      </c>
      <c r="AE85" s="2">
        <v>1662180585.9300001</v>
      </c>
      <c r="AF85" s="1">
        <v>1</v>
      </c>
      <c r="AG85" s="11" t="s">
        <v>26</v>
      </c>
      <c r="AH85" s="11" t="s">
        <v>26</v>
      </c>
      <c r="AI85" s="2">
        <v>233141368.5</v>
      </c>
      <c r="AJ85" s="1">
        <v>1</v>
      </c>
      <c r="AK85" s="11" t="s">
        <v>26</v>
      </c>
      <c r="AL85" s="11" t="s">
        <v>26</v>
      </c>
      <c r="AM85" s="10" t="s">
        <v>26</v>
      </c>
      <c r="AN85" s="11" t="s">
        <v>26</v>
      </c>
      <c r="AO85" s="11" t="s">
        <v>26</v>
      </c>
      <c r="AP85" s="11" t="s">
        <v>26</v>
      </c>
      <c r="AQ85" s="2">
        <v>233141368.5</v>
      </c>
      <c r="AR85" s="1">
        <v>1</v>
      </c>
      <c r="AS85" s="11" t="s">
        <v>26</v>
      </c>
      <c r="AT85" s="11" t="s">
        <v>26</v>
      </c>
      <c r="AU85" s="10" t="s">
        <v>26</v>
      </c>
      <c r="AV85" s="11" t="s">
        <v>26</v>
      </c>
      <c r="AW85" s="11" t="s">
        <v>26</v>
      </c>
      <c r="AX85" s="11" t="s">
        <v>26</v>
      </c>
      <c r="AY85" s="2">
        <v>1895321954.4300001</v>
      </c>
      <c r="AZ85" s="1">
        <v>1</v>
      </c>
      <c r="BA85" s="11" t="s">
        <v>26</v>
      </c>
      <c r="BB85" s="11" t="s">
        <v>26</v>
      </c>
    </row>
    <row r="86" spans="1:54" s="7" customFormat="1">
      <c r="A86" s="5" t="s">
        <v>74</v>
      </c>
      <c r="B86" s="24" t="s">
        <v>25</v>
      </c>
      <c r="C86" s="10">
        <v>43013985.75</v>
      </c>
      <c r="D86" s="11">
        <v>6.9984238693699997E-3</v>
      </c>
      <c r="E86" s="11">
        <v>0.06</v>
      </c>
      <c r="F86" s="11">
        <v>5.2999999999999999E-2</v>
      </c>
      <c r="G86" s="10">
        <v>1032995845.38</v>
      </c>
      <c r="H86" s="11">
        <v>6.9741413696399997E-3</v>
      </c>
      <c r="I86" s="11">
        <v>0.06</v>
      </c>
      <c r="J86" s="11">
        <v>5.2999999999999999E-2</v>
      </c>
      <c r="K86" s="10" t="s">
        <v>26</v>
      </c>
      <c r="L86" s="11" t="s">
        <v>26</v>
      </c>
      <c r="M86" s="11" t="s">
        <v>26</v>
      </c>
      <c r="N86" s="11" t="s">
        <v>26</v>
      </c>
      <c r="O86" s="10">
        <v>528848766.19999999</v>
      </c>
      <c r="P86" s="11">
        <v>2.3873399817499999E-3</v>
      </c>
      <c r="Q86" s="11">
        <v>0.06</v>
      </c>
      <c r="R86" s="11">
        <v>5.7599999999999998E-2</v>
      </c>
      <c r="S86" s="10">
        <v>308186784.57999998</v>
      </c>
      <c r="T86" s="11">
        <v>2.7961989553600001E-3</v>
      </c>
      <c r="U86" s="11">
        <v>0.06</v>
      </c>
      <c r="V86" s="11">
        <v>5.7200000000000001E-2</v>
      </c>
      <c r="W86" s="10" t="s">
        <v>26</v>
      </c>
      <c r="X86" s="11" t="s">
        <v>26</v>
      </c>
      <c r="Y86" s="11" t="s">
        <v>26</v>
      </c>
      <c r="Z86" s="11" t="s">
        <v>26</v>
      </c>
      <c r="AA86" s="10">
        <v>154835275.5</v>
      </c>
      <c r="AB86" s="11">
        <v>1.1330794431200001E-3</v>
      </c>
      <c r="AC86" s="11">
        <v>0.06</v>
      </c>
      <c r="AD86" s="11">
        <v>5.8900000000000001E-2</v>
      </c>
      <c r="AE86" s="10">
        <v>2067880657.4100001</v>
      </c>
      <c r="AF86" s="11">
        <v>3.2737243547300001E-3</v>
      </c>
      <c r="AG86" s="11">
        <v>0.06</v>
      </c>
      <c r="AH86" s="11">
        <v>5.67E-2</v>
      </c>
      <c r="AI86" s="10">
        <v>119277218</v>
      </c>
      <c r="AJ86" s="11">
        <v>7.0364737976399997E-3</v>
      </c>
      <c r="AK86" s="11">
        <v>0.06</v>
      </c>
      <c r="AL86" s="11">
        <v>5.2999999999999999E-2</v>
      </c>
      <c r="AM86" s="10" t="s">
        <v>26</v>
      </c>
      <c r="AN86" s="11" t="s">
        <v>26</v>
      </c>
      <c r="AO86" s="11" t="s">
        <v>26</v>
      </c>
      <c r="AP86" s="11" t="s">
        <v>26</v>
      </c>
      <c r="AQ86" s="10">
        <v>119277218</v>
      </c>
      <c r="AR86" s="11">
        <v>2.9279035077799998E-3</v>
      </c>
      <c r="AS86" s="11">
        <v>0.06</v>
      </c>
      <c r="AT86" s="11">
        <v>5.7099999999999998E-2</v>
      </c>
      <c r="AU86" s="10" t="s">
        <v>26</v>
      </c>
      <c r="AV86" s="11" t="s">
        <v>26</v>
      </c>
      <c r="AW86" s="11" t="s">
        <v>26</v>
      </c>
      <c r="AX86" s="11" t="s">
        <v>26</v>
      </c>
      <c r="AY86" s="10">
        <v>2187157875.4099998</v>
      </c>
      <c r="AZ86" s="11">
        <v>3.0509063079900002E-3</v>
      </c>
      <c r="BA86" s="11">
        <v>0.06</v>
      </c>
      <c r="BB86" s="11">
        <v>5.6899999999999999E-2</v>
      </c>
    </row>
    <row r="87" spans="1:54" s="7" customFormat="1">
      <c r="A87" s="3" t="s">
        <v>67</v>
      </c>
      <c r="B87" s="31" t="s">
        <v>46</v>
      </c>
      <c r="C87" s="2">
        <v>43013985.75</v>
      </c>
      <c r="D87" s="1">
        <v>1</v>
      </c>
      <c r="E87" s="11" t="s">
        <v>26</v>
      </c>
      <c r="F87" s="11" t="s">
        <v>26</v>
      </c>
      <c r="G87" s="2">
        <v>1032995845.38</v>
      </c>
      <c r="H87" s="1">
        <v>1</v>
      </c>
      <c r="I87" s="11" t="s">
        <v>26</v>
      </c>
      <c r="J87" s="11" t="s">
        <v>26</v>
      </c>
      <c r="K87" s="10" t="s">
        <v>26</v>
      </c>
      <c r="L87" s="11" t="s">
        <v>26</v>
      </c>
      <c r="M87" s="11" t="s">
        <v>26</v>
      </c>
      <c r="N87" s="11" t="s">
        <v>26</v>
      </c>
      <c r="O87" s="2">
        <v>528848766.19999999</v>
      </c>
      <c r="P87" s="1">
        <v>1</v>
      </c>
      <c r="Q87" s="1" t="s">
        <v>25</v>
      </c>
      <c r="R87" s="1" t="s">
        <v>25</v>
      </c>
      <c r="S87" s="2">
        <v>308186784.57999998</v>
      </c>
      <c r="T87" s="1">
        <v>1</v>
      </c>
      <c r="U87" s="11" t="s">
        <v>26</v>
      </c>
      <c r="V87" s="11" t="s">
        <v>26</v>
      </c>
      <c r="W87" s="10" t="s">
        <v>26</v>
      </c>
      <c r="X87" s="11" t="s">
        <v>26</v>
      </c>
      <c r="Y87" s="11" t="s">
        <v>26</v>
      </c>
      <c r="Z87" s="11" t="s">
        <v>26</v>
      </c>
      <c r="AA87" s="2">
        <v>154835275.5</v>
      </c>
      <c r="AB87" s="1">
        <v>1</v>
      </c>
      <c r="AC87" s="11" t="s">
        <v>26</v>
      </c>
      <c r="AD87" s="11" t="s">
        <v>26</v>
      </c>
      <c r="AE87" s="2">
        <v>2067880657.4100001</v>
      </c>
      <c r="AF87" s="1">
        <v>1</v>
      </c>
      <c r="AG87" s="11" t="s">
        <v>26</v>
      </c>
      <c r="AH87" s="11" t="s">
        <v>26</v>
      </c>
      <c r="AI87" s="2">
        <v>119277218</v>
      </c>
      <c r="AJ87" s="1">
        <v>1</v>
      </c>
      <c r="AK87" s="11" t="s">
        <v>26</v>
      </c>
      <c r="AL87" s="11" t="s">
        <v>26</v>
      </c>
      <c r="AM87" s="10" t="s">
        <v>26</v>
      </c>
      <c r="AN87" s="11" t="s">
        <v>26</v>
      </c>
      <c r="AO87" s="11" t="s">
        <v>26</v>
      </c>
      <c r="AP87" s="11" t="s">
        <v>26</v>
      </c>
      <c r="AQ87" s="2">
        <v>119277218</v>
      </c>
      <c r="AR87" s="1">
        <v>1</v>
      </c>
      <c r="AS87" s="11" t="s">
        <v>26</v>
      </c>
      <c r="AT87" s="11" t="s">
        <v>26</v>
      </c>
      <c r="AU87" s="10" t="s">
        <v>26</v>
      </c>
      <c r="AV87" s="11" t="s">
        <v>26</v>
      </c>
      <c r="AW87" s="11" t="s">
        <v>26</v>
      </c>
      <c r="AX87" s="11" t="s">
        <v>26</v>
      </c>
      <c r="AY87" s="2">
        <v>2187157875.4099998</v>
      </c>
      <c r="AZ87" s="1">
        <v>1</v>
      </c>
      <c r="BA87" s="11" t="s">
        <v>26</v>
      </c>
      <c r="BB87" s="11" t="s">
        <v>26</v>
      </c>
    </row>
    <row r="88" spans="1:54" s="7" customFormat="1">
      <c r="A88" s="13" t="s">
        <v>75</v>
      </c>
      <c r="B88" s="25" t="s">
        <v>25</v>
      </c>
      <c r="C88" s="56" t="s">
        <v>26</v>
      </c>
      <c r="D88" s="56" t="s">
        <v>26</v>
      </c>
      <c r="E88" s="56" t="s">
        <v>26</v>
      </c>
      <c r="F88" s="56" t="s">
        <v>26</v>
      </c>
      <c r="G88" s="56" t="s">
        <v>26</v>
      </c>
      <c r="H88" s="56" t="s">
        <v>26</v>
      </c>
      <c r="I88" s="56" t="s">
        <v>26</v>
      </c>
      <c r="J88" s="56" t="s">
        <v>26</v>
      </c>
      <c r="K88" s="56" t="s">
        <v>26</v>
      </c>
      <c r="L88" s="56" t="s">
        <v>26</v>
      </c>
      <c r="M88" s="56" t="s">
        <v>26</v>
      </c>
      <c r="N88" s="56" t="s">
        <v>26</v>
      </c>
      <c r="O88" s="55">
        <v>125875650</v>
      </c>
      <c r="P88" s="56">
        <v>5.6823044918999995E-4</v>
      </c>
      <c r="Q88" s="56" t="s">
        <v>26</v>
      </c>
      <c r="R88" s="56" t="s">
        <v>26</v>
      </c>
      <c r="S88" s="55">
        <v>238848600.69999999</v>
      </c>
      <c r="T88" s="56">
        <v>2.1670890550199999E-3</v>
      </c>
      <c r="U88" s="56" t="s">
        <v>26</v>
      </c>
      <c r="V88" s="56" t="s">
        <v>26</v>
      </c>
      <c r="W88" s="56" t="s">
        <v>26</v>
      </c>
      <c r="X88" s="56" t="s">
        <v>26</v>
      </c>
      <c r="Y88" s="56" t="s">
        <v>26</v>
      </c>
      <c r="Z88" s="56" t="s">
        <v>26</v>
      </c>
      <c r="AA88" s="55">
        <v>139973722.80000001</v>
      </c>
      <c r="AB88" s="56">
        <v>1.0243230902599999E-3</v>
      </c>
      <c r="AC88" s="56" t="s">
        <v>26</v>
      </c>
      <c r="AD88" s="56" t="s">
        <v>26</v>
      </c>
      <c r="AE88" s="55">
        <v>504697973.5</v>
      </c>
      <c r="AF88" s="56">
        <v>7.9900261251000001E-4</v>
      </c>
      <c r="AG88" s="56" t="s">
        <v>26</v>
      </c>
      <c r="AH88" s="56" t="s">
        <v>26</v>
      </c>
      <c r="AI88" s="55">
        <v>10974727.59</v>
      </c>
      <c r="AJ88" s="56">
        <v>6.4742776884000003E-4</v>
      </c>
      <c r="AK88" s="56" t="s">
        <v>26</v>
      </c>
      <c r="AL88" s="56" t="s">
        <v>26</v>
      </c>
      <c r="AM88" s="56" t="s">
        <v>26</v>
      </c>
      <c r="AN88" s="56" t="s">
        <v>26</v>
      </c>
      <c r="AO88" s="56" t="s">
        <v>26</v>
      </c>
      <c r="AP88" s="56" t="s">
        <v>26</v>
      </c>
      <c r="AQ88" s="55">
        <v>10974727.59</v>
      </c>
      <c r="AR88" s="56">
        <v>2.6939715685999997E-4</v>
      </c>
      <c r="AS88" s="56" t="s">
        <v>26</v>
      </c>
      <c r="AT88" s="56" t="s">
        <v>26</v>
      </c>
      <c r="AU88" s="55">
        <v>32924182.760000002</v>
      </c>
      <c r="AV88" s="56">
        <v>7.4003818688000002E-4</v>
      </c>
      <c r="AW88" s="56" t="s">
        <v>26</v>
      </c>
      <c r="AX88" s="56" t="s">
        <v>26</v>
      </c>
      <c r="AY88" s="55">
        <v>548596883.85000002</v>
      </c>
      <c r="AZ88" s="56">
        <v>7.6524777305999995E-4</v>
      </c>
      <c r="BA88" s="56" t="s">
        <v>26</v>
      </c>
      <c r="BB88" s="56" t="s">
        <v>26</v>
      </c>
    </row>
    <row r="89" spans="1:54" s="7" customFormat="1">
      <c r="A89" s="5" t="s">
        <v>76</v>
      </c>
      <c r="B89" s="24" t="s">
        <v>25</v>
      </c>
      <c r="C89" s="11" t="s">
        <v>26</v>
      </c>
      <c r="D89" s="11" t="s">
        <v>26</v>
      </c>
      <c r="E89" s="11" t="s">
        <v>26</v>
      </c>
      <c r="F89" s="11" t="s">
        <v>26</v>
      </c>
      <c r="G89" s="10" t="s">
        <v>26</v>
      </c>
      <c r="H89" s="11" t="s">
        <v>26</v>
      </c>
      <c r="I89" s="11" t="s">
        <v>26</v>
      </c>
      <c r="J89" s="11" t="s">
        <v>26</v>
      </c>
      <c r="K89" s="10" t="s">
        <v>26</v>
      </c>
      <c r="L89" s="11" t="s">
        <v>26</v>
      </c>
      <c r="M89" s="11" t="s">
        <v>26</v>
      </c>
      <c r="N89" s="11" t="s">
        <v>26</v>
      </c>
      <c r="O89" s="10" t="s">
        <v>26</v>
      </c>
      <c r="P89" s="11" t="s">
        <v>26</v>
      </c>
      <c r="Q89" s="11" t="s">
        <v>26</v>
      </c>
      <c r="R89" s="11" t="s">
        <v>26</v>
      </c>
      <c r="S89" s="10">
        <v>87797820.700000003</v>
      </c>
      <c r="T89" s="11">
        <v>7.9659539865999996E-4</v>
      </c>
      <c r="U89" s="11">
        <v>0.1</v>
      </c>
      <c r="V89" s="11">
        <v>9.9199999999999997E-2</v>
      </c>
      <c r="W89" s="10" t="s">
        <v>26</v>
      </c>
      <c r="X89" s="11" t="s">
        <v>26</v>
      </c>
      <c r="Y89" s="11" t="s">
        <v>26</v>
      </c>
      <c r="Z89" s="11" t="s">
        <v>26</v>
      </c>
      <c r="AA89" s="10" t="s">
        <v>26</v>
      </c>
      <c r="AB89" s="11" t="s">
        <v>26</v>
      </c>
      <c r="AC89" s="11" t="s">
        <v>26</v>
      </c>
      <c r="AD89" s="11" t="s">
        <v>26</v>
      </c>
      <c r="AE89" s="10">
        <v>87797820.700000003</v>
      </c>
      <c r="AF89" s="11">
        <v>1.3899538297E-4</v>
      </c>
      <c r="AG89" s="11">
        <v>0.1</v>
      </c>
      <c r="AH89" s="11">
        <v>9.9900000000000003E-2</v>
      </c>
      <c r="AI89" s="10">
        <v>10974727.59</v>
      </c>
      <c r="AJ89" s="11">
        <v>6.4742776884000003E-4</v>
      </c>
      <c r="AK89" s="11">
        <v>0.1</v>
      </c>
      <c r="AL89" s="11">
        <v>9.9400000000000002E-2</v>
      </c>
      <c r="AM89" s="10" t="s">
        <v>26</v>
      </c>
      <c r="AN89" s="11" t="s">
        <v>26</v>
      </c>
      <c r="AO89" s="11" t="s">
        <v>26</v>
      </c>
      <c r="AP89" s="11" t="s">
        <v>26</v>
      </c>
      <c r="AQ89" s="10">
        <v>10974727.59</v>
      </c>
      <c r="AR89" s="11">
        <v>2.6939715685999997E-4</v>
      </c>
      <c r="AS89" s="11">
        <v>0.1</v>
      </c>
      <c r="AT89" s="11">
        <v>9.9699999999999997E-2</v>
      </c>
      <c r="AU89" s="10">
        <v>32924182.760000002</v>
      </c>
      <c r="AV89" s="11">
        <v>7.4003818688000002E-4</v>
      </c>
      <c r="AW89" s="11">
        <v>0.1</v>
      </c>
      <c r="AX89" s="11">
        <v>9.9299999999999999E-2</v>
      </c>
      <c r="AY89" s="10">
        <v>131696731.05</v>
      </c>
      <c r="AZ89" s="11">
        <v>1.8370616589999999E-4</v>
      </c>
      <c r="BA89" s="11">
        <v>0.1</v>
      </c>
      <c r="BB89" s="11">
        <v>9.98E-2</v>
      </c>
    </row>
    <row r="90" spans="1:54" s="7" customFormat="1">
      <c r="A90" s="3" t="s">
        <v>77</v>
      </c>
      <c r="B90" s="31" t="s">
        <v>29</v>
      </c>
      <c r="C90" s="11" t="s">
        <v>26</v>
      </c>
      <c r="D90" s="11" t="s">
        <v>26</v>
      </c>
      <c r="E90" s="11" t="s">
        <v>26</v>
      </c>
      <c r="F90" s="11" t="s">
        <v>26</v>
      </c>
      <c r="G90" s="10" t="s">
        <v>26</v>
      </c>
      <c r="H90" s="11" t="s">
        <v>26</v>
      </c>
      <c r="I90" s="11" t="s">
        <v>26</v>
      </c>
      <c r="J90" s="11" t="s">
        <v>26</v>
      </c>
      <c r="K90" s="10" t="s">
        <v>26</v>
      </c>
      <c r="L90" s="11" t="s">
        <v>26</v>
      </c>
      <c r="M90" s="11" t="s">
        <v>26</v>
      </c>
      <c r="N90" s="11" t="s">
        <v>26</v>
      </c>
      <c r="O90" s="10" t="s">
        <v>26</v>
      </c>
      <c r="P90" s="11" t="s">
        <v>26</v>
      </c>
      <c r="Q90" s="11" t="s">
        <v>26</v>
      </c>
      <c r="R90" s="11" t="s">
        <v>26</v>
      </c>
      <c r="S90" s="2">
        <v>87797820.700000003</v>
      </c>
      <c r="T90" s="1">
        <v>1</v>
      </c>
      <c r="U90" s="11" t="s">
        <v>26</v>
      </c>
      <c r="V90" s="11" t="s">
        <v>26</v>
      </c>
      <c r="W90" s="10" t="s">
        <v>26</v>
      </c>
      <c r="X90" s="11" t="s">
        <v>26</v>
      </c>
      <c r="Y90" s="11" t="s">
        <v>26</v>
      </c>
      <c r="Z90" s="11" t="s">
        <v>26</v>
      </c>
      <c r="AA90" s="10" t="s">
        <v>26</v>
      </c>
      <c r="AB90" s="11" t="s">
        <v>26</v>
      </c>
      <c r="AC90" s="11" t="s">
        <v>26</v>
      </c>
      <c r="AD90" s="11" t="s">
        <v>26</v>
      </c>
      <c r="AE90" s="2">
        <v>87797820.700000003</v>
      </c>
      <c r="AF90" s="1">
        <v>1</v>
      </c>
      <c r="AG90" s="11" t="s">
        <v>26</v>
      </c>
      <c r="AH90" s="11" t="s">
        <v>26</v>
      </c>
      <c r="AI90" s="2">
        <v>10974727.59</v>
      </c>
      <c r="AJ90" s="1">
        <v>1</v>
      </c>
      <c r="AK90" s="11" t="s">
        <v>26</v>
      </c>
      <c r="AL90" s="11" t="s">
        <v>26</v>
      </c>
      <c r="AM90" s="10" t="s">
        <v>26</v>
      </c>
      <c r="AN90" s="11" t="s">
        <v>26</v>
      </c>
      <c r="AO90" s="11" t="s">
        <v>26</v>
      </c>
      <c r="AP90" s="11" t="s">
        <v>26</v>
      </c>
      <c r="AQ90" s="2">
        <v>10974727.59</v>
      </c>
      <c r="AR90" s="1">
        <v>1</v>
      </c>
      <c r="AS90" s="1" t="s">
        <v>25</v>
      </c>
      <c r="AT90" s="1" t="s">
        <v>25</v>
      </c>
      <c r="AU90" s="2">
        <v>32924182.760000002</v>
      </c>
      <c r="AV90" s="1">
        <v>1</v>
      </c>
      <c r="AW90" s="1" t="s">
        <v>25</v>
      </c>
      <c r="AX90" s="1" t="s">
        <v>25</v>
      </c>
      <c r="AY90" s="2">
        <v>131696731.05</v>
      </c>
      <c r="AZ90" s="1">
        <v>1</v>
      </c>
      <c r="BA90" s="11" t="s">
        <v>26</v>
      </c>
      <c r="BB90" s="11" t="s">
        <v>26</v>
      </c>
    </row>
    <row r="91" spans="1:54" s="7" customFormat="1">
      <c r="A91" s="5" t="s">
        <v>78</v>
      </c>
      <c r="B91" s="24" t="s">
        <v>25</v>
      </c>
      <c r="C91" s="11" t="s">
        <v>26</v>
      </c>
      <c r="D91" s="11" t="s">
        <v>26</v>
      </c>
      <c r="E91" s="11" t="s">
        <v>26</v>
      </c>
      <c r="F91" s="11" t="s">
        <v>26</v>
      </c>
      <c r="G91" s="10" t="s">
        <v>26</v>
      </c>
      <c r="H91" s="11" t="s">
        <v>26</v>
      </c>
      <c r="I91" s="11" t="s">
        <v>26</v>
      </c>
      <c r="J91" s="11" t="s">
        <v>26</v>
      </c>
      <c r="K91" s="10" t="s">
        <v>26</v>
      </c>
      <c r="L91" s="11" t="s">
        <v>26</v>
      </c>
      <c r="M91" s="11" t="s">
        <v>26</v>
      </c>
      <c r="N91" s="11" t="s">
        <v>26</v>
      </c>
      <c r="O91" s="10">
        <v>125875650</v>
      </c>
      <c r="P91" s="11">
        <v>5.6823044918999995E-4</v>
      </c>
      <c r="Q91" s="11">
        <v>0.09</v>
      </c>
      <c r="R91" s="11">
        <v>8.9399999999999993E-2</v>
      </c>
      <c r="S91" s="10">
        <v>151050780</v>
      </c>
      <c r="T91" s="11">
        <v>1.37049365636E-3</v>
      </c>
      <c r="U91" s="11">
        <v>0.09</v>
      </c>
      <c r="V91" s="11">
        <v>8.8599999999999998E-2</v>
      </c>
      <c r="W91" s="10" t="s">
        <v>26</v>
      </c>
      <c r="X91" s="11" t="s">
        <v>26</v>
      </c>
      <c r="Y91" s="11" t="s">
        <v>26</v>
      </c>
      <c r="Z91" s="11" t="s">
        <v>26</v>
      </c>
      <c r="AA91" s="10">
        <v>139973722.80000001</v>
      </c>
      <c r="AB91" s="11">
        <v>1.0243230902599999E-3</v>
      </c>
      <c r="AC91" s="11">
        <v>0.09</v>
      </c>
      <c r="AD91" s="11">
        <v>8.8999999999999996E-2</v>
      </c>
      <c r="AE91" s="10">
        <v>416900152.80000001</v>
      </c>
      <c r="AF91" s="11">
        <v>6.6000722953999996E-4</v>
      </c>
      <c r="AG91" s="11">
        <v>0.09</v>
      </c>
      <c r="AH91" s="11">
        <v>8.9300000000000004E-2</v>
      </c>
      <c r="AI91" s="10" t="s">
        <v>26</v>
      </c>
      <c r="AJ91" s="11" t="s">
        <v>26</v>
      </c>
      <c r="AK91" s="11" t="s">
        <v>26</v>
      </c>
      <c r="AL91" s="11" t="s">
        <v>26</v>
      </c>
      <c r="AM91" s="10" t="s">
        <v>26</v>
      </c>
      <c r="AN91" s="11" t="s">
        <v>26</v>
      </c>
      <c r="AO91" s="11" t="s">
        <v>26</v>
      </c>
      <c r="AP91" s="11" t="s">
        <v>26</v>
      </c>
      <c r="AQ91" s="10" t="s">
        <v>26</v>
      </c>
      <c r="AR91" s="11" t="s">
        <v>26</v>
      </c>
      <c r="AS91" s="11" t="s">
        <v>26</v>
      </c>
      <c r="AT91" s="11" t="s">
        <v>26</v>
      </c>
      <c r="AU91" s="10" t="s">
        <v>26</v>
      </c>
      <c r="AV91" s="11" t="s">
        <v>26</v>
      </c>
      <c r="AW91" s="11" t="s">
        <v>26</v>
      </c>
      <c r="AX91" s="11" t="s">
        <v>26</v>
      </c>
      <c r="AY91" s="10">
        <v>416900152.80000001</v>
      </c>
      <c r="AZ91" s="11">
        <v>5.8154160715999999E-4</v>
      </c>
      <c r="BA91" s="11">
        <v>0.09</v>
      </c>
      <c r="BB91" s="11">
        <v>8.9399999999999993E-2</v>
      </c>
    </row>
    <row r="92" spans="1:54" s="7" customFormat="1">
      <c r="A92" s="3" t="s">
        <v>77</v>
      </c>
      <c r="B92" s="31" t="s">
        <v>37</v>
      </c>
      <c r="C92" s="11" t="s">
        <v>26</v>
      </c>
      <c r="D92" s="11" t="s">
        <v>26</v>
      </c>
      <c r="E92" s="11" t="s">
        <v>26</v>
      </c>
      <c r="F92" s="11" t="s">
        <v>26</v>
      </c>
      <c r="G92" s="10" t="s">
        <v>26</v>
      </c>
      <c r="H92" s="11" t="s">
        <v>26</v>
      </c>
      <c r="I92" s="11" t="s">
        <v>26</v>
      </c>
      <c r="J92" s="11" t="s">
        <v>26</v>
      </c>
      <c r="K92" s="10" t="s">
        <v>26</v>
      </c>
      <c r="L92" s="11" t="s">
        <v>26</v>
      </c>
      <c r="M92" s="11" t="s">
        <v>26</v>
      </c>
      <c r="N92" s="11" t="s">
        <v>26</v>
      </c>
      <c r="O92" s="2">
        <v>125875650</v>
      </c>
      <c r="P92" s="1">
        <v>1</v>
      </c>
      <c r="Q92" s="11" t="s">
        <v>26</v>
      </c>
      <c r="R92" s="11" t="s">
        <v>26</v>
      </c>
      <c r="S92" s="2">
        <v>151050780</v>
      </c>
      <c r="T92" s="1">
        <v>1</v>
      </c>
      <c r="U92" s="11" t="s">
        <v>26</v>
      </c>
      <c r="V92" s="11" t="s">
        <v>26</v>
      </c>
      <c r="W92" s="10" t="s">
        <v>26</v>
      </c>
      <c r="X92" s="11" t="s">
        <v>26</v>
      </c>
      <c r="Y92" s="11" t="s">
        <v>26</v>
      </c>
      <c r="Z92" s="11" t="s">
        <v>26</v>
      </c>
      <c r="AA92" s="2">
        <v>139973722.80000001</v>
      </c>
      <c r="AB92" s="1">
        <v>1</v>
      </c>
      <c r="AC92" s="11" t="s">
        <v>26</v>
      </c>
      <c r="AD92" s="11" t="s">
        <v>26</v>
      </c>
      <c r="AE92" s="2">
        <v>416900152.80000001</v>
      </c>
      <c r="AF92" s="1">
        <v>1</v>
      </c>
      <c r="AG92" s="11" t="s">
        <v>26</v>
      </c>
      <c r="AH92" s="11" t="s">
        <v>26</v>
      </c>
      <c r="AI92" s="10" t="s">
        <v>26</v>
      </c>
      <c r="AJ92" s="11" t="s">
        <v>26</v>
      </c>
      <c r="AK92" s="11" t="s">
        <v>26</v>
      </c>
      <c r="AL92" s="11" t="s">
        <v>26</v>
      </c>
      <c r="AM92" s="10" t="s">
        <v>26</v>
      </c>
      <c r="AN92" s="11" t="s">
        <v>26</v>
      </c>
      <c r="AO92" s="11" t="s">
        <v>26</v>
      </c>
      <c r="AP92" s="11" t="s">
        <v>26</v>
      </c>
      <c r="AQ92" s="10" t="s">
        <v>26</v>
      </c>
      <c r="AR92" s="11" t="s">
        <v>26</v>
      </c>
      <c r="AS92" s="11" t="s">
        <v>26</v>
      </c>
      <c r="AT92" s="11" t="s">
        <v>26</v>
      </c>
      <c r="AU92" s="10" t="s">
        <v>26</v>
      </c>
      <c r="AV92" s="11" t="s">
        <v>26</v>
      </c>
      <c r="AW92" s="11" t="s">
        <v>26</v>
      </c>
      <c r="AX92" s="11" t="s">
        <v>26</v>
      </c>
      <c r="AY92" s="2">
        <v>416900152.80000001</v>
      </c>
      <c r="AZ92" s="1">
        <v>1</v>
      </c>
      <c r="BA92" s="11" t="s">
        <v>26</v>
      </c>
      <c r="BB92" s="11" t="s">
        <v>26</v>
      </c>
    </row>
    <row r="93" spans="1:54" s="7" customFormat="1">
      <c r="A93" s="13" t="s">
        <v>108</v>
      </c>
      <c r="B93" s="25" t="s">
        <v>25</v>
      </c>
      <c r="C93" s="56" t="s">
        <v>26</v>
      </c>
      <c r="D93" s="56" t="s">
        <v>26</v>
      </c>
      <c r="E93" s="56" t="s">
        <v>26</v>
      </c>
      <c r="F93" s="56" t="s">
        <v>26</v>
      </c>
      <c r="G93" s="55">
        <v>702005674.62</v>
      </c>
      <c r="H93" s="56">
        <v>4.73950291183E-3</v>
      </c>
      <c r="I93" s="56" t="s">
        <v>26</v>
      </c>
      <c r="J93" s="56" t="s">
        <v>26</v>
      </c>
      <c r="K93" s="55">
        <v>23605033.629999999</v>
      </c>
      <c r="L93" s="56">
        <v>8.2404868193400004E-3</v>
      </c>
      <c r="M93" s="56" t="s">
        <v>26</v>
      </c>
      <c r="N93" s="56" t="s">
        <v>26</v>
      </c>
      <c r="O93" s="55">
        <v>2035934151.1099999</v>
      </c>
      <c r="P93" s="56">
        <v>9.1906558354699994E-3</v>
      </c>
      <c r="Q93" s="56" t="s">
        <v>26</v>
      </c>
      <c r="R93" s="56" t="s">
        <v>26</v>
      </c>
      <c r="S93" s="55">
        <v>1301201857.8800001</v>
      </c>
      <c r="T93" s="56">
        <v>1.1805889991919999E-2</v>
      </c>
      <c r="U93" s="56" t="s">
        <v>26</v>
      </c>
      <c r="V93" s="56" t="s">
        <v>26</v>
      </c>
      <c r="W93" s="56" t="s">
        <v>26</v>
      </c>
      <c r="X93" s="56" t="s">
        <v>26</v>
      </c>
      <c r="Y93" s="56" t="s">
        <v>26</v>
      </c>
      <c r="Z93" s="56" t="s">
        <v>26</v>
      </c>
      <c r="AA93" s="55">
        <v>371788485.74000001</v>
      </c>
      <c r="AB93" s="56">
        <v>2.7207358854200001E-3</v>
      </c>
      <c r="AC93" s="56" t="s">
        <v>26</v>
      </c>
      <c r="AD93" s="56" t="s">
        <v>26</v>
      </c>
      <c r="AE93" s="55">
        <v>4434535202.9799995</v>
      </c>
      <c r="AF93" s="56">
        <v>7.0204466799799999E-3</v>
      </c>
      <c r="AG93" s="56" t="s">
        <v>26</v>
      </c>
      <c r="AH93" s="56" t="s">
        <v>26</v>
      </c>
      <c r="AI93" s="56" t="s">
        <v>26</v>
      </c>
      <c r="AJ93" s="56" t="s">
        <v>26</v>
      </c>
      <c r="AK93" s="56" t="s">
        <v>26</v>
      </c>
      <c r="AL93" s="56" t="s">
        <v>26</v>
      </c>
      <c r="AM93" s="56" t="s">
        <v>26</v>
      </c>
      <c r="AN93" s="56" t="s">
        <v>26</v>
      </c>
      <c r="AO93" s="56" t="s">
        <v>26</v>
      </c>
      <c r="AP93" s="56" t="s">
        <v>26</v>
      </c>
      <c r="AQ93" s="56" t="s">
        <v>26</v>
      </c>
      <c r="AR93" s="56" t="s">
        <v>26</v>
      </c>
      <c r="AS93" s="56" t="s">
        <v>26</v>
      </c>
      <c r="AT93" s="56" t="s">
        <v>26</v>
      </c>
      <c r="AU93" s="55">
        <v>629788512</v>
      </c>
      <c r="AV93" s="56">
        <v>1.4155781843790001E-2</v>
      </c>
      <c r="AW93" s="56" t="s">
        <v>26</v>
      </c>
      <c r="AX93" s="56" t="s">
        <v>26</v>
      </c>
      <c r="AY93" s="55">
        <v>5064323714.9799995</v>
      </c>
      <c r="AZ93" s="56">
        <v>7.0643172774299996E-3</v>
      </c>
      <c r="BA93" s="56" t="s">
        <v>26</v>
      </c>
      <c r="BB93" s="56" t="s">
        <v>26</v>
      </c>
    </row>
    <row r="94" spans="1:54" s="7" customFormat="1">
      <c r="A94" s="5" t="s">
        <v>80</v>
      </c>
      <c r="B94" s="24" t="s">
        <v>25</v>
      </c>
      <c r="C94" s="11" t="s">
        <v>26</v>
      </c>
      <c r="D94" s="11" t="s">
        <v>26</v>
      </c>
      <c r="E94" s="11" t="s">
        <v>26</v>
      </c>
      <c r="F94" s="11" t="s">
        <v>26</v>
      </c>
      <c r="G94" s="10" t="s">
        <v>26</v>
      </c>
      <c r="H94" s="11" t="s">
        <v>26</v>
      </c>
      <c r="I94" s="11" t="s">
        <v>26</v>
      </c>
      <c r="J94" s="11" t="s">
        <v>26</v>
      </c>
      <c r="K94" s="10" t="s">
        <v>26</v>
      </c>
      <c r="L94" s="11" t="s">
        <v>26</v>
      </c>
      <c r="M94" s="11" t="s">
        <v>26</v>
      </c>
      <c r="N94" s="11" t="s">
        <v>26</v>
      </c>
      <c r="O94" s="10" t="s">
        <v>26</v>
      </c>
      <c r="P94" s="11" t="s">
        <v>26</v>
      </c>
      <c r="Q94" s="11" t="s">
        <v>26</v>
      </c>
      <c r="R94" s="11" t="s">
        <v>26</v>
      </c>
      <c r="S94" s="10">
        <v>593050848.79999995</v>
      </c>
      <c r="T94" s="11">
        <v>5.3807893357600001E-3</v>
      </c>
      <c r="U94" s="11">
        <v>0.05</v>
      </c>
      <c r="V94" s="11">
        <v>4.4600000000000001E-2</v>
      </c>
      <c r="W94" s="10" t="s">
        <v>26</v>
      </c>
      <c r="X94" s="11" t="s">
        <v>26</v>
      </c>
      <c r="Y94" s="11" t="s">
        <v>26</v>
      </c>
      <c r="Z94" s="11" t="s">
        <v>26</v>
      </c>
      <c r="AA94" s="10" t="s">
        <v>26</v>
      </c>
      <c r="AB94" s="11" t="s">
        <v>26</v>
      </c>
      <c r="AC94" s="11" t="s">
        <v>26</v>
      </c>
      <c r="AD94" s="11" t="s">
        <v>26</v>
      </c>
      <c r="AE94" s="10">
        <v>593050848.79999995</v>
      </c>
      <c r="AF94" s="11">
        <v>9.3887671919000004E-4</v>
      </c>
      <c r="AG94" s="11">
        <v>0.05</v>
      </c>
      <c r="AH94" s="11">
        <v>4.9099999999999998E-2</v>
      </c>
      <c r="AI94" s="10" t="s">
        <v>26</v>
      </c>
      <c r="AJ94" s="11" t="s">
        <v>26</v>
      </c>
      <c r="AK94" s="11" t="s">
        <v>26</v>
      </c>
      <c r="AL94" s="11" t="s">
        <v>26</v>
      </c>
      <c r="AM94" s="10" t="s">
        <v>26</v>
      </c>
      <c r="AN94" s="11" t="s">
        <v>26</v>
      </c>
      <c r="AO94" s="11" t="s">
        <v>26</v>
      </c>
      <c r="AP94" s="11" t="s">
        <v>26</v>
      </c>
      <c r="AQ94" s="10" t="s">
        <v>26</v>
      </c>
      <c r="AR94" s="11" t="s">
        <v>26</v>
      </c>
      <c r="AS94" s="11" t="s">
        <v>26</v>
      </c>
      <c r="AT94" s="11" t="s">
        <v>26</v>
      </c>
      <c r="AU94" s="10">
        <v>629788512</v>
      </c>
      <c r="AV94" s="11">
        <v>1.4155781843790001E-2</v>
      </c>
      <c r="AW94" s="11">
        <v>0.05</v>
      </c>
      <c r="AX94" s="11">
        <v>3.5799999999999998E-2</v>
      </c>
      <c r="AY94" s="10">
        <v>1222839360.8</v>
      </c>
      <c r="AZ94" s="11">
        <v>1.7057608696E-3</v>
      </c>
      <c r="BA94" s="11">
        <v>0.05</v>
      </c>
      <c r="BB94" s="11">
        <v>4.8300000000000003E-2</v>
      </c>
    </row>
    <row r="95" spans="1:54" s="7" customFormat="1">
      <c r="A95" s="3" t="s">
        <v>81</v>
      </c>
      <c r="B95" s="31" t="s">
        <v>37</v>
      </c>
      <c r="C95" s="11" t="s">
        <v>26</v>
      </c>
      <c r="D95" s="11" t="s">
        <v>26</v>
      </c>
      <c r="E95" s="11" t="s">
        <v>26</v>
      </c>
      <c r="F95" s="11" t="s">
        <v>26</v>
      </c>
      <c r="G95" s="10" t="s">
        <v>26</v>
      </c>
      <c r="H95" s="11" t="s">
        <v>26</v>
      </c>
      <c r="I95" s="11" t="s">
        <v>26</v>
      </c>
      <c r="J95" s="11" t="s">
        <v>26</v>
      </c>
      <c r="K95" s="10" t="s">
        <v>26</v>
      </c>
      <c r="L95" s="11" t="s">
        <v>26</v>
      </c>
      <c r="M95" s="11" t="s">
        <v>26</v>
      </c>
      <c r="N95" s="11" t="s">
        <v>26</v>
      </c>
      <c r="O95" s="10" t="s">
        <v>26</v>
      </c>
      <c r="P95" s="11" t="s">
        <v>26</v>
      </c>
      <c r="Q95" s="11" t="s">
        <v>26</v>
      </c>
      <c r="R95" s="11" t="s">
        <v>26</v>
      </c>
      <c r="S95" s="2">
        <v>593050848.79999995</v>
      </c>
      <c r="T95" s="1">
        <v>1</v>
      </c>
      <c r="U95" s="11" t="s">
        <v>26</v>
      </c>
      <c r="V95" s="11" t="s">
        <v>26</v>
      </c>
      <c r="W95" s="10" t="s">
        <v>26</v>
      </c>
      <c r="X95" s="11" t="s">
        <v>26</v>
      </c>
      <c r="Y95" s="11" t="s">
        <v>26</v>
      </c>
      <c r="Z95" s="11" t="s">
        <v>26</v>
      </c>
      <c r="AA95" s="10" t="s">
        <v>26</v>
      </c>
      <c r="AB95" s="11" t="s">
        <v>26</v>
      </c>
      <c r="AC95" s="11" t="s">
        <v>26</v>
      </c>
      <c r="AD95" s="11" t="s">
        <v>26</v>
      </c>
      <c r="AE95" s="2">
        <v>593050848.79999995</v>
      </c>
      <c r="AF95" s="1">
        <v>1</v>
      </c>
      <c r="AG95" s="11" t="s">
        <v>26</v>
      </c>
      <c r="AH95" s="11" t="s">
        <v>26</v>
      </c>
      <c r="AI95" s="10" t="s">
        <v>26</v>
      </c>
      <c r="AJ95" s="11" t="s">
        <v>26</v>
      </c>
      <c r="AK95" s="11" t="s">
        <v>26</v>
      </c>
      <c r="AL95" s="11" t="s">
        <v>26</v>
      </c>
      <c r="AM95" s="10" t="s">
        <v>26</v>
      </c>
      <c r="AN95" s="11" t="s">
        <v>26</v>
      </c>
      <c r="AO95" s="11" t="s">
        <v>26</v>
      </c>
      <c r="AP95" s="11" t="s">
        <v>26</v>
      </c>
      <c r="AQ95" s="10" t="s">
        <v>26</v>
      </c>
      <c r="AR95" s="11" t="s">
        <v>26</v>
      </c>
      <c r="AS95" s="11" t="s">
        <v>26</v>
      </c>
      <c r="AT95" s="11" t="s">
        <v>26</v>
      </c>
      <c r="AU95" s="2">
        <v>629788512</v>
      </c>
      <c r="AV95" s="1">
        <v>1</v>
      </c>
      <c r="AW95" s="11" t="s">
        <v>26</v>
      </c>
      <c r="AX95" s="11" t="s">
        <v>26</v>
      </c>
      <c r="AY95" s="2">
        <v>1222839360.8</v>
      </c>
      <c r="AZ95" s="1">
        <v>1</v>
      </c>
      <c r="BA95" s="11" t="s">
        <v>26</v>
      </c>
      <c r="BB95" s="11" t="s">
        <v>26</v>
      </c>
    </row>
    <row r="96" spans="1:54" s="7" customFormat="1">
      <c r="A96" s="5" t="s">
        <v>82</v>
      </c>
      <c r="B96" s="24" t="s">
        <v>25</v>
      </c>
      <c r="C96" s="11" t="s">
        <v>26</v>
      </c>
      <c r="D96" s="11" t="s">
        <v>26</v>
      </c>
      <c r="E96" s="11" t="s">
        <v>26</v>
      </c>
      <c r="F96" s="11" t="s">
        <v>26</v>
      </c>
      <c r="G96" s="10">
        <v>702005674.62</v>
      </c>
      <c r="H96" s="11">
        <v>4.73950291183E-3</v>
      </c>
      <c r="I96" s="11">
        <v>0.05</v>
      </c>
      <c r="J96" s="11">
        <v>4.53E-2</v>
      </c>
      <c r="K96" s="10">
        <v>23605033.629999999</v>
      </c>
      <c r="L96" s="11">
        <v>8.2404868193400004E-3</v>
      </c>
      <c r="M96" s="11">
        <v>0.05</v>
      </c>
      <c r="N96" s="11">
        <v>4.1799999999999997E-2</v>
      </c>
      <c r="O96" s="10">
        <v>2035934151.1099999</v>
      </c>
      <c r="P96" s="11">
        <v>9.1906558354699994E-3</v>
      </c>
      <c r="Q96" s="11">
        <v>0.05</v>
      </c>
      <c r="R96" s="11">
        <v>4.0800000000000003E-2</v>
      </c>
      <c r="S96" s="10">
        <v>708151009.08000004</v>
      </c>
      <c r="T96" s="11">
        <v>6.42510065616E-3</v>
      </c>
      <c r="U96" s="11">
        <v>0.05</v>
      </c>
      <c r="V96" s="11">
        <v>4.36E-2</v>
      </c>
      <c r="W96" s="10" t="s">
        <v>26</v>
      </c>
      <c r="X96" s="11" t="s">
        <v>26</v>
      </c>
      <c r="Y96" s="11" t="s">
        <v>26</v>
      </c>
      <c r="Z96" s="11" t="s">
        <v>26</v>
      </c>
      <c r="AA96" s="10">
        <v>371788485.74000001</v>
      </c>
      <c r="AB96" s="11">
        <v>2.7207358854200001E-3</v>
      </c>
      <c r="AC96" s="11">
        <v>0.05</v>
      </c>
      <c r="AD96" s="11">
        <v>4.7300000000000002E-2</v>
      </c>
      <c r="AE96" s="10">
        <v>3841484354.1799998</v>
      </c>
      <c r="AF96" s="11">
        <v>6.0815699607899999E-3</v>
      </c>
      <c r="AG96" s="11">
        <v>0.05</v>
      </c>
      <c r="AH96" s="11">
        <v>4.3900000000000002E-2</v>
      </c>
      <c r="AI96" s="10" t="s">
        <v>26</v>
      </c>
      <c r="AJ96" s="11" t="s">
        <v>26</v>
      </c>
      <c r="AK96" s="11" t="s">
        <v>26</v>
      </c>
      <c r="AL96" s="11" t="s">
        <v>26</v>
      </c>
      <c r="AM96" s="10" t="s">
        <v>26</v>
      </c>
      <c r="AN96" s="11" t="s">
        <v>26</v>
      </c>
      <c r="AO96" s="11" t="s">
        <v>26</v>
      </c>
      <c r="AP96" s="11" t="s">
        <v>26</v>
      </c>
      <c r="AQ96" s="10" t="s">
        <v>26</v>
      </c>
      <c r="AR96" s="11" t="s">
        <v>26</v>
      </c>
      <c r="AS96" s="11" t="s">
        <v>26</v>
      </c>
      <c r="AT96" s="11" t="s">
        <v>26</v>
      </c>
      <c r="AU96" s="10" t="s">
        <v>26</v>
      </c>
      <c r="AV96" s="11" t="s">
        <v>26</v>
      </c>
      <c r="AW96" s="11" t="s">
        <v>26</v>
      </c>
      <c r="AX96" s="11" t="s">
        <v>26</v>
      </c>
      <c r="AY96" s="10">
        <v>3841484354.1799998</v>
      </c>
      <c r="AZ96" s="11">
        <v>5.3585564078300002E-3</v>
      </c>
      <c r="BA96" s="11">
        <v>0.05</v>
      </c>
      <c r="BB96" s="11">
        <v>4.4600000000000001E-2</v>
      </c>
    </row>
    <row r="97" spans="1:54" s="7" customFormat="1">
      <c r="A97" s="3" t="s">
        <v>83</v>
      </c>
      <c r="B97" s="31" t="s">
        <v>37</v>
      </c>
      <c r="C97" s="11" t="s">
        <v>26</v>
      </c>
      <c r="D97" s="11" t="s">
        <v>26</v>
      </c>
      <c r="E97" s="11" t="s">
        <v>26</v>
      </c>
      <c r="F97" s="11" t="s">
        <v>26</v>
      </c>
      <c r="G97" s="2">
        <v>702005674.62</v>
      </c>
      <c r="H97" s="1">
        <v>1</v>
      </c>
      <c r="I97" s="11" t="s">
        <v>26</v>
      </c>
      <c r="J97" s="11" t="s">
        <v>26</v>
      </c>
      <c r="K97" s="2">
        <v>23605033.629999999</v>
      </c>
      <c r="L97" s="1">
        <v>1</v>
      </c>
      <c r="M97" s="11" t="s">
        <v>26</v>
      </c>
      <c r="N97" s="11" t="s">
        <v>26</v>
      </c>
      <c r="O97" s="2">
        <v>2035934151.1099999</v>
      </c>
      <c r="P97" s="1">
        <v>1</v>
      </c>
      <c r="Q97" s="11" t="s">
        <v>26</v>
      </c>
      <c r="R97" s="11" t="s">
        <v>26</v>
      </c>
      <c r="S97" s="2">
        <v>708151009.08000004</v>
      </c>
      <c r="T97" s="1">
        <v>1</v>
      </c>
      <c r="U97" s="11" t="s">
        <v>26</v>
      </c>
      <c r="V97" s="11" t="s">
        <v>26</v>
      </c>
      <c r="W97" s="10" t="s">
        <v>26</v>
      </c>
      <c r="X97" s="11" t="s">
        <v>26</v>
      </c>
      <c r="Y97" s="11" t="s">
        <v>26</v>
      </c>
      <c r="Z97" s="11" t="s">
        <v>26</v>
      </c>
      <c r="AA97" s="2">
        <v>371788485.74000001</v>
      </c>
      <c r="AB97" s="1">
        <v>1</v>
      </c>
      <c r="AC97" s="11" t="s">
        <v>26</v>
      </c>
      <c r="AD97" s="11" t="s">
        <v>26</v>
      </c>
      <c r="AE97" s="2">
        <v>3841484354.1799998</v>
      </c>
      <c r="AF97" s="1">
        <v>1</v>
      </c>
      <c r="AG97" s="11" t="s">
        <v>26</v>
      </c>
      <c r="AH97" s="11" t="s">
        <v>26</v>
      </c>
      <c r="AI97" s="10" t="s">
        <v>26</v>
      </c>
      <c r="AJ97" s="11" t="s">
        <v>26</v>
      </c>
      <c r="AK97" s="11" t="s">
        <v>26</v>
      </c>
      <c r="AL97" s="11" t="s">
        <v>26</v>
      </c>
      <c r="AM97" s="10" t="s">
        <v>26</v>
      </c>
      <c r="AN97" s="11" t="s">
        <v>26</v>
      </c>
      <c r="AO97" s="11" t="s">
        <v>26</v>
      </c>
      <c r="AP97" s="11" t="s">
        <v>26</v>
      </c>
      <c r="AQ97" s="10" t="s">
        <v>26</v>
      </c>
      <c r="AR97" s="11" t="s">
        <v>26</v>
      </c>
      <c r="AS97" s="11" t="s">
        <v>26</v>
      </c>
      <c r="AT97" s="11" t="s">
        <v>26</v>
      </c>
      <c r="AU97" s="10" t="s">
        <v>26</v>
      </c>
      <c r="AV97" s="11" t="s">
        <v>26</v>
      </c>
      <c r="AW97" s="11" t="s">
        <v>26</v>
      </c>
      <c r="AX97" s="11" t="s">
        <v>26</v>
      </c>
      <c r="AY97" s="2">
        <v>3841484354.1799998</v>
      </c>
      <c r="AZ97" s="1">
        <v>1</v>
      </c>
      <c r="BA97" s="11" t="s">
        <v>26</v>
      </c>
      <c r="BB97" s="11" t="s">
        <v>26</v>
      </c>
    </row>
    <row r="98" spans="1:54" s="7" customFormat="1">
      <c r="A98" s="13" t="s">
        <v>84</v>
      </c>
      <c r="B98" s="25" t="s">
        <v>25</v>
      </c>
      <c r="C98" s="56" t="s">
        <v>26</v>
      </c>
      <c r="D98" s="56" t="s">
        <v>26</v>
      </c>
      <c r="E98" s="56" t="s">
        <v>26</v>
      </c>
      <c r="F98" s="56" t="s">
        <v>26</v>
      </c>
      <c r="G98" s="55">
        <v>6697669638.2399998</v>
      </c>
      <c r="H98" s="56">
        <v>4.5218473155640003E-2</v>
      </c>
      <c r="I98" s="56">
        <v>0.15</v>
      </c>
      <c r="J98" s="56">
        <f>+I98-H98</f>
        <v>0.10478152684435998</v>
      </c>
      <c r="K98" s="55">
        <v>130931558.06999999</v>
      </c>
      <c r="L98" s="56">
        <v>4.5708038184720003E-2</v>
      </c>
      <c r="M98" s="56">
        <v>0.15</v>
      </c>
      <c r="N98" s="56">
        <f>+M98-L98</f>
        <v>0.10429196181528</v>
      </c>
      <c r="O98" s="55">
        <v>23384991038.080002</v>
      </c>
      <c r="P98" s="56">
        <v>0.10556500770391</v>
      </c>
      <c r="Q98" s="56">
        <v>0.15</v>
      </c>
      <c r="R98" s="56">
        <f>+Q98-P98</f>
        <v>4.4434992296089992E-2</v>
      </c>
      <c r="S98" s="55">
        <v>4989917898.1899996</v>
      </c>
      <c r="T98" s="56">
        <v>4.5273853105870003E-2</v>
      </c>
      <c r="U98" s="56">
        <v>0.15</v>
      </c>
      <c r="V98" s="56">
        <f>+U98-T98</f>
        <v>0.10472614689412998</v>
      </c>
      <c r="W98" s="56" t="s">
        <v>26</v>
      </c>
      <c r="X98" s="56" t="s">
        <v>26</v>
      </c>
      <c r="Y98" s="56" t="s">
        <v>26</v>
      </c>
      <c r="Z98" s="56" t="s">
        <v>26</v>
      </c>
      <c r="AA98" s="55">
        <v>5958195203.1800003</v>
      </c>
      <c r="AB98" s="56">
        <v>4.3601876129540001E-2</v>
      </c>
      <c r="AC98" s="56">
        <v>0.15</v>
      </c>
      <c r="AD98" s="56">
        <f>+AC98-AB98</f>
        <v>0.10639812387045999</v>
      </c>
      <c r="AE98" s="55">
        <v>41161705335.760002</v>
      </c>
      <c r="AF98" s="56">
        <v>6.516433951693E-2</v>
      </c>
      <c r="AG98" s="56">
        <v>0.15</v>
      </c>
      <c r="AH98" s="56">
        <f>+AG98-AF98</f>
        <v>8.4835660483069994E-2</v>
      </c>
      <c r="AI98" s="56" t="s">
        <v>26</v>
      </c>
      <c r="AJ98" s="56" t="s">
        <v>26</v>
      </c>
      <c r="AK98" s="56" t="s">
        <v>26</v>
      </c>
      <c r="AL98" s="56" t="s">
        <v>26</v>
      </c>
      <c r="AM98" s="56" t="s">
        <v>26</v>
      </c>
      <c r="AN98" s="56" t="s">
        <v>26</v>
      </c>
      <c r="AO98" s="56" t="s">
        <v>26</v>
      </c>
      <c r="AP98" s="56" t="s">
        <v>26</v>
      </c>
      <c r="AQ98" s="56" t="s">
        <v>26</v>
      </c>
      <c r="AR98" s="56" t="s">
        <v>26</v>
      </c>
      <c r="AS98" s="56" t="s">
        <v>26</v>
      </c>
      <c r="AT98" s="56" t="s">
        <v>26</v>
      </c>
      <c r="AU98" s="55">
        <v>1858416155.23</v>
      </c>
      <c r="AV98" s="56">
        <v>4.1771695048670003E-2</v>
      </c>
      <c r="AW98" s="56">
        <v>0.15</v>
      </c>
      <c r="AX98" s="56">
        <f>+AW98-AV98</f>
        <v>0.10822830495132998</v>
      </c>
      <c r="AY98" s="55">
        <v>43020121490.989998</v>
      </c>
      <c r="AZ98" s="56">
        <v>6.0009550066300002E-2</v>
      </c>
      <c r="BA98" s="56">
        <v>0.15</v>
      </c>
      <c r="BB98" s="56">
        <f>+BA98-AZ98</f>
        <v>8.9990449933699992E-2</v>
      </c>
    </row>
    <row r="99" spans="1:54" s="7" customFormat="1">
      <c r="A99" s="5" t="s">
        <v>85</v>
      </c>
      <c r="B99" s="24" t="s">
        <v>25</v>
      </c>
      <c r="C99" s="11" t="s">
        <v>26</v>
      </c>
      <c r="D99" s="11" t="s">
        <v>26</v>
      </c>
      <c r="E99" s="11" t="s">
        <v>26</v>
      </c>
      <c r="F99" s="11" t="s">
        <v>26</v>
      </c>
      <c r="G99" s="10">
        <v>538747971.14999998</v>
      </c>
      <c r="H99" s="11">
        <v>3.63728908515E-3</v>
      </c>
      <c r="I99" s="11" t="s">
        <v>26</v>
      </c>
      <c r="J99" s="11" t="s">
        <v>26</v>
      </c>
      <c r="K99" s="10">
        <v>63382114.25</v>
      </c>
      <c r="L99" s="11">
        <v>2.212661440123E-2</v>
      </c>
      <c r="M99" s="11" t="s">
        <v>26</v>
      </c>
      <c r="N99" s="11" t="s">
        <v>26</v>
      </c>
      <c r="O99" s="10" t="s">
        <v>26</v>
      </c>
      <c r="P99" s="11" t="s">
        <v>26</v>
      </c>
      <c r="Q99" s="11" t="s">
        <v>26</v>
      </c>
      <c r="R99" s="11" t="s">
        <v>26</v>
      </c>
      <c r="S99" s="10">
        <v>280898006.35000002</v>
      </c>
      <c r="T99" s="11">
        <v>2.5486060766299998E-3</v>
      </c>
      <c r="U99" s="11" t="s">
        <v>26</v>
      </c>
      <c r="V99" s="11" t="s">
        <v>26</v>
      </c>
      <c r="W99" s="10" t="s">
        <v>26</v>
      </c>
      <c r="X99" s="11" t="s">
        <v>26</v>
      </c>
      <c r="Y99" s="11" t="s">
        <v>26</v>
      </c>
      <c r="Z99" s="11" t="s">
        <v>26</v>
      </c>
      <c r="AA99" s="10">
        <v>226158907.66999999</v>
      </c>
      <c r="AB99" s="11">
        <v>1.65502343269E-3</v>
      </c>
      <c r="AC99" s="11" t="s">
        <v>26</v>
      </c>
      <c r="AD99" s="11" t="s">
        <v>26</v>
      </c>
      <c r="AE99" s="10">
        <v>1109186999.4200001</v>
      </c>
      <c r="AF99" s="11">
        <v>1.7559874555300001E-3</v>
      </c>
      <c r="AG99" s="11" t="s">
        <v>26</v>
      </c>
      <c r="AH99" s="11" t="s">
        <v>26</v>
      </c>
      <c r="AI99" s="10" t="s">
        <v>26</v>
      </c>
      <c r="AJ99" s="11" t="s">
        <v>26</v>
      </c>
      <c r="AK99" s="11" t="s">
        <v>26</v>
      </c>
      <c r="AL99" s="11" t="s">
        <v>26</v>
      </c>
      <c r="AM99" s="10" t="s">
        <v>26</v>
      </c>
      <c r="AN99" s="11" t="s">
        <v>26</v>
      </c>
      <c r="AO99" s="11" t="s">
        <v>26</v>
      </c>
      <c r="AP99" s="11" t="s">
        <v>26</v>
      </c>
      <c r="AQ99" s="10" t="s">
        <v>26</v>
      </c>
      <c r="AR99" s="11" t="s">
        <v>26</v>
      </c>
      <c r="AS99" s="11" t="s">
        <v>26</v>
      </c>
      <c r="AT99" s="11" t="s">
        <v>26</v>
      </c>
      <c r="AU99" s="10" t="s">
        <v>26</v>
      </c>
      <c r="AV99" s="11" t="s">
        <v>26</v>
      </c>
      <c r="AW99" s="11" t="s">
        <v>26</v>
      </c>
      <c r="AX99" s="11" t="s">
        <v>26</v>
      </c>
      <c r="AY99" s="10">
        <v>1109186999.4200001</v>
      </c>
      <c r="AZ99" s="11">
        <v>1.5472251232100001E-3</v>
      </c>
      <c r="BA99" s="11" t="s">
        <v>26</v>
      </c>
      <c r="BB99" s="11" t="s">
        <v>26</v>
      </c>
    </row>
    <row r="100" spans="1:54" s="7" customFormat="1">
      <c r="A100" s="3" t="s">
        <v>86</v>
      </c>
      <c r="B100" s="31" t="s">
        <v>46</v>
      </c>
      <c r="C100" s="11" t="s">
        <v>26</v>
      </c>
      <c r="D100" s="11" t="s">
        <v>26</v>
      </c>
      <c r="E100" s="11" t="s">
        <v>26</v>
      </c>
      <c r="F100" s="11" t="s">
        <v>26</v>
      </c>
      <c r="G100" s="2">
        <v>538747971.14999998</v>
      </c>
      <c r="H100" s="1">
        <v>1</v>
      </c>
      <c r="I100" s="11" t="s">
        <v>26</v>
      </c>
      <c r="J100" s="11" t="s">
        <v>26</v>
      </c>
      <c r="K100" s="2">
        <v>63382114.25</v>
      </c>
      <c r="L100" s="1">
        <v>1</v>
      </c>
      <c r="M100" s="11" t="s">
        <v>26</v>
      </c>
      <c r="N100" s="11" t="s">
        <v>26</v>
      </c>
      <c r="O100" s="10" t="s">
        <v>26</v>
      </c>
      <c r="P100" s="11" t="s">
        <v>26</v>
      </c>
      <c r="Q100" s="11" t="s">
        <v>26</v>
      </c>
      <c r="R100" s="11" t="s">
        <v>26</v>
      </c>
      <c r="S100" s="2">
        <v>280898006.35000002</v>
      </c>
      <c r="T100" s="1">
        <v>1</v>
      </c>
      <c r="U100" s="11" t="s">
        <v>26</v>
      </c>
      <c r="V100" s="11" t="s">
        <v>26</v>
      </c>
      <c r="W100" s="10" t="s">
        <v>26</v>
      </c>
      <c r="X100" s="11" t="s">
        <v>26</v>
      </c>
      <c r="Y100" s="11" t="s">
        <v>26</v>
      </c>
      <c r="Z100" s="11" t="s">
        <v>26</v>
      </c>
      <c r="AA100" s="2">
        <v>226158907.66999999</v>
      </c>
      <c r="AB100" s="1">
        <v>1</v>
      </c>
      <c r="AC100" s="11" t="s">
        <v>26</v>
      </c>
      <c r="AD100" s="11" t="s">
        <v>26</v>
      </c>
      <c r="AE100" s="2">
        <v>1109186999.4200001</v>
      </c>
      <c r="AF100" s="1">
        <v>1</v>
      </c>
      <c r="AG100" s="11" t="s">
        <v>26</v>
      </c>
      <c r="AH100" s="11" t="s">
        <v>26</v>
      </c>
      <c r="AI100" s="10" t="s">
        <v>26</v>
      </c>
      <c r="AJ100" s="11" t="s">
        <v>26</v>
      </c>
      <c r="AK100" s="11" t="s">
        <v>26</v>
      </c>
      <c r="AL100" s="11" t="s">
        <v>26</v>
      </c>
      <c r="AM100" s="10" t="s">
        <v>26</v>
      </c>
      <c r="AN100" s="11" t="s">
        <v>26</v>
      </c>
      <c r="AO100" s="11" t="s">
        <v>26</v>
      </c>
      <c r="AP100" s="11" t="s">
        <v>26</v>
      </c>
      <c r="AQ100" s="10" t="s">
        <v>26</v>
      </c>
      <c r="AR100" s="11" t="s">
        <v>26</v>
      </c>
      <c r="AS100" s="11" t="s">
        <v>26</v>
      </c>
      <c r="AT100" s="11" t="s">
        <v>26</v>
      </c>
      <c r="AU100" s="10" t="s">
        <v>26</v>
      </c>
      <c r="AV100" s="11" t="s">
        <v>26</v>
      </c>
      <c r="AW100" s="11" t="s">
        <v>26</v>
      </c>
      <c r="AX100" s="11" t="s">
        <v>26</v>
      </c>
      <c r="AY100" s="2">
        <v>1109186999.4200001</v>
      </c>
      <c r="AZ100" s="1">
        <v>1</v>
      </c>
      <c r="BA100" s="11" t="s">
        <v>26</v>
      </c>
      <c r="BB100" s="11" t="s">
        <v>26</v>
      </c>
    </row>
    <row r="101" spans="1:54" s="7" customFormat="1">
      <c r="A101" s="5" t="s">
        <v>87</v>
      </c>
      <c r="B101" s="24" t="s">
        <v>25</v>
      </c>
      <c r="C101" s="11" t="s">
        <v>26</v>
      </c>
      <c r="D101" s="11" t="s">
        <v>26</v>
      </c>
      <c r="E101" s="11" t="s">
        <v>26</v>
      </c>
      <c r="F101" s="11" t="s">
        <v>26</v>
      </c>
      <c r="G101" s="10">
        <v>1892289706.47</v>
      </c>
      <c r="H101" s="11">
        <v>1.277555566584E-2</v>
      </c>
      <c r="I101" s="11" t="s">
        <v>26</v>
      </c>
      <c r="J101" s="11" t="s">
        <v>26</v>
      </c>
      <c r="K101" s="10" t="s">
        <v>26</v>
      </c>
      <c r="L101" s="11" t="s">
        <v>26</v>
      </c>
      <c r="M101" s="11" t="s">
        <v>26</v>
      </c>
      <c r="N101" s="11" t="s">
        <v>26</v>
      </c>
      <c r="O101" s="10">
        <v>3393362428.9200001</v>
      </c>
      <c r="P101" s="11">
        <v>1.5318386497039999E-2</v>
      </c>
      <c r="Q101" s="11" t="s">
        <v>26</v>
      </c>
      <c r="R101" s="11" t="s">
        <v>26</v>
      </c>
      <c r="S101" s="10">
        <v>1236692085.2</v>
      </c>
      <c r="T101" s="11">
        <v>1.12205885838E-2</v>
      </c>
      <c r="U101" s="11" t="s">
        <v>26</v>
      </c>
      <c r="V101" s="11" t="s">
        <v>26</v>
      </c>
      <c r="W101" s="10" t="s">
        <v>26</v>
      </c>
      <c r="X101" s="11" t="s">
        <v>26</v>
      </c>
      <c r="Y101" s="11" t="s">
        <v>26</v>
      </c>
      <c r="Z101" s="11" t="s">
        <v>26</v>
      </c>
      <c r="AA101" s="10">
        <v>1891083177.6099999</v>
      </c>
      <c r="AB101" s="11">
        <v>1.383888436834E-2</v>
      </c>
      <c r="AC101" s="11" t="s">
        <v>26</v>
      </c>
      <c r="AD101" s="11" t="s">
        <v>26</v>
      </c>
      <c r="AE101" s="10">
        <v>8413427398.1999998</v>
      </c>
      <c r="AF101" s="11">
        <v>1.331955114603E-2</v>
      </c>
      <c r="AG101" s="11" t="s">
        <v>26</v>
      </c>
      <c r="AH101" s="11" t="s">
        <v>26</v>
      </c>
      <c r="AI101" s="10" t="s">
        <v>26</v>
      </c>
      <c r="AJ101" s="11" t="s">
        <v>26</v>
      </c>
      <c r="AK101" s="11" t="s">
        <v>26</v>
      </c>
      <c r="AL101" s="11" t="s">
        <v>26</v>
      </c>
      <c r="AM101" s="10" t="s">
        <v>26</v>
      </c>
      <c r="AN101" s="11" t="s">
        <v>26</v>
      </c>
      <c r="AO101" s="11" t="s">
        <v>26</v>
      </c>
      <c r="AP101" s="11" t="s">
        <v>26</v>
      </c>
      <c r="AQ101" s="10" t="s">
        <v>26</v>
      </c>
      <c r="AR101" s="11" t="s">
        <v>26</v>
      </c>
      <c r="AS101" s="11" t="s">
        <v>26</v>
      </c>
      <c r="AT101" s="11" t="s">
        <v>26</v>
      </c>
      <c r="AU101" s="10">
        <v>310228734.06</v>
      </c>
      <c r="AV101" s="11">
        <v>6.9730237966500004E-3</v>
      </c>
      <c r="AW101" s="11" t="s">
        <v>26</v>
      </c>
      <c r="AX101" s="11" t="s">
        <v>26</v>
      </c>
      <c r="AY101" s="10">
        <v>8723656132.2600002</v>
      </c>
      <c r="AZ101" s="11">
        <v>1.2168786634869999E-2</v>
      </c>
      <c r="BA101" s="11" t="s">
        <v>26</v>
      </c>
      <c r="BB101" s="11" t="s">
        <v>26</v>
      </c>
    </row>
    <row r="102" spans="1:54" s="7" customFormat="1">
      <c r="A102" s="3" t="s">
        <v>86</v>
      </c>
      <c r="B102" s="31" t="s">
        <v>46</v>
      </c>
      <c r="C102" s="11" t="s">
        <v>26</v>
      </c>
      <c r="D102" s="11" t="s">
        <v>26</v>
      </c>
      <c r="E102" s="11" t="s">
        <v>26</v>
      </c>
      <c r="F102" s="11" t="s">
        <v>26</v>
      </c>
      <c r="G102" s="2">
        <v>1892289706.47</v>
      </c>
      <c r="H102" s="1">
        <v>1</v>
      </c>
      <c r="I102" s="11" t="s">
        <v>26</v>
      </c>
      <c r="J102" s="11" t="s">
        <v>26</v>
      </c>
      <c r="K102" s="10" t="s">
        <v>26</v>
      </c>
      <c r="L102" s="11" t="s">
        <v>26</v>
      </c>
      <c r="M102" s="11" t="s">
        <v>26</v>
      </c>
      <c r="N102" s="11" t="s">
        <v>26</v>
      </c>
      <c r="O102" s="2">
        <v>3393362428.9200001</v>
      </c>
      <c r="P102" s="1">
        <v>1</v>
      </c>
      <c r="Q102" s="11" t="s">
        <v>26</v>
      </c>
      <c r="R102" s="11" t="s">
        <v>26</v>
      </c>
      <c r="S102" s="2">
        <v>1236692085.2</v>
      </c>
      <c r="T102" s="1">
        <v>1</v>
      </c>
      <c r="U102" s="11" t="s">
        <v>26</v>
      </c>
      <c r="V102" s="11" t="s">
        <v>26</v>
      </c>
      <c r="W102" s="10" t="s">
        <v>26</v>
      </c>
      <c r="X102" s="11" t="s">
        <v>26</v>
      </c>
      <c r="Y102" s="11" t="s">
        <v>26</v>
      </c>
      <c r="Z102" s="11" t="s">
        <v>26</v>
      </c>
      <c r="AA102" s="2">
        <v>1891083177.6099999</v>
      </c>
      <c r="AB102" s="1">
        <v>1</v>
      </c>
      <c r="AC102" s="11" t="s">
        <v>26</v>
      </c>
      <c r="AD102" s="11" t="s">
        <v>26</v>
      </c>
      <c r="AE102" s="2">
        <v>8413427398.1999998</v>
      </c>
      <c r="AF102" s="1">
        <v>1</v>
      </c>
      <c r="AG102" s="11" t="s">
        <v>26</v>
      </c>
      <c r="AH102" s="11" t="s">
        <v>26</v>
      </c>
      <c r="AI102" s="10" t="s">
        <v>26</v>
      </c>
      <c r="AJ102" s="11" t="s">
        <v>26</v>
      </c>
      <c r="AK102" s="11" t="s">
        <v>26</v>
      </c>
      <c r="AL102" s="11" t="s">
        <v>26</v>
      </c>
      <c r="AM102" s="10" t="s">
        <v>26</v>
      </c>
      <c r="AN102" s="11" t="s">
        <v>26</v>
      </c>
      <c r="AO102" s="11" t="s">
        <v>26</v>
      </c>
      <c r="AP102" s="11" t="s">
        <v>26</v>
      </c>
      <c r="AQ102" s="10" t="s">
        <v>26</v>
      </c>
      <c r="AR102" s="11" t="s">
        <v>26</v>
      </c>
      <c r="AS102" s="11" t="s">
        <v>26</v>
      </c>
      <c r="AT102" s="11" t="s">
        <v>26</v>
      </c>
      <c r="AU102" s="2">
        <v>310228734.06</v>
      </c>
      <c r="AV102" s="1">
        <v>1</v>
      </c>
      <c r="AW102" s="11" t="s">
        <v>26</v>
      </c>
      <c r="AX102" s="11" t="s">
        <v>26</v>
      </c>
      <c r="AY102" s="2">
        <v>8723656132.2600002</v>
      </c>
      <c r="AZ102" s="1">
        <v>1</v>
      </c>
      <c r="BA102" s="11" t="s">
        <v>26</v>
      </c>
      <c r="BB102" s="11" t="s">
        <v>26</v>
      </c>
    </row>
    <row r="103" spans="1:54" s="7" customFormat="1">
      <c r="A103" s="5" t="s">
        <v>88</v>
      </c>
      <c r="B103" s="24" t="s">
        <v>25</v>
      </c>
      <c r="C103" s="11" t="s">
        <v>26</v>
      </c>
      <c r="D103" s="11" t="s">
        <v>26</v>
      </c>
      <c r="E103" s="11" t="s">
        <v>26</v>
      </c>
      <c r="F103" s="11" t="s">
        <v>26</v>
      </c>
      <c r="G103" s="10">
        <v>1470353742.0599999</v>
      </c>
      <c r="H103" s="11">
        <v>9.9269081345900005E-3</v>
      </c>
      <c r="I103" s="11" t="s">
        <v>26</v>
      </c>
      <c r="J103" s="11" t="s">
        <v>26</v>
      </c>
      <c r="K103" s="10" t="s">
        <v>26</v>
      </c>
      <c r="L103" s="11" t="s">
        <v>26</v>
      </c>
      <c r="M103" s="11" t="s">
        <v>26</v>
      </c>
      <c r="N103" s="11" t="s">
        <v>26</v>
      </c>
      <c r="O103" s="10">
        <v>1413801675.0599999</v>
      </c>
      <c r="P103" s="11">
        <v>6.3822126113500001E-3</v>
      </c>
      <c r="Q103" s="11" t="s">
        <v>26</v>
      </c>
      <c r="R103" s="11" t="s">
        <v>26</v>
      </c>
      <c r="S103" s="10">
        <v>1413801675.0599999</v>
      </c>
      <c r="T103" s="11">
        <v>1.282751553502E-2</v>
      </c>
      <c r="U103" s="11" t="s">
        <v>26</v>
      </c>
      <c r="V103" s="11" t="s">
        <v>26</v>
      </c>
      <c r="W103" s="10" t="s">
        <v>26</v>
      </c>
      <c r="X103" s="11" t="s">
        <v>26</v>
      </c>
      <c r="Y103" s="11" t="s">
        <v>26</v>
      </c>
      <c r="Z103" s="11" t="s">
        <v>26</v>
      </c>
      <c r="AA103" s="10">
        <v>1356401327.0599999</v>
      </c>
      <c r="AB103" s="11">
        <v>9.9261002077999996E-3</v>
      </c>
      <c r="AC103" s="11" t="s">
        <v>26</v>
      </c>
      <c r="AD103" s="11" t="s">
        <v>26</v>
      </c>
      <c r="AE103" s="10">
        <v>5654358419.2399998</v>
      </c>
      <c r="AF103" s="11">
        <v>8.9515856735300006E-3</v>
      </c>
      <c r="AG103" s="11" t="s">
        <v>26</v>
      </c>
      <c r="AH103" s="11" t="s">
        <v>26</v>
      </c>
      <c r="AI103" s="10" t="s">
        <v>26</v>
      </c>
      <c r="AJ103" s="11" t="s">
        <v>26</v>
      </c>
      <c r="AK103" s="11" t="s">
        <v>26</v>
      </c>
      <c r="AL103" s="11" t="s">
        <v>26</v>
      </c>
      <c r="AM103" s="10" t="s">
        <v>26</v>
      </c>
      <c r="AN103" s="11" t="s">
        <v>26</v>
      </c>
      <c r="AO103" s="11" t="s">
        <v>26</v>
      </c>
      <c r="AP103" s="11" t="s">
        <v>26</v>
      </c>
      <c r="AQ103" s="10" t="s">
        <v>26</v>
      </c>
      <c r="AR103" s="11" t="s">
        <v>26</v>
      </c>
      <c r="AS103" s="11" t="s">
        <v>26</v>
      </c>
      <c r="AT103" s="11" t="s">
        <v>26</v>
      </c>
      <c r="AU103" s="10" t="s">
        <v>26</v>
      </c>
      <c r="AV103" s="11" t="s">
        <v>26</v>
      </c>
      <c r="AW103" s="11" t="s">
        <v>26</v>
      </c>
      <c r="AX103" s="11" t="s">
        <v>26</v>
      </c>
      <c r="AY103" s="10">
        <v>5654358419.2399998</v>
      </c>
      <c r="AZ103" s="11">
        <v>7.8873674199900004E-3</v>
      </c>
      <c r="BA103" s="11" t="s">
        <v>26</v>
      </c>
      <c r="BB103" s="11" t="s">
        <v>26</v>
      </c>
    </row>
    <row r="104" spans="1:54" s="7" customFormat="1">
      <c r="A104" s="3" t="s">
        <v>86</v>
      </c>
      <c r="B104" s="31" t="s">
        <v>46</v>
      </c>
      <c r="C104" s="11" t="s">
        <v>26</v>
      </c>
      <c r="D104" s="11" t="s">
        <v>26</v>
      </c>
      <c r="E104" s="11" t="s">
        <v>26</v>
      </c>
      <c r="F104" s="11" t="s">
        <v>26</v>
      </c>
      <c r="G104" s="2">
        <v>1470353742.0599999</v>
      </c>
      <c r="H104" s="1">
        <v>1</v>
      </c>
      <c r="I104" s="11" t="s">
        <v>26</v>
      </c>
      <c r="J104" s="11" t="s">
        <v>26</v>
      </c>
      <c r="K104" s="10" t="s">
        <v>26</v>
      </c>
      <c r="L104" s="11" t="s">
        <v>26</v>
      </c>
      <c r="M104" s="11" t="s">
        <v>26</v>
      </c>
      <c r="N104" s="11" t="s">
        <v>26</v>
      </c>
      <c r="O104" s="2">
        <v>1413801675.0599999</v>
      </c>
      <c r="P104" s="1">
        <v>1</v>
      </c>
      <c r="Q104" s="11" t="s">
        <v>26</v>
      </c>
      <c r="R104" s="11" t="s">
        <v>26</v>
      </c>
      <c r="S104" s="2">
        <v>1413801675.0599999</v>
      </c>
      <c r="T104" s="1">
        <v>1</v>
      </c>
      <c r="U104" s="11" t="s">
        <v>26</v>
      </c>
      <c r="V104" s="11" t="s">
        <v>26</v>
      </c>
      <c r="W104" s="10" t="s">
        <v>26</v>
      </c>
      <c r="X104" s="11" t="s">
        <v>26</v>
      </c>
      <c r="Y104" s="11" t="s">
        <v>26</v>
      </c>
      <c r="Z104" s="11" t="s">
        <v>26</v>
      </c>
      <c r="AA104" s="2">
        <v>1356401327.0599999</v>
      </c>
      <c r="AB104" s="1">
        <v>1</v>
      </c>
      <c r="AC104" s="11" t="s">
        <v>26</v>
      </c>
      <c r="AD104" s="11" t="s">
        <v>26</v>
      </c>
      <c r="AE104" s="2">
        <v>5654358419.2399998</v>
      </c>
      <c r="AF104" s="1">
        <v>0.76011401710145998</v>
      </c>
      <c r="AG104" s="11" t="s">
        <v>26</v>
      </c>
      <c r="AH104" s="11" t="s">
        <v>26</v>
      </c>
      <c r="AI104" s="10" t="s">
        <v>26</v>
      </c>
      <c r="AJ104" s="11" t="s">
        <v>26</v>
      </c>
      <c r="AK104" s="11" t="s">
        <v>26</v>
      </c>
      <c r="AL104" s="11" t="s">
        <v>26</v>
      </c>
      <c r="AM104" s="10" t="s">
        <v>26</v>
      </c>
      <c r="AN104" s="11" t="s">
        <v>26</v>
      </c>
      <c r="AO104" s="11" t="s">
        <v>26</v>
      </c>
      <c r="AP104" s="11" t="s">
        <v>26</v>
      </c>
      <c r="AQ104" s="10" t="s">
        <v>26</v>
      </c>
      <c r="AR104" s="11" t="s">
        <v>26</v>
      </c>
      <c r="AS104" s="11" t="s">
        <v>26</v>
      </c>
      <c r="AT104" s="11" t="s">
        <v>26</v>
      </c>
      <c r="AU104" s="10" t="s">
        <v>26</v>
      </c>
      <c r="AV104" s="11" t="s">
        <v>26</v>
      </c>
      <c r="AW104" s="11" t="s">
        <v>26</v>
      </c>
      <c r="AX104" s="11" t="s">
        <v>26</v>
      </c>
      <c r="AY104" s="2">
        <v>5654358419.2399998</v>
      </c>
      <c r="AZ104" s="1">
        <v>0.76011401710145998</v>
      </c>
      <c r="BA104" s="11" t="s">
        <v>26</v>
      </c>
      <c r="BB104" s="11" t="s">
        <v>26</v>
      </c>
    </row>
    <row r="105" spans="1:54" s="7" customFormat="1">
      <c r="A105" s="5" t="s">
        <v>89</v>
      </c>
      <c r="B105" s="24" t="s">
        <v>25</v>
      </c>
      <c r="C105" s="11" t="s">
        <v>26</v>
      </c>
      <c r="D105" s="11" t="s">
        <v>26</v>
      </c>
      <c r="E105" s="11" t="s">
        <v>26</v>
      </c>
      <c r="F105" s="11" t="s">
        <v>26</v>
      </c>
      <c r="G105" s="10" t="s">
        <v>26</v>
      </c>
      <c r="H105" s="11" t="s">
        <v>26</v>
      </c>
      <c r="I105" s="11" t="s">
        <v>26</v>
      </c>
      <c r="J105" s="11" t="s">
        <v>26</v>
      </c>
      <c r="K105" s="10" t="s">
        <v>26</v>
      </c>
      <c r="L105" s="11" t="s">
        <v>26</v>
      </c>
      <c r="M105" s="11" t="s">
        <v>26</v>
      </c>
      <c r="N105" s="11" t="s">
        <v>26</v>
      </c>
      <c r="O105" s="10">
        <v>3660030727.3299999</v>
      </c>
      <c r="P105" s="11">
        <v>1.6522186016579999E-2</v>
      </c>
      <c r="Q105" s="11" t="s">
        <v>26</v>
      </c>
      <c r="R105" s="11" t="s">
        <v>26</v>
      </c>
      <c r="S105" s="10">
        <v>657005336.29999995</v>
      </c>
      <c r="T105" s="11">
        <v>5.9610526049299999E-3</v>
      </c>
      <c r="U105" s="11" t="s">
        <v>26</v>
      </c>
      <c r="V105" s="11" t="s">
        <v>26</v>
      </c>
      <c r="W105" s="10" t="s">
        <v>26</v>
      </c>
      <c r="X105" s="11" t="s">
        <v>26</v>
      </c>
      <c r="Y105" s="11" t="s">
        <v>26</v>
      </c>
      <c r="Z105" s="11" t="s">
        <v>26</v>
      </c>
      <c r="AA105" s="10">
        <v>1313670003.1700001</v>
      </c>
      <c r="AB105" s="11">
        <v>9.6133937878899994E-3</v>
      </c>
      <c r="AC105" s="11" t="s">
        <v>26</v>
      </c>
      <c r="AD105" s="11" t="s">
        <v>26</v>
      </c>
      <c r="AE105" s="10">
        <v>5630706066.8000002</v>
      </c>
      <c r="AF105" s="11">
        <v>8.9141409196700008E-3</v>
      </c>
      <c r="AG105" s="11" t="s">
        <v>26</v>
      </c>
      <c r="AH105" s="11" t="s">
        <v>26</v>
      </c>
      <c r="AI105" s="10" t="s">
        <v>26</v>
      </c>
      <c r="AJ105" s="11" t="s">
        <v>26</v>
      </c>
      <c r="AK105" s="11" t="s">
        <v>26</v>
      </c>
      <c r="AL105" s="11" t="s">
        <v>26</v>
      </c>
      <c r="AM105" s="10" t="s">
        <v>26</v>
      </c>
      <c r="AN105" s="11" t="s">
        <v>26</v>
      </c>
      <c r="AO105" s="11" t="s">
        <v>26</v>
      </c>
      <c r="AP105" s="11" t="s">
        <v>26</v>
      </c>
      <c r="AQ105" s="10" t="s">
        <v>26</v>
      </c>
      <c r="AR105" s="11" t="s">
        <v>26</v>
      </c>
      <c r="AS105" s="11" t="s">
        <v>26</v>
      </c>
      <c r="AT105" s="11" t="s">
        <v>26</v>
      </c>
      <c r="AU105" s="10">
        <v>365002964.61000001</v>
      </c>
      <c r="AV105" s="11">
        <v>8.2041863910000002E-3</v>
      </c>
      <c r="AW105" s="11" t="s">
        <v>26</v>
      </c>
      <c r="AX105" s="11" t="s">
        <v>26</v>
      </c>
      <c r="AY105" s="10">
        <v>5995709031.4099998</v>
      </c>
      <c r="AZ105" s="11">
        <v>8.3635235985700003E-3</v>
      </c>
      <c r="BA105" s="11" t="s">
        <v>26</v>
      </c>
      <c r="BB105" s="11" t="s">
        <v>26</v>
      </c>
    </row>
    <row r="106" spans="1:54" s="7" customFormat="1">
      <c r="A106" s="3" t="s">
        <v>86</v>
      </c>
      <c r="B106" s="31" t="s">
        <v>46</v>
      </c>
      <c r="C106" s="11" t="s">
        <v>26</v>
      </c>
      <c r="D106" s="11" t="s">
        <v>26</v>
      </c>
      <c r="E106" s="11" t="s">
        <v>26</v>
      </c>
      <c r="F106" s="11" t="s">
        <v>26</v>
      </c>
      <c r="G106" s="2" t="s">
        <v>26</v>
      </c>
      <c r="H106" s="1" t="s">
        <v>26</v>
      </c>
      <c r="I106" s="11" t="s">
        <v>26</v>
      </c>
      <c r="J106" s="11" t="s">
        <v>26</v>
      </c>
      <c r="K106" s="10" t="s">
        <v>26</v>
      </c>
      <c r="L106" s="11" t="s">
        <v>26</v>
      </c>
      <c r="M106" s="11" t="s">
        <v>26</v>
      </c>
      <c r="N106" s="11" t="s">
        <v>26</v>
      </c>
      <c r="O106" s="2">
        <v>3660030727.3299999</v>
      </c>
      <c r="P106" s="1">
        <v>1</v>
      </c>
      <c r="Q106" s="11" t="s">
        <v>26</v>
      </c>
      <c r="R106" s="11" t="s">
        <v>26</v>
      </c>
      <c r="S106" s="2">
        <v>657005336.29999995</v>
      </c>
      <c r="T106" s="1">
        <v>1</v>
      </c>
      <c r="U106" s="11" t="s">
        <v>26</v>
      </c>
      <c r="V106" s="11" t="s">
        <v>26</v>
      </c>
      <c r="W106" s="10" t="s">
        <v>26</v>
      </c>
      <c r="X106" s="11" t="s">
        <v>26</v>
      </c>
      <c r="Y106" s="11" t="s">
        <v>26</v>
      </c>
      <c r="Z106" s="11" t="s">
        <v>26</v>
      </c>
      <c r="AA106" s="2">
        <v>1313670003.1700001</v>
      </c>
      <c r="AB106" s="1">
        <v>1</v>
      </c>
      <c r="AC106" s="11" t="s">
        <v>26</v>
      </c>
      <c r="AD106" s="11" t="s">
        <v>26</v>
      </c>
      <c r="AE106" s="2">
        <v>5630706066.8000002</v>
      </c>
      <c r="AF106" s="1">
        <v>1</v>
      </c>
      <c r="AG106" s="11" t="s">
        <v>26</v>
      </c>
      <c r="AH106" s="11" t="s">
        <v>26</v>
      </c>
      <c r="AI106" s="10" t="s">
        <v>26</v>
      </c>
      <c r="AJ106" s="11" t="s">
        <v>26</v>
      </c>
      <c r="AK106" s="11" t="s">
        <v>26</v>
      </c>
      <c r="AL106" s="11" t="s">
        <v>26</v>
      </c>
      <c r="AM106" s="10" t="s">
        <v>26</v>
      </c>
      <c r="AN106" s="11" t="s">
        <v>26</v>
      </c>
      <c r="AO106" s="11" t="s">
        <v>26</v>
      </c>
      <c r="AP106" s="11" t="s">
        <v>26</v>
      </c>
      <c r="AQ106" s="10" t="s">
        <v>26</v>
      </c>
      <c r="AR106" s="11" t="s">
        <v>26</v>
      </c>
      <c r="AS106" s="11" t="s">
        <v>26</v>
      </c>
      <c r="AT106" s="11" t="s">
        <v>26</v>
      </c>
      <c r="AU106" s="2">
        <v>365002964.61000001</v>
      </c>
      <c r="AV106" s="1">
        <v>1</v>
      </c>
      <c r="AW106" s="11" t="s">
        <v>26</v>
      </c>
      <c r="AX106" s="11" t="s">
        <v>26</v>
      </c>
      <c r="AY106" s="2">
        <v>5995709031.4099998</v>
      </c>
      <c r="AZ106" s="1">
        <v>1</v>
      </c>
      <c r="BA106" s="11" t="s">
        <v>26</v>
      </c>
      <c r="BB106" s="11" t="s">
        <v>26</v>
      </c>
    </row>
    <row r="107" spans="1:54" s="7" customFormat="1">
      <c r="A107" s="5" t="s">
        <v>106</v>
      </c>
      <c r="B107" s="24" t="s">
        <v>25</v>
      </c>
      <c r="C107" s="11" t="s">
        <v>26</v>
      </c>
      <c r="D107" s="11" t="s">
        <v>26</v>
      </c>
      <c r="E107" s="11" t="s">
        <v>26</v>
      </c>
      <c r="F107" s="11" t="s">
        <v>26</v>
      </c>
      <c r="G107" s="10" t="s">
        <v>26</v>
      </c>
      <c r="H107" s="11" t="s">
        <v>26</v>
      </c>
      <c r="I107" s="11" t="s">
        <v>26</v>
      </c>
      <c r="J107" s="11" t="s">
        <v>26</v>
      </c>
      <c r="K107" s="10" t="s">
        <v>26</v>
      </c>
      <c r="L107" s="11" t="s">
        <v>26</v>
      </c>
      <c r="M107" s="11" t="s">
        <v>26</v>
      </c>
      <c r="N107" s="11" t="s">
        <v>26</v>
      </c>
      <c r="O107" s="10">
        <v>657871387.79999995</v>
      </c>
      <c r="P107" s="11">
        <v>2.9697765548900002E-3</v>
      </c>
      <c r="Q107" s="11" t="s">
        <v>26</v>
      </c>
      <c r="R107" s="11" t="s">
        <v>26</v>
      </c>
      <c r="S107" s="10" t="s">
        <v>26</v>
      </c>
      <c r="T107" s="11" t="s">
        <v>26</v>
      </c>
      <c r="U107" s="11" t="s">
        <v>26</v>
      </c>
      <c r="V107" s="11" t="s">
        <v>26</v>
      </c>
      <c r="W107" s="10" t="s">
        <v>26</v>
      </c>
      <c r="X107" s="11" t="s">
        <v>26</v>
      </c>
      <c r="Y107" s="11" t="s">
        <v>26</v>
      </c>
      <c r="Z107" s="11" t="s">
        <v>26</v>
      </c>
      <c r="AA107" s="10" t="s">
        <v>26</v>
      </c>
      <c r="AB107" s="11" t="s">
        <v>26</v>
      </c>
      <c r="AC107" s="11" t="s">
        <v>26</v>
      </c>
      <c r="AD107" s="11" t="s">
        <v>26</v>
      </c>
      <c r="AE107" s="10">
        <v>657871387.79999995</v>
      </c>
      <c r="AF107" s="11">
        <v>1.0414960731899999E-3</v>
      </c>
      <c r="AG107" s="11" t="s">
        <v>26</v>
      </c>
      <c r="AH107" s="11" t="s">
        <v>26</v>
      </c>
      <c r="AI107" s="10" t="s">
        <v>26</v>
      </c>
      <c r="AJ107" s="11" t="s">
        <v>26</v>
      </c>
      <c r="AK107" s="11" t="s">
        <v>26</v>
      </c>
      <c r="AL107" s="11" t="s">
        <v>26</v>
      </c>
      <c r="AM107" s="10" t="s">
        <v>26</v>
      </c>
      <c r="AN107" s="11" t="s">
        <v>26</v>
      </c>
      <c r="AO107" s="11" t="s">
        <v>26</v>
      </c>
      <c r="AP107" s="11" t="s">
        <v>26</v>
      </c>
      <c r="AQ107" s="10" t="s">
        <v>26</v>
      </c>
      <c r="AR107" s="11" t="s">
        <v>26</v>
      </c>
      <c r="AS107" s="11" t="s">
        <v>26</v>
      </c>
      <c r="AT107" s="11" t="s">
        <v>26</v>
      </c>
      <c r="AU107" s="10" t="s">
        <v>26</v>
      </c>
      <c r="AV107" s="11" t="s">
        <v>26</v>
      </c>
      <c r="AW107" s="11" t="s">
        <v>26</v>
      </c>
      <c r="AX107" s="11" t="s">
        <v>26</v>
      </c>
      <c r="AY107" s="10">
        <v>657871387.79999995</v>
      </c>
      <c r="AZ107" s="11">
        <v>9.1767676647999999E-4</v>
      </c>
      <c r="BA107" s="11" t="s">
        <v>26</v>
      </c>
      <c r="BB107" s="11" t="s">
        <v>26</v>
      </c>
    </row>
    <row r="108" spans="1:54" s="7" customFormat="1">
      <c r="A108" s="3" t="s">
        <v>86</v>
      </c>
      <c r="B108" s="31" t="s">
        <v>46</v>
      </c>
      <c r="C108" s="11" t="s">
        <v>26</v>
      </c>
      <c r="D108" s="11" t="s">
        <v>26</v>
      </c>
      <c r="E108" s="11" t="s">
        <v>26</v>
      </c>
      <c r="F108" s="11" t="s">
        <v>26</v>
      </c>
      <c r="G108" s="2" t="s">
        <v>26</v>
      </c>
      <c r="H108" s="1" t="s">
        <v>26</v>
      </c>
      <c r="I108" s="11" t="s">
        <v>26</v>
      </c>
      <c r="J108" s="11" t="s">
        <v>26</v>
      </c>
      <c r="K108" s="10" t="s">
        <v>26</v>
      </c>
      <c r="L108" s="11" t="s">
        <v>26</v>
      </c>
      <c r="M108" s="11" t="s">
        <v>26</v>
      </c>
      <c r="N108" s="11" t="s">
        <v>26</v>
      </c>
      <c r="O108" s="2">
        <v>657871387.79999995</v>
      </c>
      <c r="P108" s="1">
        <v>1</v>
      </c>
      <c r="Q108" s="11" t="s">
        <v>26</v>
      </c>
      <c r="R108" s="11" t="s">
        <v>26</v>
      </c>
      <c r="S108" s="10" t="s">
        <v>26</v>
      </c>
      <c r="T108" s="11" t="s">
        <v>26</v>
      </c>
      <c r="U108" s="11" t="s">
        <v>26</v>
      </c>
      <c r="V108" s="11" t="s">
        <v>26</v>
      </c>
      <c r="W108" s="10" t="s">
        <v>26</v>
      </c>
      <c r="X108" s="11" t="s">
        <v>26</v>
      </c>
      <c r="Y108" s="11" t="s">
        <v>26</v>
      </c>
      <c r="Z108" s="11" t="s">
        <v>26</v>
      </c>
      <c r="AA108" s="10" t="s">
        <v>26</v>
      </c>
      <c r="AB108" s="11" t="s">
        <v>26</v>
      </c>
      <c r="AC108" s="11" t="s">
        <v>26</v>
      </c>
      <c r="AD108" s="11" t="s">
        <v>26</v>
      </c>
      <c r="AE108" s="2">
        <v>657871387.79999995</v>
      </c>
      <c r="AF108" s="1">
        <v>1</v>
      </c>
      <c r="AG108" s="11" t="s">
        <v>26</v>
      </c>
      <c r="AH108" s="11" t="s">
        <v>26</v>
      </c>
      <c r="AI108" s="10" t="s">
        <v>26</v>
      </c>
      <c r="AJ108" s="11" t="s">
        <v>26</v>
      </c>
      <c r="AK108" s="11" t="s">
        <v>26</v>
      </c>
      <c r="AL108" s="11" t="s">
        <v>26</v>
      </c>
      <c r="AM108" s="10" t="s">
        <v>26</v>
      </c>
      <c r="AN108" s="11" t="s">
        <v>26</v>
      </c>
      <c r="AO108" s="11" t="s">
        <v>26</v>
      </c>
      <c r="AP108" s="11" t="s">
        <v>26</v>
      </c>
      <c r="AQ108" s="10" t="s">
        <v>26</v>
      </c>
      <c r="AR108" s="11" t="s">
        <v>26</v>
      </c>
      <c r="AS108" s="11" t="s">
        <v>26</v>
      </c>
      <c r="AT108" s="11" t="s">
        <v>26</v>
      </c>
      <c r="AU108" s="10" t="s">
        <v>26</v>
      </c>
      <c r="AV108" s="11" t="s">
        <v>26</v>
      </c>
      <c r="AW108" s="11" t="s">
        <v>26</v>
      </c>
      <c r="AX108" s="11" t="s">
        <v>26</v>
      </c>
      <c r="AY108" s="2">
        <v>657871387.79999995</v>
      </c>
      <c r="AZ108" s="1">
        <v>1</v>
      </c>
      <c r="BA108" s="11" t="s">
        <v>26</v>
      </c>
      <c r="BB108" s="11" t="s">
        <v>26</v>
      </c>
    </row>
    <row r="109" spans="1:54" s="7" customFormat="1">
      <c r="A109" s="5" t="s">
        <v>90</v>
      </c>
      <c r="B109" s="24" t="s">
        <v>25</v>
      </c>
      <c r="C109" s="11" t="s">
        <v>26</v>
      </c>
      <c r="D109" s="11" t="s">
        <v>26</v>
      </c>
      <c r="E109" s="11" t="s">
        <v>26</v>
      </c>
      <c r="F109" s="11" t="s">
        <v>26</v>
      </c>
      <c r="G109" s="10" t="s">
        <v>26</v>
      </c>
      <c r="H109" s="11" t="s">
        <v>26</v>
      </c>
      <c r="I109" s="11" t="s">
        <v>26</v>
      </c>
      <c r="J109" s="11" t="s">
        <v>26</v>
      </c>
      <c r="K109" s="10" t="s">
        <v>26</v>
      </c>
      <c r="L109" s="11" t="s">
        <v>26</v>
      </c>
      <c r="M109" s="11" t="s">
        <v>26</v>
      </c>
      <c r="N109" s="11" t="s">
        <v>26</v>
      </c>
      <c r="O109" s="10">
        <v>335525688.67000002</v>
      </c>
      <c r="P109" s="11">
        <v>1.51463696743E-3</v>
      </c>
      <c r="Q109" s="11" t="s">
        <v>26</v>
      </c>
      <c r="R109" s="11" t="s">
        <v>26</v>
      </c>
      <c r="S109" s="10" t="s">
        <v>26</v>
      </c>
      <c r="T109" s="11" t="s">
        <v>26</v>
      </c>
      <c r="U109" s="11" t="s">
        <v>26</v>
      </c>
      <c r="V109" s="11" t="s">
        <v>26</v>
      </c>
      <c r="W109" s="10" t="s">
        <v>26</v>
      </c>
      <c r="X109" s="11" t="s">
        <v>26</v>
      </c>
      <c r="Y109" s="11" t="s">
        <v>26</v>
      </c>
      <c r="Z109" s="11" t="s">
        <v>26</v>
      </c>
      <c r="AA109" s="10">
        <v>335525688.67000002</v>
      </c>
      <c r="AB109" s="11">
        <v>2.4553659315900002E-3</v>
      </c>
      <c r="AC109" s="11" t="s">
        <v>26</v>
      </c>
      <c r="AD109" s="11" t="s">
        <v>26</v>
      </c>
      <c r="AE109" s="10">
        <v>671051377.34000003</v>
      </c>
      <c r="AF109" s="11">
        <v>1.0623617129E-3</v>
      </c>
      <c r="AG109" s="11" t="s">
        <v>26</v>
      </c>
      <c r="AH109" s="11" t="s">
        <v>26</v>
      </c>
      <c r="AI109" s="10" t="s">
        <v>26</v>
      </c>
      <c r="AJ109" s="11" t="s">
        <v>26</v>
      </c>
      <c r="AK109" s="11" t="s">
        <v>26</v>
      </c>
      <c r="AL109" s="11" t="s">
        <v>26</v>
      </c>
      <c r="AM109" s="10" t="s">
        <v>26</v>
      </c>
      <c r="AN109" s="11" t="s">
        <v>26</v>
      </c>
      <c r="AO109" s="11" t="s">
        <v>26</v>
      </c>
      <c r="AP109" s="11" t="s">
        <v>26</v>
      </c>
      <c r="AQ109" s="10" t="s">
        <v>26</v>
      </c>
      <c r="AR109" s="11" t="s">
        <v>26</v>
      </c>
      <c r="AS109" s="11" t="s">
        <v>26</v>
      </c>
      <c r="AT109" s="11" t="s">
        <v>26</v>
      </c>
      <c r="AU109" s="10" t="s">
        <v>26</v>
      </c>
      <c r="AV109" s="11" t="s">
        <v>26</v>
      </c>
      <c r="AW109" s="11" t="s">
        <v>26</v>
      </c>
      <c r="AX109" s="11" t="s">
        <v>26</v>
      </c>
      <c r="AY109" s="10">
        <v>671051377.34000003</v>
      </c>
      <c r="AZ109" s="11">
        <v>9.3606177365000004E-4</v>
      </c>
      <c r="BA109" s="11" t="s">
        <v>26</v>
      </c>
      <c r="BB109" s="11" t="s">
        <v>26</v>
      </c>
    </row>
    <row r="110" spans="1:54" s="7" customFormat="1">
      <c r="A110" s="3" t="s">
        <v>86</v>
      </c>
      <c r="B110" s="31" t="s">
        <v>46</v>
      </c>
      <c r="C110" s="11" t="s">
        <v>26</v>
      </c>
      <c r="D110" s="11" t="s">
        <v>26</v>
      </c>
      <c r="E110" s="11" t="s">
        <v>26</v>
      </c>
      <c r="F110" s="11" t="s">
        <v>26</v>
      </c>
      <c r="G110" s="2" t="s">
        <v>26</v>
      </c>
      <c r="H110" s="1" t="s">
        <v>26</v>
      </c>
      <c r="I110" s="11" t="s">
        <v>26</v>
      </c>
      <c r="J110" s="11" t="s">
        <v>26</v>
      </c>
      <c r="K110" s="10" t="s">
        <v>26</v>
      </c>
      <c r="L110" s="11" t="s">
        <v>26</v>
      </c>
      <c r="M110" s="11" t="s">
        <v>26</v>
      </c>
      <c r="N110" s="11" t="s">
        <v>26</v>
      </c>
      <c r="O110" s="2">
        <v>335525688.67000002</v>
      </c>
      <c r="P110" s="1">
        <v>1</v>
      </c>
      <c r="Q110" s="11" t="s">
        <v>26</v>
      </c>
      <c r="R110" s="11" t="s">
        <v>26</v>
      </c>
      <c r="S110" s="10" t="s">
        <v>26</v>
      </c>
      <c r="T110" s="11" t="s">
        <v>26</v>
      </c>
      <c r="U110" s="11" t="s">
        <v>26</v>
      </c>
      <c r="V110" s="11" t="s">
        <v>26</v>
      </c>
      <c r="W110" s="10" t="s">
        <v>26</v>
      </c>
      <c r="X110" s="11" t="s">
        <v>26</v>
      </c>
      <c r="Y110" s="11" t="s">
        <v>26</v>
      </c>
      <c r="Z110" s="11" t="s">
        <v>26</v>
      </c>
      <c r="AA110" s="2">
        <v>335525688.67000002</v>
      </c>
      <c r="AB110" s="1">
        <v>1</v>
      </c>
      <c r="AC110" s="11" t="s">
        <v>26</v>
      </c>
      <c r="AD110" s="11" t="s">
        <v>26</v>
      </c>
      <c r="AE110" s="2">
        <v>671051377.34000003</v>
      </c>
      <c r="AF110" s="1">
        <v>1</v>
      </c>
      <c r="AG110" s="11" t="s">
        <v>26</v>
      </c>
      <c r="AH110" s="11" t="s">
        <v>26</v>
      </c>
      <c r="AI110" s="10" t="s">
        <v>26</v>
      </c>
      <c r="AJ110" s="11" t="s">
        <v>26</v>
      </c>
      <c r="AK110" s="11" t="s">
        <v>26</v>
      </c>
      <c r="AL110" s="11" t="s">
        <v>26</v>
      </c>
      <c r="AM110" s="10" t="s">
        <v>26</v>
      </c>
      <c r="AN110" s="11" t="s">
        <v>26</v>
      </c>
      <c r="AO110" s="11" t="s">
        <v>26</v>
      </c>
      <c r="AP110" s="11" t="s">
        <v>26</v>
      </c>
      <c r="AQ110" s="10" t="s">
        <v>26</v>
      </c>
      <c r="AR110" s="11" t="s">
        <v>26</v>
      </c>
      <c r="AS110" s="11" t="s">
        <v>26</v>
      </c>
      <c r="AT110" s="11" t="s">
        <v>26</v>
      </c>
      <c r="AU110" s="10" t="s">
        <v>26</v>
      </c>
      <c r="AV110" s="11" t="s">
        <v>26</v>
      </c>
      <c r="AW110" s="11" t="s">
        <v>26</v>
      </c>
      <c r="AX110" s="11" t="s">
        <v>26</v>
      </c>
      <c r="AY110" s="2">
        <v>671051377.34000003</v>
      </c>
      <c r="AZ110" s="1">
        <v>1</v>
      </c>
      <c r="BA110" s="11" t="s">
        <v>26</v>
      </c>
      <c r="BB110" s="11" t="s">
        <v>26</v>
      </c>
    </row>
    <row r="111" spans="1:54" s="7" customFormat="1">
      <c r="A111" s="5" t="s">
        <v>118</v>
      </c>
      <c r="B111" s="24" t="s">
        <v>25</v>
      </c>
      <c r="C111" s="11" t="s">
        <v>26</v>
      </c>
      <c r="D111" s="11" t="s">
        <v>26</v>
      </c>
      <c r="E111" s="11" t="s">
        <v>26</v>
      </c>
      <c r="F111" s="11" t="s">
        <v>26</v>
      </c>
      <c r="G111" s="10" t="s">
        <v>26</v>
      </c>
      <c r="H111" s="11" t="s">
        <v>26</v>
      </c>
      <c r="I111" s="11" t="s">
        <v>26</v>
      </c>
      <c r="J111" s="11" t="s">
        <v>26</v>
      </c>
      <c r="K111" s="10" t="s">
        <v>26</v>
      </c>
      <c r="L111" s="11" t="s">
        <v>26</v>
      </c>
      <c r="M111" s="11" t="s">
        <v>26</v>
      </c>
      <c r="N111" s="11" t="s">
        <v>26</v>
      </c>
      <c r="O111" s="10">
        <v>4595713563.5799999</v>
      </c>
      <c r="P111" s="11">
        <v>2.0746064728199998E-2</v>
      </c>
      <c r="Q111" s="11" t="s">
        <v>26</v>
      </c>
      <c r="R111" s="11" t="s">
        <v>26</v>
      </c>
      <c r="S111" s="10" t="s">
        <v>26</v>
      </c>
      <c r="T111" s="11" t="s">
        <v>26</v>
      </c>
      <c r="U111" s="11" t="s">
        <v>26</v>
      </c>
      <c r="V111" s="11" t="s">
        <v>26</v>
      </c>
      <c r="W111" s="10" t="s">
        <v>26</v>
      </c>
      <c r="X111" s="11" t="s">
        <v>26</v>
      </c>
      <c r="Y111" s="11" t="s">
        <v>26</v>
      </c>
      <c r="Z111" s="11" t="s">
        <v>26</v>
      </c>
      <c r="AA111" s="10" t="s">
        <v>26</v>
      </c>
      <c r="AB111" s="11" t="s">
        <v>26</v>
      </c>
      <c r="AC111" s="11" t="s">
        <v>26</v>
      </c>
      <c r="AD111" s="11" t="s">
        <v>26</v>
      </c>
      <c r="AE111" s="10">
        <v>4595713563.5799999</v>
      </c>
      <c r="AF111" s="11">
        <v>7.2756130130399999E-3</v>
      </c>
      <c r="AG111" s="11" t="s">
        <v>26</v>
      </c>
      <c r="AH111" s="11" t="s">
        <v>26</v>
      </c>
      <c r="AI111" s="10" t="s">
        <v>26</v>
      </c>
      <c r="AJ111" s="11" t="s">
        <v>26</v>
      </c>
      <c r="AK111" s="11" t="s">
        <v>26</v>
      </c>
      <c r="AL111" s="11" t="s">
        <v>26</v>
      </c>
      <c r="AM111" s="10" t="s">
        <v>26</v>
      </c>
      <c r="AN111" s="11" t="s">
        <v>26</v>
      </c>
      <c r="AO111" s="11" t="s">
        <v>26</v>
      </c>
      <c r="AP111" s="11" t="s">
        <v>26</v>
      </c>
      <c r="AQ111" s="10" t="s">
        <v>26</v>
      </c>
      <c r="AR111" s="11" t="s">
        <v>26</v>
      </c>
      <c r="AS111" s="11" t="s">
        <v>26</v>
      </c>
      <c r="AT111" s="11" t="s">
        <v>26</v>
      </c>
      <c r="AU111" s="10" t="s">
        <v>26</v>
      </c>
      <c r="AV111" s="11" t="s">
        <v>26</v>
      </c>
      <c r="AW111" s="11" t="s">
        <v>26</v>
      </c>
      <c r="AX111" s="11" t="s">
        <v>26</v>
      </c>
      <c r="AY111" s="10">
        <v>4595713563.5799999</v>
      </c>
      <c r="AZ111" s="11">
        <v>6.4106444525500001E-3</v>
      </c>
      <c r="BA111" s="11" t="s">
        <v>26</v>
      </c>
      <c r="BB111" s="11" t="s">
        <v>26</v>
      </c>
    </row>
    <row r="112" spans="1:54" s="7" customFormat="1">
      <c r="A112" s="3" t="s">
        <v>86</v>
      </c>
      <c r="B112" s="31" t="s">
        <v>46</v>
      </c>
      <c r="C112" s="11" t="s">
        <v>26</v>
      </c>
      <c r="D112" s="11" t="s">
        <v>26</v>
      </c>
      <c r="E112" s="11" t="s">
        <v>26</v>
      </c>
      <c r="F112" s="11" t="s">
        <v>26</v>
      </c>
      <c r="G112" s="2" t="s">
        <v>26</v>
      </c>
      <c r="H112" s="1" t="s">
        <v>26</v>
      </c>
      <c r="I112" s="11" t="s">
        <v>26</v>
      </c>
      <c r="J112" s="11" t="s">
        <v>26</v>
      </c>
      <c r="K112" s="10" t="s">
        <v>26</v>
      </c>
      <c r="L112" s="11" t="s">
        <v>26</v>
      </c>
      <c r="M112" s="11" t="s">
        <v>26</v>
      </c>
      <c r="N112" s="11" t="s">
        <v>26</v>
      </c>
      <c r="O112" s="2">
        <v>4595713563.5799999</v>
      </c>
      <c r="P112" s="1">
        <v>1</v>
      </c>
      <c r="Q112" s="11" t="s">
        <v>26</v>
      </c>
      <c r="R112" s="11" t="s">
        <v>26</v>
      </c>
      <c r="S112" s="10" t="s">
        <v>26</v>
      </c>
      <c r="T112" s="11" t="s">
        <v>26</v>
      </c>
      <c r="U112" s="11" t="s">
        <v>26</v>
      </c>
      <c r="V112" s="11" t="s">
        <v>26</v>
      </c>
      <c r="W112" s="10" t="s">
        <v>26</v>
      </c>
      <c r="X112" s="11" t="s">
        <v>26</v>
      </c>
      <c r="Y112" s="11" t="s">
        <v>26</v>
      </c>
      <c r="Z112" s="11" t="s">
        <v>26</v>
      </c>
      <c r="AA112" s="10" t="s">
        <v>26</v>
      </c>
      <c r="AB112" s="11" t="s">
        <v>26</v>
      </c>
      <c r="AC112" s="11" t="s">
        <v>26</v>
      </c>
      <c r="AD112" s="11" t="s">
        <v>26</v>
      </c>
      <c r="AE112" s="2">
        <v>4595713563.5799999</v>
      </c>
      <c r="AF112" s="1">
        <v>1</v>
      </c>
      <c r="AG112" s="11" t="s">
        <v>26</v>
      </c>
      <c r="AH112" s="11" t="s">
        <v>26</v>
      </c>
      <c r="AI112" s="10" t="s">
        <v>26</v>
      </c>
      <c r="AJ112" s="11" t="s">
        <v>26</v>
      </c>
      <c r="AK112" s="11" t="s">
        <v>26</v>
      </c>
      <c r="AL112" s="11" t="s">
        <v>26</v>
      </c>
      <c r="AM112" s="10" t="s">
        <v>26</v>
      </c>
      <c r="AN112" s="11" t="s">
        <v>26</v>
      </c>
      <c r="AO112" s="11" t="s">
        <v>26</v>
      </c>
      <c r="AP112" s="11" t="s">
        <v>26</v>
      </c>
      <c r="AQ112" s="10" t="s">
        <v>26</v>
      </c>
      <c r="AR112" s="11" t="s">
        <v>26</v>
      </c>
      <c r="AS112" s="11" t="s">
        <v>26</v>
      </c>
      <c r="AT112" s="11" t="s">
        <v>26</v>
      </c>
      <c r="AU112" s="10" t="s">
        <v>26</v>
      </c>
      <c r="AV112" s="11" t="s">
        <v>26</v>
      </c>
      <c r="AW112" s="11" t="s">
        <v>26</v>
      </c>
      <c r="AX112" s="11" t="s">
        <v>26</v>
      </c>
      <c r="AY112" s="2">
        <v>4595713563.5799999</v>
      </c>
      <c r="AZ112" s="1">
        <v>1</v>
      </c>
      <c r="BA112" s="11" t="s">
        <v>26</v>
      </c>
      <c r="BB112" s="11" t="s">
        <v>26</v>
      </c>
    </row>
    <row r="113" spans="1:54" s="7" customFormat="1">
      <c r="A113" s="5" t="s">
        <v>91</v>
      </c>
      <c r="B113" s="24" t="s">
        <v>25</v>
      </c>
      <c r="C113" s="11" t="s">
        <v>26</v>
      </c>
      <c r="D113" s="11" t="s">
        <v>26</v>
      </c>
      <c r="E113" s="11" t="s">
        <v>26</v>
      </c>
      <c r="F113" s="11" t="s">
        <v>26</v>
      </c>
      <c r="G113" s="10" t="s">
        <v>26</v>
      </c>
      <c r="H113" s="11" t="s">
        <v>26</v>
      </c>
      <c r="I113" s="11" t="s">
        <v>26</v>
      </c>
      <c r="J113" s="11" t="s">
        <v>26</v>
      </c>
      <c r="K113" s="10" t="s">
        <v>26</v>
      </c>
      <c r="L113" s="11" t="s">
        <v>26</v>
      </c>
      <c r="M113" s="11" t="s">
        <v>26</v>
      </c>
      <c r="N113" s="11" t="s">
        <v>26</v>
      </c>
      <c r="O113" s="10" t="s">
        <v>26</v>
      </c>
      <c r="P113" s="11" t="s">
        <v>26</v>
      </c>
      <c r="Q113" s="11" t="s">
        <v>26</v>
      </c>
      <c r="R113" s="11" t="s">
        <v>26</v>
      </c>
      <c r="S113" s="10">
        <v>139405867.36000001</v>
      </c>
      <c r="T113" s="11">
        <v>1.2648385984999999E-3</v>
      </c>
      <c r="U113" s="11" t="s">
        <v>26</v>
      </c>
      <c r="V113" s="11" t="s">
        <v>26</v>
      </c>
      <c r="W113" s="10" t="s">
        <v>26</v>
      </c>
      <c r="X113" s="11" t="s">
        <v>26</v>
      </c>
      <c r="Y113" s="11" t="s">
        <v>26</v>
      </c>
      <c r="Z113" s="11" t="s">
        <v>26</v>
      </c>
      <c r="AA113" s="10" t="s">
        <v>26</v>
      </c>
      <c r="AB113" s="11" t="s">
        <v>26</v>
      </c>
      <c r="AC113" s="11" t="s">
        <v>26</v>
      </c>
      <c r="AD113" s="11" t="s">
        <v>26</v>
      </c>
      <c r="AE113" s="10">
        <v>139405867.36000001</v>
      </c>
      <c r="AF113" s="11">
        <v>2.206976411E-4</v>
      </c>
      <c r="AG113" s="11" t="s">
        <v>26</v>
      </c>
      <c r="AH113" s="11" t="s">
        <v>26</v>
      </c>
      <c r="AI113" s="10" t="s">
        <v>26</v>
      </c>
      <c r="AJ113" s="11" t="s">
        <v>26</v>
      </c>
      <c r="AK113" s="11" t="s">
        <v>26</v>
      </c>
      <c r="AL113" s="11" t="s">
        <v>26</v>
      </c>
      <c r="AM113" s="10" t="s">
        <v>26</v>
      </c>
      <c r="AN113" s="11" t="s">
        <v>26</v>
      </c>
      <c r="AO113" s="11" t="s">
        <v>26</v>
      </c>
      <c r="AP113" s="11" t="s">
        <v>26</v>
      </c>
      <c r="AQ113" s="10" t="s">
        <v>26</v>
      </c>
      <c r="AR113" s="11" t="s">
        <v>26</v>
      </c>
      <c r="AS113" s="11" t="s">
        <v>26</v>
      </c>
      <c r="AT113" s="11" t="s">
        <v>26</v>
      </c>
      <c r="AU113" s="10">
        <v>178581968.75999999</v>
      </c>
      <c r="AV113" s="11">
        <v>4.0139941310999997E-3</v>
      </c>
      <c r="AW113" s="11" t="s">
        <v>26</v>
      </c>
      <c r="AX113" s="11" t="s">
        <v>26</v>
      </c>
      <c r="AY113" s="10">
        <v>317987836.12</v>
      </c>
      <c r="AZ113" s="11">
        <v>4.4356701725999998E-4</v>
      </c>
      <c r="BA113" s="11" t="s">
        <v>26</v>
      </c>
      <c r="BB113" s="11" t="s">
        <v>26</v>
      </c>
    </row>
    <row r="114" spans="1:54" s="7" customFormat="1">
      <c r="A114" s="3" t="s">
        <v>86</v>
      </c>
      <c r="B114" s="31" t="s">
        <v>46</v>
      </c>
      <c r="C114" s="11" t="s">
        <v>26</v>
      </c>
      <c r="D114" s="11" t="s">
        <v>26</v>
      </c>
      <c r="E114" s="11" t="s">
        <v>26</v>
      </c>
      <c r="F114" s="11" t="s">
        <v>26</v>
      </c>
      <c r="G114" s="2" t="s">
        <v>26</v>
      </c>
      <c r="H114" s="1" t="s">
        <v>26</v>
      </c>
      <c r="I114" s="11" t="s">
        <v>26</v>
      </c>
      <c r="J114" s="11" t="s">
        <v>26</v>
      </c>
      <c r="K114" s="10" t="s">
        <v>26</v>
      </c>
      <c r="L114" s="11" t="s">
        <v>26</v>
      </c>
      <c r="M114" s="11" t="s">
        <v>26</v>
      </c>
      <c r="N114" s="11" t="s">
        <v>26</v>
      </c>
      <c r="O114" s="10" t="s">
        <v>26</v>
      </c>
      <c r="P114" s="11" t="s">
        <v>26</v>
      </c>
      <c r="Q114" s="11" t="s">
        <v>26</v>
      </c>
      <c r="R114" s="11" t="s">
        <v>26</v>
      </c>
      <c r="S114" s="2">
        <v>139405867.36000001</v>
      </c>
      <c r="T114" s="1">
        <v>1</v>
      </c>
      <c r="U114" s="11" t="s">
        <v>26</v>
      </c>
      <c r="V114" s="11" t="s">
        <v>26</v>
      </c>
      <c r="W114" s="10" t="s">
        <v>26</v>
      </c>
      <c r="X114" s="11" t="s">
        <v>26</v>
      </c>
      <c r="Y114" s="11" t="s">
        <v>26</v>
      </c>
      <c r="Z114" s="11" t="s">
        <v>26</v>
      </c>
      <c r="AA114" s="10" t="s">
        <v>26</v>
      </c>
      <c r="AB114" s="11" t="s">
        <v>26</v>
      </c>
      <c r="AC114" s="11" t="s">
        <v>26</v>
      </c>
      <c r="AD114" s="11" t="s">
        <v>26</v>
      </c>
      <c r="AE114" s="2">
        <v>139405867.36000001</v>
      </c>
      <c r="AF114" s="1">
        <v>1</v>
      </c>
      <c r="AG114" s="11" t="s">
        <v>26</v>
      </c>
      <c r="AH114" s="11" t="s">
        <v>26</v>
      </c>
      <c r="AI114" s="10" t="s">
        <v>26</v>
      </c>
      <c r="AJ114" s="11" t="s">
        <v>26</v>
      </c>
      <c r="AK114" s="11" t="s">
        <v>26</v>
      </c>
      <c r="AL114" s="11" t="s">
        <v>26</v>
      </c>
      <c r="AM114" s="10" t="s">
        <v>26</v>
      </c>
      <c r="AN114" s="11" t="s">
        <v>26</v>
      </c>
      <c r="AO114" s="11" t="s">
        <v>26</v>
      </c>
      <c r="AP114" s="11" t="s">
        <v>26</v>
      </c>
      <c r="AQ114" s="10" t="s">
        <v>26</v>
      </c>
      <c r="AR114" s="11" t="s">
        <v>26</v>
      </c>
      <c r="AS114" s="11" t="s">
        <v>26</v>
      </c>
      <c r="AT114" s="11" t="s">
        <v>26</v>
      </c>
      <c r="AU114" s="2">
        <v>178581968.75999999</v>
      </c>
      <c r="AV114" s="1">
        <v>1</v>
      </c>
      <c r="AW114" s="11" t="s">
        <v>26</v>
      </c>
      <c r="AX114" s="11" t="s">
        <v>26</v>
      </c>
      <c r="AY114" s="2">
        <v>317987836.12</v>
      </c>
      <c r="AZ114" s="1">
        <v>1</v>
      </c>
      <c r="BA114" s="11" t="s">
        <v>26</v>
      </c>
      <c r="BB114" s="11" t="s">
        <v>26</v>
      </c>
    </row>
    <row r="115" spans="1:54" s="7" customFormat="1">
      <c r="A115" s="5" t="s">
        <v>120</v>
      </c>
      <c r="B115" s="24" t="s">
        <v>25</v>
      </c>
      <c r="C115" s="11" t="s">
        <v>26</v>
      </c>
      <c r="D115" s="11" t="s">
        <v>26</v>
      </c>
      <c r="E115" s="11" t="s">
        <v>26</v>
      </c>
      <c r="F115" s="11" t="s">
        <v>26</v>
      </c>
      <c r="G115" s="10" t="s">
        <v>26</v>
      </c>
      <c r="H115" s="11" t="s">
        <v>26</v>
      </c>
      <c r="I115" s="11" t="s">
        <v>26</v>
      </c>
      <c r="J115" s="11" t="s">
        <v>26</v>
      </c>
      <c r="K115" s="10">
        <v>30097826.300000001</v>
      </c>
      <c r="L115" s="11">
        <v>1.050711237288E-2</v>
      </c>
      <c r="M115" s="11" t="s">
        <v>26</v>
      </c>
      <c r="N115" s="11" t="s">
        <v>26</v>
      </c>
      <c r="O115" s="10" t="s">
        <v>26</v>
      </c>
      <c r="P115" s="11" t="s">
        <v>26</v>
      </c>
      <c r="Q115" s="11" t="s">
        <v>26</v>
      </c>
      <c r="R115" s="11" t="s">
        <v>26</v>
      </c>
      <c r="S115" s="10" t="s">
        <v>26</v>
      </c>
      <c r="T115" s="11" t="s">
        <v>26</v>
      </c>
      <c r="U115" s="11" t="s">
        <v>26</v>
      </c>
      <c r="V115" s="11" t="s">
        <v>26</v>
      </c>
      <c r="W115" s="10" t="s">
        <v>26</v>
      </c>
      <c r="X115" s="11" t="s">
        <v>26</v>
      </c>
      <c r="Y115" s="11" t="s">
        <v>26</v>
      </c>
      <c r="Z115" s="11" t="s">
        <v>26</v>
      </c>
      <c r="AA115" s="10" t="s">
        <v>26</v>
      </c>
      <c r="AB115" s="11" t="s">
        <v>26</v>
      </c>
      <c r="AC115" s="11" t="s">
        <v>26</v>
      </c>
      <c r="AD115" s="11" t="s">
        <v>26</v>
      </c>
      <c r="AE115" s="10">
        <v>30097826.300000001</v>
      </c>
      <c r="AF115" s="11">
        <v>4.7648778290000002E-5</v>
      </c>
      <c r="AG115" s="11" t="s">
        <v>26</v>
      </c>
      <c r="AH115" s="11" t="s">
        <v>26</v>
      </c>
      <c r="AI115" s="10" t="s">
        <v>26</v>
      </c>
      <c r="AJ115" s="11" t="s">
        <v>26</v>
      </c>
      <c r="AK115" s="11" t="s">
        <v>26</v>
      </c>
      <c r="AL115" s="11" t="s">
        <v>26</v>
      </c>
      <c r="AM115" s="10" t="s">
        <v>26</v>
      </c>
      <c r="AN115" s="11" t="s">
        <v>26</v>
      </c>
      <c r="AO115" s="11" t="s">
        <v>26</v>
      </c>
      <c r="AP115" s="11" t="s">
        <v>26</v>
      </c>
      <c r="AQ115" s="10" t="s">
        <v>26</v>
      </c>
      <c r="AR115" s="11" t="s">
        <v>26</v>
      </c>
      <c r="AS115" s="11" t="s">
        <v>26</v>
      </c>
      <c r="AT115" s="11" t="s">
        <v>26</v>
      </c>
      <c r="AU115" s="10" t="s">
        <v>26</v>
      </c>
      <c r="AV115" s="11" t="s">
        <v>26</v>
      </c>
      <c r="AW115" s="11" t="s">
        <v>26</v>
      </c>
      <c r="AX115" s="11" t="s">
        <v>26</v>
      </c>
      <c r="AY115" s="10">
        <v>30097826.300000001</v>
      </c>
      <c r="AZ115" s="11">
        <v>4.1984005429999999E-5</v>
      </c>
      <c r="BA115" s="11" t="s">
        <v>26</v>
      </c>
      <c r="BB115" s="11" t="s">
        <v>26</v>
      </c>
    </row>
    <row r="116" spans="1:54" s="7" customFormat="1">
      <c r="A116" s="3" t="s">
        <v>86</v>
      </c>
      <c r="B116" s="31" t="s">
        <v>46</v>
      </c>
      <c r="C116" s="11" t="s">
        <v>26</v>
      </c>
      <c r="D116" s="11" t="s">
        <v>26</v>
      </c>
      <c r="E116" s="11" t="s">
        <v>26</v>
      </c>
      <c r="F116" s="11" t="s">
        <v>26</v>
      </c>
      <c r="G116" s="2" t="s">
        <v>26</v>
      </c>
      <c r="H116" s="1" t="s">
        <v>26</v>
      </c>
      <c r="I116" s="11" t="s">
        <v>26</v>
      </c>
      <c r="J116" s="11" t="s">
        <v>26</v>
      </c>
      <c r="K116" s="10">
        <v>30097826.300000001</v>
      </c>
      <c r="L116" s="11">
        <v>1</v>
      </c>
      <c r="M116" s="11" t="s">
        <v>26</v>
      </c>
      <c r="N116" s="11" t="s">
        <v>26</v>
      </c>
      <c r="O116" s="10" t="s">
        <v>26</v>
      </c>
      <c r="P116" s="11" t="s">
        <v>26</v>
      </c>
      <c r="Q116" s="11" t="s">
        <v>26</v>
      </c>
      <c r="R116" s="11" t="s">
        <v>26</v>
      </c>
      <c r="S116" s="10" t="s">
        <v>26</v>
      </c>
      <c r="T116" s="11" t="s">
        <v>26</v>
      </c>
      <c r="U116" s="11" t="s">
        <v>26</v>
      </c>
      <c r="V116" s="11" t="s">
        <v>26</v>
      </c>
      <c r="W116" s="10" t="s">
        <v>26</v>
      </c>
      <c r="X116" s="11" t="s">
        <v>26</v>
      </c>
      <c r="Y116" s="11" t="s">
        <v>26</v>
      </c>
      <c r="Z116" s="11" t="s">
        <v>26</v>
      </c>
      <c r="AA116" s="10" t="s">
        <v>26</v>
      </c>
      <c r="AB116" s="11" t="s">
        <v>26</v>
      </c>
      <c r="AC116" s="11" t="s">
        <v>26</v>
      </c>
      <c r="AD116" s="11" t="s">
        <v>26</v>
      </c>
      <c r="AE116" s="2">
        <v>30097826.300000001</v>
      </c>
      <c r="AF116" s="1">
        <v>1</v>
      </c>
      <c r="AG116" s="11" t="s">
        <v>26</v>
      </c>
      <c r="AH116" s="11" t="s">
        <v>26</v>
      </c>
      <c r="AI116" s="10" t="s">
        <v>26</v>
      </c>
      <c r="AJ116" s="11" t="s">
        <v>26</v>
      </c>
      <c r="AK116" s="11" t="s">
        <v>26</v>
      </c>
      <c r="AL116" s="11" t="s">
        <v>26</v>
      </c>
      <c r="AM116" s="10" t="s">
        <v>26</v>
      </c>
      <c r="AN116" s="11" t="s">
        <v>26</v>
      </c>
      <c r="AO116" s="11" t="s">
        <v>26</v>
      </c>
      <c r="AP116" s="11" t="s">
        <v>26</v>
      </c>
      <c r="AQ116" s="10" t="s">
        <v>26</v>
      </c>
      <c r="AR116" s="11" t="s">
        <v>26</v>
      </c>
      <c r="AS116" s="11" t="s">
        <v>26</v>
      </c>
      <c r="AT116" s="11" t="s">
        <v>26</v>
      </c>
      <c r="AU116" s="10" t="s">
        <v>26</v>
      </c>
      <c r="AV116" s="11" t="s">
        <v>26</v>
      </c>
      <c r="AW116" s="11" t="s">
        <v>26</v>
      </c>
      <c r="AX116" s="11" t="s">
        <v>26</v>
      </c>
      <c r="AY116" s="2">
        <v>30097826.300000001</v>
      </c>
      <c r="AZ116" s="1">
        <v>1</v>
      </c>
      <c r="BA116" s="11" t="s">
        <v>26</v>
      </c>
      <c r="BB116" s="11" t="s">
        <v>26</v>
      </c>
    </row>
    <row r="117" spans="1:54" s="7" customFormat="1">
      <c r="A117" s="5" t="s">
        <v>92</v>
      </c>
      <c r="B117" s="24" t="s">
        <v>25</v>
      </c>
      <c r="C117" s="11" t="s">
        <v>26</v>
      </c>
      <c r="D117" s="11" t="s">
        <v>26</v>
      </c>
      <c r="E117" s="11" t="s">
        <v>26</v>
      </c>
      <c r="F117" s="11" t="s">
        <v>26</v>
      </c>
      <c r="G117" s="10">
        <v>733495525.45000005</v>
      </c>
      <c r="H117" s="11">
        <v>4.9521026743400004E-3</v>
      </c>
      <c r="I117" s="11" t="s">
        <v>26</v>
      </c>
      <c r="J117" s="11" t="s">
        <v>26</v>
      </c>
      <c r="K117" s="10" t="s">
        <v>26</v>
      </c>
      <c r="L117" s="11" t="s">
        <v>26</v>
      </c>
      <c r="M117" s="11" t="s">
        <v>26</v>
      </c>
      <c r="N117" s="11" t="s">
        <v>26</v>
      </c>
      <c r="O117" s="10">
        <v>2114086362.0799999</v>
      </c>
      <c r="P117" s="11">
        <v>9.5434521542599998E-3</v>
      </c>
      <c r="Q117" s="11" t="s">
        <v>26</v>
      </c>
      <c r="R117" s="11" t="s">
        <v>26</v>
      </c>
      <c r="S117" s="10" t="s">
        <v>26</v>
      </c>
      <c r="T117" s="11" t="s">
        <v>26</v>
      </c>
      <c r="U117" s="11" t="s">
        <v>26</v>
      </c>
      <c r="V117" s="11" t="s">
        <v>26</v>
      </c>
      <c r="W117" s="10" t="s">
        <v>26</v>
      </c>
      <c r="X117" s="11" t="s">
        <v>26</v>
      </c>
      <c r="Y117" s="11" t="s">
        <v>26</v>
      </c>
      <c r="Z117" s="11" t="s">
        <v>26</v>
      </c>
      <c r="AA117" s="10" t="s">
        <v>26</v>
      </c>
      <c r="AB117" s="11" t="s">
        <v>26</v>
      </c>
      <c r="AC117" s="11" t="s">
        <v>26</v>
      </c>
      <c r="AD117" s="11" t="s">
        <v>26</v>
      </c>
      <c r="AE117" s="10">
        <v>2847581887.5300002</v>
      </c>
      <c r="AF117" s="11">
        <v>4.5080929326800001E-3</v>
      </c>
      <c r="AG117" s="11" t="s">
        <v>26</v>
      </c>
      <c r="AH117" s="11" t="s">
        <v>26</v>
      </c>
      <c r="AI117" s="10" t="s">
        <v>26</v>
      </c>
      <c r="AJ117" s="11" t="s">
        <v>26</v>
      </c>
      <c r="AK117" s="11" t="s">
        <v>26</v>
      </c>
      <c r="AL117" s="11" t="s">
        <v>26</v>
      </c>
      <c r="AM117" s="10" t="s">
        <v>26</v>
      </c>
      <c r="AN117" s="11" t="s">
        <v>26</v>
      </c>
      <c r="AO117" s="11" t="s">
        <v>26</v>
      </c>
      <c r="AP117" s="11" t="s">
        <v>26</v>
      </c>
      <c r="AQ117" s="10" t="s">
        <v>26</v>
      </c>
      <c r="AR117" s="11" t="s">
        <v>26</v>
      </c>
      <c r="AS117" s="11" t="s">
        <v>26</v>
      </c>
      <c r="AT117" s="11" t="s">
        <v>26</v>
      </c>
      <c r="AU117" s="10" t="s">
        <v>26</v>
      </c>
      <c r="AV117" s="11" t="s">
        <v>26</v>
      </c>
      <c r="AW117" s="11" t="s">
        <v>26</v>
      </c>
      <c r="AX117" s="11" t="s">
        <v>26</v>
      </c>
      <c r="AY117" s="10">
        <v>2847581887.5300002</v>
      </c>
      <c r="AZ117" s="11">
        <v>3.9721437765700002E-3</v>
      </c>
      <c r="BA117" s="11" t="s">
        <v>26</v>
      </c>
      <c r="BB117" s="11" t="s">
        <v>26</v>
      </c>
    </row>
    <row r="118" spans="1:54" s="7" customFormat="1">
      <c r="A118" s="3" t="s">
        <v>86</v>
      </c>
      <c r="B118" s="31" t="s">
        <v>46</v>
      </c>
      <c r="C118" s="11" t="s">
        <v>26</v>
      </c>
      <c r="D118" s="11" t="s">
        <v>26</v>
      </c>
      <c r="E118" s="11" t="s">
        <v>26</v>
      </c>
      <c r="F118" s="11" t="s">
        <v>26</v>
      </c>
      <c r="G118" s="2">
        <v>733495525.45000005</v>
      </c>
      <c r="H118" s="1">
        <v>1</v>
      </c>
      <c r="I118" s="11" t="s">
        <v>26</v>
      </c>
      <c r="J118" s="11" t="s">
        <v>26</v>
      </c>
      <c r="K118" s="10" t="s">
        <v>26</v>
      </c>
      <c r="L118" s="11" t="s">
        <v>26</v>
      </c>
      <c r="M118" s="11" t="s">
        <v>26</v>
      </c>
      <c r="N118" s="11" t="s">
        <v>26</v>
      </c>
      <c r="O118" s="2">
        <v>2114086362.0799999</v>
      </c>
      <c r="P118" s="1">
        <v>1</v>
      </c>
      <c r="Q118" s="11" t="s">
        <v>26</v>
      </c>
      <c r="R118" s="11" t="s">
        <v>26</v>
      </c>
      <c r="S118" s="10" t="s">
        <v>26</v>
      </c>
      <c r="T118" s="11" t="s">
        <v>26</v>
      </c>
      <c r="U118" s="11" t="s">
        <v>26</v>
      </c>
      <c r="V118" s="11" t="s">
        <v>26</v>
      </c>
      <c r="W118" s="10" t="s">
        <v>26</v>
      </c>
      <c r="X118" s="11" t="s">
        <v>26</v>
      </c>
      <c r="Y118" s="11" t="s">
        <v>26</v>
      </c>
      <c r="Z118" s="11" t="s">
        <v>26</v>
      </c>
      <c r="AA118" s="10" t="s">
        <v>26</v>
      </c>
      <c r="AB118" s="11" t="s">
        <v>26</v>
      </c>
      <c r="AC118" s="11" t="s">
        <v>26</v>
      </c>
      <c r="AD118" s="11" t="s">
        <v>26</v>
      </c>
      <c r="AE118" s="2">
        <v>2847581887.5300002</v>
      </c>
      <c r="AF118" s="1">
        <v>1</v>
      </c>
      <c r="AG118" s="11" t="s">
        <v>26</v>
      </c>
      <c r="AH118" s="11" t="s">
        <v>26</v>
      </c>
      <c r="AI118" s="10" t="s">
        <v>26</v>
      </c>
      <c r="AJ118" s="11" t="s">
        <v>26</v>
      </c>
      <c r="AK118" s="11" t="s">
        <v>26</v>
      </c>
      <c r="AL118" s="11" t="s">
        <v>26</v>
      </c>
      <c r="AM118" s="10" t="s">
        <v>26</v>
      </c>
      <c r="AN118" s="11" t="s">
        <v>26</v>
      </c>
      <c r="AO118" s="11" t="s">
        <v>26</v>
      </c>
      <c r="AP118" s="11" t="s">
        <v>26</v>
      </c>
      <c r="AQ118" s="10" t="s">
        <v>26</v>
      </c>
      <c r="AR118" s="11" t="s">
        <v>26</v>
      </c>
      <c r="AS118" s="11" t="s">
        <v>26</v>
      </c>
      <c r="AT118" s="11" t="s">
        <v>26</v>
      </c>
      <c r="AU118" s="10" t="s">
        <v>26</v>
      </c>
      <c r="AV118" s="11" t="s">
        <v>26</v>
      </c>
      <c r="AW118" s="11" t="s">
        <v>26</v>
      </c>
      <c r="AX118" s="11" t="s">
        <v>26</v>
      </c>
      <c r="AY118" s="2">
        <v>2847581887.5300002</v>
      </c>
      <c r="AZ118" s="1">
        <v>1</v>
      </c>
      <c r="BA118" s="11" t="s">
        <v>26</v>
      </c>
      <c r="BB118" s="11" t="s">
        <v>26</v>
      </c>
    </row>
    <row r="119" spans="1:54" s="7" customFormat="1">
      <c r="A119" s="5" t="s">
        <v>93</v>
      </c>
      <c r="B119" s="24" t="s">
        <v>25</v>
      </c>
      <c r="C119" s="11" t="s">
        <v>26</v>
      </c>
      <c r="D119" s="11" t="s">
        <v>26</v>
      </c>
      <c r="E119" s="11" t="s">
        <v>26</v>
      </c>
      <c r="F119" s="11" t="s">
        <v>26</v>
      </c>
      <c r="G119" s="10">
        <v>1505878627.1099999</v>
      </c>
      <c r="H119" s="11">
        <v>1.0166749922520001E-2</v>
      </c>
      <c r="I119" s="11" t="s">
        <v>26</v>
      </c>
      <c r="J119" s="11" t="s">
        <v>26</v>
      </c>
      <c r="K119" s="10" t="s">
        <v>26</v>
      </c>
      <c r="L119" s="11" t="s">
        <v>26</v>
      </c>
      <c r="M119" s="11" t="s">
        <v>26</v>
      </c>
      <c r="N119" s="11" t="s">
        <v>26</v>
      </c>
      <c r="O119" s="10">
        <v>3587866027.8400002</v>
      </c>
      <c r="P119" s="11">
        <v>1.6196418645310001E-2</v>
      </c>
      <c r="Q119" s="11" t="s">
        <v>26</v>
      </c>
      <c r="R119" s="11" t="s">
        <v>26</v>
      </c>
      <c r="S119" s="10">
        <v>1004602487.8</v>
      </c>
      <c r="T119" s="11">
        <v>9.1148244100300001E-3</v>
      </c>
      <c r="U119" s="11" t="s">
        <v>26</v>
      </c>
      <c r="V119" s="11" t="s">
        <v>26</v>
      </c>
      <c r="W119" s="10" t="s">
        <v>26</v>
      </c>
      <c r="X119" s="11" t="s">
        <v>26</v>
      </c>
      <c r="Y119" s="11" t="s">
        <v>26</v>
      </c>
      <c r="Z119" s="11" t="s">
        <v>26</v>
      </c>
      <c r="AA119" s="10" t="s">
        <v>26</v>
      </c>
      <c r="AB119" s="11" t="s">
        <v>26</v>
      </c>
      <c r="AC119" s="11" t="s">
        <v>26</v>
      </c>
      <c r="AD119" s="11" t="s">
        <v>26</v>
      </c>
      <c r="AE119" s="10">
        <v>6098347142.75</v>
      </c>
      <c r="AF119" s="11">
        <v>9.6544776379100007E-3</v>
      </c>
      <c r="AG119" s="11" t="s">
        <v>26</v>
      </c>
      <c r="AH119" s="11" t="s">
        <v>26</v>
      </c>
      <c r="AI119" s="10" t="s">
        <v>26</v>
      </c>
      <c r="AJ119" s="11" t="s">
        <v>26</v>
      </c>
      <c r="AK119" s="11" t="s">
        <v>26</v>
      </c>
      <c r="AL119" s="11" t="s">
        <v>26</v>
      </c>
      <c r="AM119" s="10" t="s">
        <v>26</v>
      </c>
      <c r="AN119" s="11" t="s">
        <v>26</v>
      </c>
      <c r="AO119" s="11" t="s">
        <v>26</v>
      </c>
      <c r="AP119" s="11" t="s">
        <v>26</v>
      </c>
      <c r="AQ119" s="10" t="s">
        <v>26</v>
      </c>
      <c r="AR119" s="11" t="s">
        <v>26</v>
      </c>
      <c r="AS119" s="11" t="s">
        <v>26</v>
      </c>
      <c r="AT119" s="11" t="s">
        <v>26</v>
      </c>
      <c r="AU119" s="10">
        <v>1004602487.8</v>
      </c>
      <c r="AV119" s="11">
        <v>2.258049072993E-2</v>
      </c>
      <c r="AW119" s="11" t="s">
        <v>26</v>
      </c>
      <c r="AX119" s="11" t="s">
        <v>26</v>
      </c>
      <c r="AY119" s="10">
        <v>7102949630.5500002</v>
      </c>
      <c r="AZ119" s="11">
        <v>9.9080336526300005E-3</v>
      </c>
      <c r="BA119" s="11" t="s">
        <v>26</v>
      </c>
      <c r="BB119" s="11" t="s">
        <v>26</v>
      </c>
    </row>
    <row r="120" spans="1:54" s="7" customFormat="1">
      <c r="A120" s="3" t="s">
        <v>86</v>
      </c>
      <c r="B120" s="31" t="s">
        <v>37</v>
      </c>
      <c r="C120" s="11" t="s">
        <v>26</v>
      </c>
      <c r="D120" s="11" t="s">
        <v>26</v>
      </c>
      <c r="E120" s="11" t="s">
        <v>26</v>
      </c>
      <c r="F120" s="11" t="s">
        <v>26</v>
      </c>
      <c r="G120" s="2">
        <v>1505878627.1099999</v>
      </c>
      <c r="H120" s="1">
        <v>1</v>
      </c>
      <c r="I120" s="11" t="s">
        <v>26</v>
      </c>
      <c r="J120" s="11" t="s">
        <v>26</v>
      </c>
      <c r="K120" s="10" t="s">
        <v>26</v>
      </c>
      <c r="L120" s="11" t="s">
        <v>26</v>
      </c>
      <c r="M120" s="11" t="s">
        <v>26</v>
      </c>
      <c r="N120" s="11" t="s">
        <v>26</v>
      </c>
      <c r="O120" s="2">
        <v>3587866027.8400002</v>
      </c>
      <c r="P120" s="1">
        <v>1</v>
      </c>
      <c r="Q120" s="11" t="s">
        <v>26</v>
      </c>
      <c r="R120" s="11" t="s">
        <v>26</v>
      </c>
      <c r="S120" s="2">
        <v>1004602487.8</v>
      </c>
      <c r="T120" s="1">
        <v>1</v>
      </c>
      <c r="U120" s="11" t="s">
        <v>26</v>
      </c>
      <c r="V120" s="11" t="s">
        <v>26</v>
      </c>
      <c r="W120" s="10" t="s">
        <v>26</v>
      </c>
      <c r="X120" s="11" t="s">
        <v>26</v>
      </c>
      <c r="Y120" s="11" t="s">
        <v>26</v>
      </c>
      <c r="Z120" s="11" t="s">
        <v>26</v>
      </c>
      <c r="AA120" s="10" t="s">
        <v>26</v>
      </c>
      <c r="AB120" s="11" t="s">
        <v>26</v>
      </c>
      <c r="AC120" s="11" t="s">
        <v>26</v>
      </c>
      <c r="AD120" s="11" t="s">
        <v>26</v>
      </c>
      <c r="AE120" s="2">
        <v>6098347142.75</v>
      </c>
      <c r="AF120" s="1">
        <v>1</v>
      </c>
      <c r="AG120" s="11" t="s">
        <v>26</v>
      </c>
      <c r="AH120" s="11" t="s">
        <v>26</v>
      </c>
      <c r="AI120" s="10" t="s">
        <v>26</v>
      </c>
      <c r="AJ120" s="11" t="s">
        <v>26</v>
      </c>
      <c r="AK120" s="11" t="s">
        <v>26</v>
      </c>
      <c r="AL120" s="11" t="s">
        <v>26</v>
      </c>
      <c r="AM120" s="10" t="s">
        <v>26</v>
      </c>
      <c r="AN120" s="11" t="s">
        <v>26</v>
      </c>
      <c r="AO120" s="11" t="s">
        <v>26</v>
      </c>
      <c r="AP120" s="11" t="s">
        <v>26</v>
      </c>
      <c r="AQ120" s="10" t="s">
        <v>26</v>
      </c>
      <c r="AR120" s="11" t="s">
        <v>26</v>
      </c>
      <c r="AS120" s="11" t="s">
        <v>26</v>
      </c>
      <c r="AT120" s="11" t="s">
        <v>26</v>
      </c>
      <c r="AU120" s="2">
        <v>1004602487.8</v>
      </c>
      <c r="AV120" s="1">
        <v>1</v>
      </c>
      <c r="AW120" s="11" t="s">
        <v>26</v>
      </c>
      <c r="AX120" s="11" t="s">
        <v>26</v>
      </c>
      <c r="AY120" s="2">
        <v>7102949630.5500002</v>
      </c>
      <c r="AZ120" s="1">
        <v>1</v>
      </c>
      <c r="BA120" s="11" t="s">
        <v>26</v>
      </c>
      <c r="BB120" s="11" t="s">
        <v>26</v>
      </c>
    </row>
    <row r="121" spans="1:54" s="7" customFormat="1">
      <c r="A121" s="5" t="s">
        <v>94</v>
      </c>
      <c r="B121" s="24" t="s">
        <v>25</v>
      </c>
      <c r="C121" s="11" t="s">
        <v>26</v>
      </c>
      <c r="D121" s="11" t="s">
        <v>26</v>
      </c>
      <c r="E121" s="11" t="s">
        <v>26</v>
      </c>
      <c r="F121" s="11" t="s">
        <v>26</v>
      </c>
      <c r="G121" s="10">
        <v>556904066</v>
      </c>
      <c r="H121" s="11">
        <v>3.75986767321E-3</v>
      </c>
      <c r="I121" s="11" t="s">
        <v>26</v>
      </c>
      <c r="J121" s="11" t="s">
        <v>26</v>
      </c>
      <c r="K121" s="10" t="s">
        <v>26</v>
      </c>
      <c r="L121" s="11" t="s">
        <v>26</v>
      </c>
      <c r="M121" s="11" t="s">
        <v>26</v>
      </c>
      <c r="N121" s="11" t="s">
        <v>26</v>
      </c>
      <c r="O121" s="10">
        <v>772192039.83000004</v>
      </c>
      <c r="P121" s="11">
        <v>3.4858451944999999E-3</v>
      </c>
      <c r="Q121" s="11" t="s">
        <v>26</v>
      </c>
      <c r="R121" s="11" t="s">
        <v>26</v>
      </c>
      <c r="S121" s="10">
        <v>257512440.12</v>
      </c>
      <c r="T121" s="11">
        <v>2.3364272969599999E-3</v>
      </c>
      <c r="U121" s="11" t="s">
        <v>26</v>
      </c>
      <c r="V121" s="11" t="s">
        <v>26</v>
      </c>
      <c r="W121" s="10" t="s">
        <v>26</v>
      </c>
      <c r="X121" s="11" t="s">
        <v>26</v>
      </c>
      <c r="Y121" s="11" t="s">
        <v>26</v>
      </c>
      <c r="Z121" s="11" t="s">
        <v>26</v>
      </c>
      <c r="AA121" s="10">
        <v>835356099</v>
      </c>
      <c r="AB121" s="11">
        <v>6.1131084012199998E-3</v>
      </c>
      <c r="AC121" s="11" t="s">
        <v>26</v>
      </c>
      <c r="AD121" s="11" t="s">
        <v>26</v>
      </c>
      <c r="AE121" s="10">
        <v>2421964644.9499998</v>
      </c>
      <c r="AF121" s="11">
        <v>3.8342854149099998E-3</v>
      </c>
      <c r="AG121" s="11" t="s">
        <v>26</v>
      </c>
      <c r="AH121" s="11" t="s">
        <v>26</v>
      </c>
      <c r="AI121" s="10" t="s">
        <v>26</v>
      </c>
      <c r="AJ121" s="11" t="s">
        <v>26</v>
      </c>
      <c r="AK121" s="11" t="s">
        <v>26</v>
      </c>
      <c r="AL121" s="11" t="s">
        <v>26</v>
      </c>
      <c r="AM121" s="10" t="s">
        <v>26</v>
      </c>
      <c r="AN121" s="11" t="s">
        <v>26</v>
      </c>
      <c r="AO121" s="11" t="s">
        <v>26</v>
      </c>
      <c r="AP121" s="11" t="s">
        <v>26</v>
      </c>
      <c r="AQ121" s="10" t="s">
        <v>26</v>
      </c>
      <c r="AR121" s="11" t="s">
        <v>26</v>
      </c>
      <c r="AS121" s="11" t="s">
        <v>26</v>
      </c>
      <c r="AT121" s="11" t="s">
        <v>26</v>
      </c>
      <c r="AU121" s="10" t="s">
        <v>26</v>
      </c>
      <c r="AV121" s="11" t="s">
        <v>26</v>
      </c>
      <c r="AW121" s="11" t="s">
        <v>26</v>
      </c>
      <c r="AX121" s="11" t="s">
        <v>26</v>
      </c>
      <c r="AY121" s="10">
        <v>2421964644.9499998</v>
      </c>
      <c r="AZ121" s="11">
        <v>3.3784425423000002E-3</v>
      </c>
      <c r="BA121" s="11" t="s">
        <v>26</v>
      </c>
      <c r="BB121" s="11" t="s">
        <v>26</v>
      </c>
    </row>
    <row r="122" spans="1:54" s="7" customFormat="1">
      <c r="A122" s="3" t="s">
        <v>86</v>
      </c>
      <c r="B122" s="31" t="s">
        <v>46</v>
      </c>
      <c r="C122" s="11" t="s">
        <v>26</v>
      </c>
      <c r="D122" s="11" t="s">
        <v>26</v>
      </c>
      <c r="E122" s="11" t="s">
        <v>26</v>
      </c>
      <c r="F122" s="11" t="s">
        <v>26</v>
      </c>
      <c r="G122" s="2">
        <v>556904066</v>
      </c>
      <c r="H122" s="1">
        <v>1</v>
      </c>
      <c r="I122" s="11" t="s">
        <v>26</v>
      </c>
      <c r="J122" s="11" t="s">
        <v>26</v>
      </c>
      <c r="K122" s="10" t="s">
        <v>26</v>
      </c>
      <c r="L122" s="11" t="s">
        <v>26</v>
      </c>
      <c r="M122" s="11" t="s">
        <v>26</v>
      </c>
      <c r="N122" s="11" t="s">
        <v>26</v>
      </c>
      <c r="O122" s="2">
        <v>772192039.83000004</v>
      </c>
      <c r="P122" s="1">
        <v>1</v>
      </c>
      <c r="Q122" s="11" t="s">
        <v>26</v>
      </c>
      <c r="R122" s="11" t="s">
        <v>26</v>
      </c>
      <c r="S122" s="2">
        <v>257512440.12</v>
      </c>
      <c r="T122" s="1">
        <v>1</v>
      </c>
      <c r="U122" s="11" t="s">
        <v>26</v>
      </c>
      <c r="V122" s="11" t="s">
        <v>26</v>
      </c>
      <c r="W122" s="10" t="s">
        <v>26</v>
      </c>
      <c r="X122" s="11" t="s">
        <v>26</v>
      </c>
      <c r="Y122" s="11" t="s">
        <v>26</v>
      </c>
      <c r="Z122" s="11" t="s">
        <v>26</v>
      </c>
      <c r="AA122" s="2">
        <v>835356099</v>
      </c>
      <c r="AB122" s="1">
        <v>1</v>
      </c>
      <c r="AC122" s="11" t="s">
        <v>26</v>
      </c>
      <c r="AD122" s="11" t="s">
        <v>26</v>
      </c>
      <c r="AE122" s="2">
        <v>2421964644.9499998</v>
      </c>
      <c r="AF122" s="1">
        <v>0.65509153870525005</v>
      </c>
      <c r="AG122" s="11" t="s">
        <v>26</v>
      </c>
      <c r="AH122" s="11" t="s">
        <v>26</v>
      </c>
      <c r="AI122" s="10" t="s">
        <v>26</v>
      </c>
      <c r="AJ122" s="11" t="s">
        <v>26</v>
      </c>
      <c r="AK122" s="11" t="s">
        <v>26</v>
      </c>
      <c r="AL122" s="11" t="s">
        <v>26</v>
      </c>
      <c r="AM122" s="10" t="s">
        <v>26</v>
      </c>
      <c r="AN122" s="11" t="s">
        <v>26</v>
      </c>
      <c r="AO122" s="11" t="s">
        <v>26</v>
      </c>
      <c r="AP122" s="11" t="s">
        <v>26</v>
      </c>
      <c r="AQ122" s="10" t="s">
        <v>26</v>
      </c>
      <c r="AR122" s="11" t="s">
        <v>26</v>
      </c>
      <c r="AS122" s="11" t="s">
        <v>26</v>
      </c>
      <c r="AT122" s="11" t="s">
        <v>26</v>
      </c>
      <c r="AU122" s="10" t="s">
        <v>26</v>
      </c>
      <c r="AV122" s="11" t="s">
        <v>26</v>
      </c>
      <c r="AW122" s="11" t="s">
        <v>26</v>
      </c>
      <c r="AX122" s="11" t="s">
        <v>26</v>
      </c>
      <c r="AY122" s="2">
        <v>2421964644.9499998</v>
      </c>
      <c r="AZ122" s="1">
        <v>0.65509153870525005</v>
      </c>
      <c r="BA122" s="11" t="s">
        <v>26</v>
      </c>
      <c r="BB122" s="11" t="s">
        <v>26</v>
      </c>
    </row>
    <row r="123" spans="1:54" s="7" customFormat="1">
      <c r="A123" s="5" t="s">
        <v>95</v>
      </c>
      <c r="B123" s="24" t="s">
        <v>25</v>
      </c>
      <c r="C123" s="11" t="s">
        <v>26</v>
      </c>
      <c r="D123" s="11" t="s">
        <v>26</v>
      </c>
      <c r="E123" s="11" t="s">
        <v>26</v>
      </c>
      <c r="F123" s="11" t="s">
        <v>26</v>
      </c>
      <c r="G123" s="10" t="s">
        <v>26</v>
      </c>
      <c r="H123" s="11" t="s">
        <v>26</v>
      </c>
      <c r="I123" s="11" t="s">
        <v>26</v>
      </c>
      <c r="J123" s="11" t="s">
        <v>26</v>
      </c>
      <c r="K123" s="10" t="s">
        <v>26</v>
      </c>
      <c r="L123" s="11" t="s">
        <v>26</v>
      </c>
      <c r="M123" s="11" t="s">
        <v>26</v>
      </c>
      <c r="N123" s="11" t="s">
        <v>26</v>
      </c>
      <c r="O123" s="10">
        <v>358171411.50999999</v>
      </c>
      <c r="P123" s="11">
        <v>1.61686475542E-3</v>
      </c>
      <c r="Q123" s="11" t="s">
        <v>26</v>
      </c>
      <c r="R123" s="11" t="s">
        <v>26</v>
      </c>
      <c r="S123" s="10" t="s">
        <v>26</v>
      </c>
      <c r="T123" s="11" t="s">
        <v>26</v>
      </c>
      <c r="U123" s="11" t="s">
        <v>26</v>
      </c>
      <c r="V123" s="11" t="s">
        <v>26</v>
      </c>
      <c r="W123" s="10" t="s">
        <v>26</v>
      </c>
      <c r="X123" s="11" t="s">
        <v>26</v>
      </c>
      <c r="Y123" s="11" t="s">
        <v>26</v>
      </c>
      <c r="Z123" s="11" t="s">
        <v>26</v>
      </c>
      <c r="AA123" s="10" t="s">
        <v>26</v>
      </c>
      <c r="AB123" s="11" t="s">
        <v>26</v>
      </c>
      <c r="AC123" s="11" t="s">
        <v>26</v>
      </c>
      <c r="AD123" s="11" t="s">
        <v>26</v>
      </c>
      <c r="AE123" s="10">
        <v>358171411.50999999</v>
      </c>
      <c r="AF123" s="11">
        <v>5.6703198457000003E-4</v>
      </c>
      <c r="AG123" s="11" t="s">
        <v>26</v>
      </c>
      <c r="AH123" s="11" t="s">
        <v>26</v>
      </c>
      <c r="AI123" s="10" t="s">
        <v>26</v>
      </c>
      <c r="AJ123" s="11" t="s">
        <v>26</v>
      </c>
      <c r="AK123" s="11" t="s">
        <v>26</v>
      </c>
      <c r="AL123" s="11" t="s">
        <v>26</v>
      </c>
      <c r="AM123" s="10" t="s">
        <v>26</v>
      </c>
      <c r="AN123" s="11" t="s">
        <v>26</v>
      </c>
      <c r="AO123" s="11" t="s">
        <v>26</v>
      </c>
      <c r="AP123" s="11" t="s">
        <v>26</v>
      </c>
      <c r="AQ123" s="10" t="s">
        <v>26</v>
      </c>
      <c r="AR123" s="11" t="s">
        <v>26</v>
      </c>
      <c r="AS123" s="11" t="s">
        <v>26</v>
      </c>
      <c r="AT123" s="11" t="s">
        <v>26</v>
      </c>
      <c r="AU123" s="10" t="s">
        <v>26</v>
      </c>
      <c r="AV123" s="11" t="s">
        <v>26</v>
      </c>
      <c r="AW123" s="11" t="s">
        <v>26</v>
      </c>
      <c r="AX123" s="11" t="s">
        <v>26</v>
      </c>
      <c r="AY123" s="10">
        <v>358171411.50999999</v>
      </c>
      <c r="AZ123" s="11">
        <v>4.9961981756999996E-4</v>
      </c>
      <c r="BA123" s="11" t="s">
        <v>26</v>
      </c>
      <c r="BB123" s="11" t="s">
        <v>26</v>
      </c>
    </row>
    <row r="124" spans="1:54" s="7" customFormat="1">
      <c r="A124" s="3" t="s">
        <v>86</v>
      </c>
      <c r="B124" s="31" t="s">
        <v>56</v>
      </c>
      <c r="C124" s="11" t="s">
        <v>26</v>
      </c>
      <c r="D124" s="11" t="s">
        <v>26</v>
      </c>
      <c r="E124" s="11" t="s">
        <v>26</v>
      </c>
      <c r="F124" s="11" t="s">
        <v>26</v>
      </c>
      <c r="G124" s="2" t="s">
        <v>26</v>
      </c>
      <c r="H124" s="1" t="s">
        <v>26</v>
      </c>
      <c r="I124" s="11" t="s">
        <v>26</v>
      </c>
      <c r="J124" s="11" t="s">
        <v>26</v>
      </c>
      <c r="K124" s="10" t="s">
        <v>26</v>
      </c>
      <c r="L124" s="11" t="s">
        <v>26</v>
      </c>
      <c r="M124" s="11" t="s">
        <v>26</v>
      </c>
      <c r="N124" s="11" t="s">
        <v>26</v>
      </c>
      <c r="O124" s="2">
        <v>358171411.50999999</v>
      </c>
      <c r="P124" s="1">
        <v>1</v>
      </c>
      <c r="Q124" s="11" t="s">
        <v>26</v>
      </c>
      <c r="R124" s="11" t="s">
        <v>26</v>
      </c>
      <c r="S124" s="10" t="s">
        <v>26</v>
      </c>
      <c r="T124" s="11" t="s">
        <v>26</v>
      </c>
      <c r="U124" s="11" t="s">
        <v>26</v>
      </c>
      <c r="V124" s="11" t="s">
        <v>26</v>
      </c>
      <c r="W124" s="10" t="s">
        <v>26</v>
      </c>
      <c r="X124" s="11" t="s">
        <v>26</v>
      </c>
      <c r="Y124" s="11" t="s">
        <v>26</v>
      </c>
      <c r="Z124" s="11" t="s">
        <v>26</v>
      </c>
      <c r="AA124" s="10" t="s">
        <v>26</v>
      </c>
      <c r="AB124" s="11" t="s">
        <v>26</v>
      </c>
      <c r="AC124" s="11" t="s">
        <v>26</v>
      </c>
      <c r="AD124" s="11" t="s">
        <v>26</v>
      </c>
      <c r="AE124" s="2">
        <v>358171411.50999999</v>
      </c>
      <c r="AF124" s="1">
        <v>1</v>
      </c>
      <c r="AG124" s="11" t="s">
        <v>26</v>
      </c>
      <c r="AH124" s="11" t="s">
        <v>26</v>
      </c>
      <c r="AI124" s="10" t="s">
        <v>26</v>
      </c>
      <c r="AJ124" s="11" t="s">
        <v>26</v>
      </c>
      <c r="AK124" s="11" t="s">
        <v>26</v>
      </c>
      <c r="AL124" s="11" t="s">
        <v>26</v>
      </c>
      <c r="AM124" s="10" t="s">
        <v>26</v>
      </c>
      <c r="AN124" s="11" t="s">
        <v>26</v>
      </c>
      <c r="AO124" s="11" t="s">
        <v>26</v>
      </c>
      <c r="AP124" s="11" t="s">
        <v>26</v>
      </c>
      <c r="AQ124" s="10" t="s">
        <v>26</v>
      </c>
      <c r="AR124" s="11" t="s">
        <v>26</v>
      </c>
      <c r="AS124" s="11" t="s">
        <v>26</v>
      </c>
      <c r="AT124" s="11" t="s">
        <v>26</v>
      </c>
      <c r="AU124" s="10" t="s">
        <v>26</v>
      </c>
      <c r="AV124" s="11" t="s">
        <v>26</v>
      </c>
      <c r="AW124" s="11" t="s">
        <v>26</v>
      </c>
      <c r="AX124" s="11" t="s">
        <v>26</v>
      </c>
      <c r="AY124" s="2">
        <v>358171411.50999999</v>
      </c>
      <c r="AZ124" s="1">
        <v>1</v>
      </c>
      <c r="BA124" s="11" t="s">
        <v>26</v>
      </c>
      <c r="BB124" s="11" t="s">
        <v>26</v>
      </c>
    </row>
    <row r="125" spans="1:54" s="7" customFormat="1">
      <c r="A125" s="5" t="s">
        <v>96</v>
      </c>
      <c r="B125" s="24" t="s">
        <v>25</v>
      </c>
      <c r="C125" s="11" t="s">
        <v>26</v>
      </c>
      <c r="D125" s="11" t="s">
        <v>26</v>
      </c>
      <c r="E125" s="11" t="s">
        <v>26</v>
      </c>
      <c r="F125" s="11" t="s">
        <v>26</v>
      </c>
      <c r="G125" s="10" t="s">
        <v>26</v>
      </c>
      <c r="H125" s="11" t="s">
        <v>26</v>
      </c>
      <c r="I125" s="11" t="s">
        <v>26</v>
      </c>
      <c r="J125" s="11" t="s">
        <v>26</v>
      </c>
      <c r="K125" s="10" t="s">
        <v>26</v>
      </c>
      <c r="L125" s="11" t="s">
        <v>26</v>
      </c>
      <c r="M125" s="11" t="s">
        <v>26</v>
      </c>
      <c r="N125" s="11" t="s">
        <v>26</v>
      </c>
      <c r="O125" s="10">
        <v>31940361.719999999</v>
      </c>
      <c r="P125" s="11">
        <v>1.4418583807E-4</v>
      </c>
      <c r="Q125" s="11" t="s">
        <v>26</v>
      </c>
      <c r="R125" s="11" t="s">
        <v>26</v>
      </c>
      <c r="S125" s="10" t="s">
        <v>26</v>
      </c>
      <c r="T125" s="11" t="s">
        <v>26</v>
      </c>
      <c r="U125" s="11" t="s">
        <v>26</v>
      </c>
      <c r="V125" s="11" t="s">
        <v>26</v>
      </c>
      <c r="W125" s="10" t="s">
        <v>26</v>
      </c>
      <c r="X125" s="11" t="s">
        <v>26</v>
      </c>
      <c r="Y125" s="11" t="s">
        <v>26</v>
      </c>
      <c r="Z125" s="11" t="s">
        <v>26</v>
      </c>
      <c r="AA125" s="10" t="s">
        <v>26</v>
      </c>
      <c r="AB125" s="11" t="s">
        <v>26</v>
      </c>
      <c r="AC125" s="11" t="s">
        <v>26</v>
      </c>
      <c r="AD125" s="11" t="s">
        <v>26</v>
      </c>
      <c r="AE125" s="10">
        <v>31940361.719999999</v>
      </c>
      <c r="AF125" s="11">
        <v>5.0565751789999999E-5</v>
      </c>
      <c r="AG125" s="11" t="s">
        <v>26</v>
      </c>
      <c r="AH125" s="11" t="s">
        <v>26</v>
      </c>
      <c r="AI125" s="10" t="s">
        <v>26</v>
      </c>
      <c r="AJ125" s="11" t="s">
        <v>26</v>
      </c>
      <c r="AK125" s="11" t="s">
        <v>26</v>
      </c>
      <c r="AL125" s="11" t="s">
        <v>26</v>
      </c>
      <c r="AM125" s="10" t="s">
        <v>26</v>
      </c>
      <c r="AN125" s="11" t="s">
        <v>26</v>
      </c>
      <c r="AO125" s="11" t="s">
        <v>26</v>
      </c>
      <c r="AP125" s="11" t="s">
        <v>26</v>
      </c>
      <c r="AQ125" s="10" t="s">
        <v>26</v>
      </c>
      <c r="AR125" s="11" t="s">
        <v>26</v>
      </c>
      <c r="AS125" s="11" t="s">
        <v>26</v>
      </c>
      <c r="AT125" s="11" t="s">
        <v>26</v>
      </c>
      <c r="AU125" s="10" t="s">
        <v>26</v>
      </c>
      <c r="AV125" s="11" t="s">
        <v>26</v>
      </c>
      <c r="AW125" s="11" t="s">
        <v>26</v>
      </c>
      <c r="AX125" s="11" t="s">
        <v>26</v>
      </c>
      <c r="AY125" s="10">
        <v>31940361.719999999</v>
      </c>
      <c r="AZ125" s="11">
        <v>4.4554191599999999E-5</v>
      </c>
      <c r="BA125" s="11" t="s">
        <v>26</v>
      </c>
      <c r="BB125" s="11" t="s">
        <v>26</v>
      </c>
    </row>
    <row r="126" spans="1:54" s="7" customFormat="1">
      <c r="A126" s="3" t="s">
        <v>86</v>
      </c>
      <c r="B126" s="31" t="s">
        <v>56</v>
      </c>
      <c r="C126" s="11" t="s">
        <v>26</v>
      </c>
      <c r="D126" s="11" t="s">
        <v>26</v>
      </c>
      <c r="E126" s="11" t="s">
        <v>26</v>
      </c>
      <c r="F126" s="11" t="s">
        <v>26</v>
      </c>
      <c r="G126" s="2" t="s">
        <v>26</v>
      </c>
      <c r="H126" s="1" t="s">
        <v>26</v>
      </c>
      <c r="I126" s="11" t="s">
        <v>26</v>
      </c>
      <c r="J126" s="11" t="s">
        <v>26</v>
      </c>
      <c r="K126" s="10" t="s">
        <v>26</v>
      </c>
      <c r="L126" s="11" t="s">
        <v>26</v>
      </c>
      <c r="M126" s="11" t="s">
        <v>26</v>
      </c>
      <c r="N126" s="11" t="s">
        <v>26</v>
      </c>
      <c r="O126" s="2">
        <v>31940361.719999999</v>
      </c>
      <c r="P126" s="1">
        <v>1</v>
      </c>
      <c r="Q126" s="11" t="s">
        <v>26</v>
      </c>
      <c r="R126" s="11" t="s">
        <v>26</v>
      </c>
      <c r="S126" s="10" t="s">
        <v>26</v>
      </c>
      <c r="T126" s="11" t="s">
        <v>26</v>
      </c>
      <c r="U126" s="11" t="s">
        <v>26</v>
      </c>
      <c r="V126" s="11" t="s">
        <v>26</v>
      </c>
      <c r="W126" s="10" t="s">
        <v>26</v>
      </c>
      <c r="X126" s="11" t="s">
        <v>26</v>
      </c>
      <c r="Y126" s="11" t="s">
        <v>26</v>
      </c>
      <c r="Z126" s="11" t="s">
        <v>26</v>
      </c>
      <c r="AA126" s="10" t="s">
        <v>26</v>
      </c>
      <c r="AB126" s="11" t="s">
        <v>26</v>
      </c>
      <c r="AC126" s="11" t="s">
        <v>26</v>
      </c>
      <c r="AD126" s="11" t="s">
        <v>26</v>
      </c>
      <c r="AE126" s="2">
        <v>31940361.719999999</v>
      </c>
      <c r="AF126" s="1">
        <v>1</v>
      </c>
      <c r="AG126" s="11" t="s">
        <v>26</v>
      </c>
      <c r="AH126" s="11" t="s">
        <v>26</v>
      </c>
      <c r="AI126" s="10" t="s">
        <v>26</v>
      </c>
      <c r="AJ126" s="11" t="s">
        <v>26</v>
      </c>
      <c r="AK126" s="11" t="s">
        <v>26</v>
      </c>
      <c r="AL126" s="11" t="s">
        <v>26</v>
      </c>
      <c r="AM126" s="10" t="s">
        <v>26</v>
      </c>
      <c r="AN126" s="11" t="s">
        <v>26</v>
      </c>
      <c r="AO126" s="11" t="s">
        <v>26</v>
      </c>
      <c r="AP126" s="11" t="s">
        <v>26</v>
      </c>
      <c r="AQ126" s="10" t="s">
        <v>26</v>
      </c>
      <c r="AR126" s="11" t="s">
        <v>26</v>
      </c>
      <c r="AS126" s="11" t="s">
        <v>26</v>
      </c>
      <c r="AT126" s="11" t="s">
        <v>26</v>
      </c>
      <c r="AU126" s="10" t="s">
        <v>26</v>
      </c>
      <c r="AV126" s="11" t="s">
        <v>26</v>
      </c>
      <c r="AW126" s="11" t="s">
        <v>26</v>
      </c>
      <c r="AX126" s="11" t="s">
        <v>26</v>
      </c>
      <c r="AY126" s="2">
        <v>31940361.719999999</v>
      </c>
      <c r="AZ126" s="1">
        <v>1</v>
      </c>
      <c r="BA126" s="11" t="s">
        <v>26</v>
      </c>
      <c r="BB126" s="11" t="s">
        <v>26</v>
      </c>
    </row>
    <row r="127" spans="1:54" s="7" customFormat="1">
      <c r="A127" s="5" t="s">
        <v>97</v>
      </c>
      <c r="B127" s="24" t="s">
        <v>25</v>
      </c>
      <c r="C127" s="11" t="s">
        <v>26</v>
      </c>
      <c r="D127" s="11" t="s">
        <v>26</v>
      </c>
      <c r="E127" s="11" t="s">
        <v>26</v>
      </c>
      <c r="F127" s="11" t="s">
        <v>26</v>
      </c>
      <c r="G127" s="10" t="s">
        <v>26</v>
      </c>
      <c r="H127" s="11" t="s">
        <v>26</v>
      </c>
      <c r="I127" s="11" t="s">
        <v>26</v>
      </c>
      <c r="J127" s="11" t="s">
        <v>26</v>
      </c>
      <c r="K127" s="10" t="s">
        <v>26</v>
      </c>
      <c r="L127" s="11" t="s">
        <v>26</v>
      </c>
      <c r="M127" s="11" t="s">
        <v>26</v>
      </c>
      <c r="N127" s="11" t="s">
        <v>26</v>
      </c>
      <c r="O127" s="10">
        <v>1868124580.24</v>
      </c>
      <c r="P127" s="11">
        <v>8.4331264178699999E-3</v>
      </c>
      <c r="Q127" s="11" t="s">
        <v>26</v>
      </c>
      <c r="R127" s="11" t="s">
        <v>26</v>
      </c>
      <c r="S127" s="10" t="s">
        <v>26</v>
      </c>
      <c r="T127" s="11" t="s">
        <v>26</v>
      </c>
      <c r="U127" s="11" t="s">
        <v>26</v>
      </c>
      <c r="V127" s="11" t="s">
        <v>26</v>
      </c>
      <c r="W127" s="10" t="s">
        <v>26</v>
      </c>
      <c r="X127" s="11" t="s">
        <v>26</v>
      </c>
      <c r="Y127" s="11" t="s">
        <v>26</v>
      </c>
      <c r="Z127" s="11" t="s">
        <v>26</v>
      </c>
      <c r="AA127" s="10" t="s">
        <v>26</v>
      </c>
      <c r="AB127" s="11" t="s">
        <v>26</v>
      </c>
      <c r="AC127" s="11" t="s">
        <v>26</v>
      </c>
      <c r="AD127" s="11" t="s">
        <v>26</v>
      </c>
      <c r="AE127" s="10">
        <v>1868124580.24</v>
      </c>
      <c r="AF127" s="11">
        <v>2.9574844728499998E-3</v>
      </c>
      <c r="AG127" s="11" t="s">
        <v>26</v>
      </c>
      <c r="AH127" s="11" t="s">
        <v>26</v>
      </c>
      <c r="AI127" s="10" t="s">
        <v>26</v>
      </c>
      <c r="AJ127" s="11" t="s">
        <v>26</v>
      </c>
      <c r="AK127" s="11" t="s">
        <v>26</v>
      </c>
      <c r="AL127" s="11" t="s">
        <v>26</v>
      </c>
      <c r="AM127" s="10" t="s">
        <v>26</v>
      </c>
      <c r="AN127" s="11" t="s">
        <v>26</v>
      </c>
      <c r="AO127" s="11" t="s">
        <v>26</v>
      </c>
      <c r="AP127" s="11" t="s">
        <v>26</v>
      </c>
      <c r="AQ127" s="10" t="s">
        <v>26</v>
      </c>
      <c r="AR127" s="11" t="s">
        <v>26</v>
      </c>
      <c r="AS127" s="11" t="s">
        <v>26</v>
      </c>
      <c r="AT127" s="11" t="s">
        <v>26</v>
      </c>
      <c r="AU127" s="10" t="s">
        <v>26</v>
      </c>
      <c r="AV127" s="11" t="s">
        <v>26</v>
      </c>
      <c r="AW127" s="11" t="s">
        <v>26</v>
      </c>
      <c r="AX127" s="11" t="s">
        <v>26</v>
      </c>
      <c r="AY127" s="10">
        <v>1868124580.24</v>
      </c>
      <c r="AZ127" s="11">
        <v>2.6058809608799998E-3</v>
      </c>
      <c r="BA127" s="11" t="s">
        <v>26</v>
      </c>
      <c r="BB127" s="11" t="s">
        <v>26</v>
      </c>
    </row>
    <row r="128" spans="1:54" s="7" customFormat="1">
      <c r="A128" s="3" t="s">
        <v>86</v>
      </c>
      <c r="B128" s="31" t="s">
        <v>46</v>
      </c>
      <c r="C128" s="11" t="s">
        <v>26</v>
      </c>
      <c r="D128" s="11" t="s">
        <v>26</v>
      </c>
      <c r="E128" s="11" t="s">
        <v>26</v>
      </c>
      <c r="F128" s="11" t="s">
        <v>26</v>
      </c>
      <c r="G128" s="2" t="s">
        <v>26</v>
      </c>
      <c r="H128" s="1" t="s">
        <v>26</v>
      </c>
      <c r="I128" s="11" t="s">
        <v>26</v>
      </c>
      <c r="J128" s="11" t="s">
        <v>26</v>
      </c>
      <c r="K128" s="10" t="s">
        <v>26</v>
      </c>
      <c r="L128" s="11" t="s">
        <v>26</v>
      </c>
      <c r="M128" s="11" t="s">
        <v>26</v>
      </c>
      <c r="N128" s="11" t="s">
        <v>26</v>
      </c>
      <c r="O128" s="2">
        <v>1868124580.24</v>
      </c>
      <c r="P128" s="1">
        <v>1</v>
      </c>
      <c r="Q128" s="11" t="s">
        <v>26</v>
      </c>
      <c r="R128" s="11" t="s">
        <v>26</v>
      </c>
      <c r="S128" s="10" t="s">
        <v>26</v>
      </c>
      <c r="T128" s="11" t="s">
        <v>26</v>
      </c>
      <c r="U128" s="11" t="s">
        <v>26</v>
      </c>
      <c r="V128" s="11" t="s">
        <v>26</v>
      </c>
      <c r="W128" s="10" t="s">
        <v>26</v>
      </c>
      <c r="X128" s="11" t="s">
        <v>26</v>
      </c>
      <c r="Y128" s="11" t="s">
        <v>26</v>
      </c>
      <c r="Z128" s="11" t="s">
        <v>26</v>
      </c>
      <c r="AA128" s="10" t="s">
        <v>26</v>
      </c>
      <c r="AB128" s="11" t="s">
        <v>26</v>
      </c>
      <c r="AC128" s="11" t="s">
        <v>26</v>
      </c>
      <c r="AD128" s="11" t="s">
        <v>26</v>
      </c>
      <c r="AE128" s="2">
        <v>1868124580.24</v>
      </c>
      <c r="AF128" s="1">
        <v>1</v>
      </c>
      <c r="AG128" s="11" t="s">
        <v>26</v>
      </c>
      <c r="AH128" s="11" t="s">
        <v>26</v>
      </c>
      <c r="AI128" s="10" t="s">
        <v>26</v>
      </c>
      <c r="AJ128" s="11" t="s">
        <v>26</v>
      </c>
      <c r="AK128" s="11" t="s">
        <v>26</v>
      </c>
      <c r="AL128" s="11" t="s">
        <v>26</v>
      </c>
      <c r="AM128" s="10" t="s">
        <v>26</v>
      </c>
      <c r="AN128" s="11" t="s">
        <v>26</v>
      </c>
      <c r="AO128" s="11" t="s">
        <v>26</v>
      </c>
      <c r="AP128" s="11" t="s">
        <v>26</v>
      </c>
      <c r="AQ128" s="10" t="s">
        <v>26</v>
      </c>
      <c r="AR128" s="11" t="s">
        <v>26</v>
      </c>
      <c r="AS128" s="11" t="s">
        <v>26</v>
      </c>
      <c r="AT128" s="11" t="s">
        <v>26</v>
      </c>
      <c r="AU128" s="10" t="s">
        <v>26</v>
      </c>
      <c r="AV128" s="11" t="s">
        <v>26</v>
      </c>
      <c r="AW128" s="11" t="s">
        <v>26</v>
      </c>
      <c r="AX128" s="11" t="s">
        <v>26</v>
      </c>
      <c r="AY128" s="2">
        <v>1868124580.24</v>
      </c>
      <c r="AZ128" s="1">
        <v>1</v>
      </c>
      <c r="BA128" s="11" t="s">
        <v>26</v>
      </c>
      <c r="BB128" s="11" t="s">
        <v>26</v>
      </c>
    </row>
    <row r="129" spans="1:54" s="7" customFormat="1">
      <c r="A129" s="5" t="s">
        <v>98</v>
      </c>
      <c r="B129" s="24" t="s">
        <v>25</v>
      </c>
      <c r="C129" s="11" t="s">
        <v>26</v>
      </c>
      <c r="D129" s="11" t="s">
        <v>26</v>
      </c>
      <c r="E129" s="11" t="s">
        <v>26</v>
      </c>
      <c r="F129" s="11" t="s">
        <v>26</v>
      </c>
      <c r="G129" s="10" t="s">
        <v>26</v>
      </c>
      <c r="H129" s="11" t="s">
        <v>26</v>
      </c>
      <c r="I129" s="11" t="s">
        <v>26</v>
      </c>
      <c r="J129" s="11" t="s">
        <v>26</v>
      </c>
      <c r="K129" s="10" t="s">
        <v>26</v>
      </c>
      <c r="L129" s="11" t="s">
        <v>26</v>
      </c>
      <c r="M129" s="11" t="s">
        <v>26</v>
      </c>
      <c r="N129" s="11" t="s">
        <v>26</v>
      </c>
      <c r="O129" s="10">
        <v>596304783.5</v>
      </c>
      <c r="P129" s="11">
        <v>2.6918513229900001E-3</v>
      </c>
      <c r="Q129" s="11" t="s">
        <v>26</v>
      </c>
      <c r="R129" s="11" t="s">
        <v>26</v>
      </c>
      <c r="S129" s="10" t="s">
        <v>26</v>
      </c>
      <c r="T129" s="11" t="s">
        <v>26</v>
      </c>
      <c r="U129" s="11" t="s">
        <v>26</v>
      </c>
      <c r="V129" s="11" t="s">
        <v>26</v>
      </c>
      <c r="W129" s="10" t="s">
        <v>26</v>
      </c>
      <c r="X129" s="11" t="s">
        <v>26</v>
      </c>
      <c r="Y129" s="11" t="s">
        <v>26</v>
      </c>
      <c r="Z129" s="11" t="s">
        <v>26</v>
      </c>
      <c r="AA129" s="10" t="s">
        <v>26</v>
      </c>
      <c r="AB129" s="11" t="s">
        <v>26</v>
      </c>
      <c r="AC129" s="11" t="s">
        <v>26</v>
      </c>
      <c r="AD129" s="11" t="s">
        <v>26</v>
      </c>
      <c r="AE129" s="10">
        <v>596304783.5</v>
      </c>
      <c r="AF129" s="11">
        <v>9.4402812154000004E-4</v>
      </c>
      <c r="AG129" s="11" t="s">
        <v>26</v>
      </c>
      <c r="AH129" s="11" t="s">
        <v>26</v>
      </c>
      <c r="AI129" s="10" t="s">
        <v>26</v>
      </c>
      <c r="AJ129" s="11" t="s">
        <v>26</v>
      </c>
      <c r="AK129" s="11" t="s">
        <v>26</v>
      </c>
      <c r="AL129" s="11" t="s">
        <v>26</v>
      </c>
      <c r="AM129" s="10" t="s">
        <v>26</v>
      </c>
      <c r="AN129" s="11" t="s">
        <v>26</v>
      </c>
      <c r="AO129" s="11" t="s">
        <v>26</v>
      </c>
      <c r="AP129" s="11" t="s">
        <v>26</v>
      </c>
      <c r="AQ129" s="10" t="s">
        <v>26</v>
      </c>
      <c r="AR129" s="11" t="s">
        <v>26</v>
      </c>
      <c r="AS129" s="11" t="s">
        <v>26</v>
      </c>
      <c r="AT129" s="11" t="s">
        <v>26</v>
      </c>
      <c r="AU129" s="10" t="s">
        <v>26</v>
      </c>
      <c r="AV129" s="11" t="s">
        <v>26</v>
      </c>
      <c r="AW129" s="11" t="s">
        <v>26</v>
      </c>
      <c r="AX129" s="11" t="s">
        <v>26</v>
      </c>
      <c r="AY129" s="10">
        <v>596304783.5</v>
      </c>
      <c r="AZ129" s="11">
        <v>8.3179639014999997E-4</v>
      </c>
      <c r="BA129" s="11" t="s">
        <v>26</v>
      </c>
      <c r="BB129" s="11" t="s">
        <v>26</v>
      </c>
    </row>
    <row r="130" spans="1:54" s="7" customFormat="1">
      <c r="A130" s="3" t="s">
        <v>86</v>
      </c>
      <c r="B130" s="31" t="s">
        <v>114</v>
      </c>
      <c r="C130" s="11" t="s">
        <v>26</v>
      </c>
      <c r="D130" s="11" t="s">
        <v>26</v>
      </c>
      <c r="E130" s="11" t="s">
        <v>26</v>
      </c>
      <c r="F130" s="11" t="s">
        <v>26</v>
      </c>
      <c r="G130" s="2" t="s">
        <v>26</v>
      </c>
      <c r="H130" s="1" t="s">
        <v>26</v>
      </c>
      <c r="I130" s="11" t="s">
        <v>26</v>
      </c>
      <c r="J130" s="11" t="s">
        <v>26</v>
      </c>
      <c r="K130" s="10" t="s">
        <v>26</v>
      </c>
      <c r="L130" s="11" t="s">
        <v>26</v>
      </c>
      <c r="M130" s="11" t="s">
        <v>26</v>
      </c>
      <c r="N130" s="11" t="s">
        <v>26</v>
      </c>
      <c r="O130" s="2">
        <v>596304783.5</v>
      </c>
      <c r="P130" s="1">
        <v>1</v>
      </c>
      <c r="Q130" s="11" t="s">
        <v>26</v>
      </c>
      <c r="R130" s="11" t="s">
        <v>26</v>
      </c>
      <c r="S130" s="10" t="s">
        <v>26</v>
      </c>
      <c r="T130" s="11" t="s">
        <v>26</v>
      </c>
      <c r="U130" s="11" t="s">
        <v>26</v>
      </c>
      <c r="V130" s="11" t="s">
        <v>26</v>
      </c>
      <c r="W130" s="10" t="s">
        <v>26</v>
      </c>
      <c r="X130" s="11" t="s">
        <v>26</v>
      </c>
      <c r="Y130" s="11" t="s">
        <v>26</v>
      </c>
      <c r="Z130" s="11" t="s">
        <v>26</v>
      </c>
      <c r="AA130" s="10" t="s">
        <v>26</v>
      </c>
      <c r="AB130" s="11" t="s">
        <v>26</v>
      </c>
      <c r="AC130" s="11" t="s">
        <v>26</v>
      </c>
      <c r="AD130" s="11" t="s">
        <v>26</v>
      </c>
      <c r="AE130" s="2">
        <v>596304783.5</v>
      </c>
      <c r="AF130" s="1">
        <v>1</v>
      </c>
      <c r="AG130" s="11" t="s">
        <v>26</v>
      </c>
      <c r="AH130" s="11" t="s">
        <v>26</v>
      </c>
      <c r="AI130" s="10" t="s">
        <v>26</v>
      </c>
      <c r="AJ130" s="11" t="s">
        <v>26</v>
      </c>
      <c r="AK130" s="11" t="s">
        <v>26</v>
      </c>
      <c r="AL130" s="11" t="s">
        <v>26</v>
      </c>
      <c r="AM130" s="10" t="s">
        <v>26</v>
      </c>
      <c r="AN130" s="11" t="s">
        <v>26</v>
      </c>
      <c r="AO130" s="11" t="s">
        <v>26</v>
      </c>
      <c r="AP130" s="11" t="s">
        <v>26</v>
      </c>
      <c r="AQ130" s="10" t="s">
        <v>26</v>
      </c>
      <c r="AR130" s="11" t="s">
        <v>26</v>
      </c>
      <c r="AS130" s="11" t="s">
        <v>26</v>
      </c>
      <c r="AT130" s="11" t="s">
        <v>26</v>
      </c>
      <c r="AU130" s="10" t="s">
        <v>26</v>
      </c>
      <c r="AV130" s="11" t="s">
        <v>26</v>
      </c>
      <c r="AW130" s="11" t="s">
        <v>26</v>
      </c>
      <c r="AX130" s="11" t="s">
        <v>26</v>
      </c>
      <c r="AY130" s="2">
        <v>596304783.5</v>
      </c>
      <c r="AZ130" s="1">
        <v>1</v>
      </c>
      <c r="BA130" s="11" t="s">
        <v>26</v>
      </c>
      <c r="BB130" s="11" t="s">
        <v>26</v>
      </c>
    </row>
    <row r="131" spans="1:54" s="7" customFormat="1">
      <c r="A131" s="5" t="s">
        <v>125</v>
      </c>
      <c r="B131" s="24" t="s">
        <v>25</v>
      </c>
      <c r="C131" s="11" t="s">
        <v>26</v>
      </c>
      <c r="D131" s="11" t="s">
        <v>26</v>
      </c>
      <c r="E131" s="11" t="s">
        <v>26</v>
      </c>
      <c r="F131" s="11" t="s">
        <v>26</v>
      </c>
      <c r="G131" s="10" t="s">
        <v>26</v>
      </c>
      <c r="H131" s="11" t="s">
        <v>26</v>
      </c>
      <c r="I131" s="11" t="s">
        <v>26</v>
      </c>
      <c r="J131" s="11" t="s">
        <v>26</v>
      </c>
      <c r="K131" s="10">
        <v>37451617.520000003</v>
      </c>
      <c r="L131" s="11">
        <v>1.3074311410610001E-2</v>
      </c>
      <c r="M131" s="11">
        <v>0.15</v>
      </c>
      <c r="N131" s="11">
        <v>0.13692568858939</v>
      </c>
      <c r="O131" s="10" t="s">
        <v>26</v>
      </c>
      <c r="P131" s="11" t="s">
        <v>26</v>
      </c>
      <c r="Q131" s="11" t="s">
        <v>26</v>
      </c>
      <c r="R131" s="11" t="s">
        <v>26</v>
      </c>
      <c r="S131" s="10" t="s">
        <v>26</v>
      </c>
      <c r="T131" s="11" t="s">
        <v>26</v>
      </c>
      <c r="U131" s="11" t="s">
        <v>26</v>
      </c>
      <c r="V131" s="11" t="s">
        <v>26</v>
      </c>
      <c r="W131" s="10" t="s">
        <v>26</v>
      </c>
      <c r="X131" s="11" t="s">
        <v>26</v>
      </c>
      <c r="Y131" s="11" t="s">
        <v>26</v>
      </c>
      <c r="Z131" s="11" t="s">
        <v>26</v>
      </c>
      <c r="AA131" s="10" t="s">
        <v>26</v>
      </c>
      <c r="AB131" s="11" t="s">
        <v>26</v>
      </c>
      <c r="AC131" s="11" t="s">
        <v>26</v>
      </c>
      <c r="AD131" s="11" t="s">
        <v>26</v>
      </c>
      <c r="AE131" s="10">
        <v>37451617.520000003</v>
      </c>
      <c r="AF131" s="11">
        <v>5.9290787389999999E-5</v>
      </c>
      <c r="AG131" s="11" t="s">
        <v>26</v>
      </c>
      <c r="AH131" s="11" t="s">
        <v>26</v>
      </c>
      <c r="AI131" s="10" t="s">
        <v>26</v>
      </c>
      <c r="AJ131" s="11" t="s">
        <v>26</v>
      </c>
      <c r="AK131" s="11" t="s">
        <v>26</v>
      </c>
      <c r="AL131" s="11" t="s">
        <v>26</v>
      </c>
      <c r="AM131" s="10" t="s">
        <v>26</v>
      </c>
      <c r="AN131" s="11" t="s">
        <v>26</v>
      </c>
      <c r="AO131" s="11" t="s">
        <v>26</v>
      </c>
      <c r="AP131" s="11" t="s">
        <v>26</v>
      </c>
      <c r="AQ131" s="10" t="s">
        <v>26</v>
      </c>
      <c r="AR131" s="11" t="s">
        <v>26</v>
      </c>
      <c r="AS131" s="11" t="s">
        <v>26</v>
      </c>
      <c r="AT131" s="11" t="s">
        <v>26</v>
      </c>
      <c r="AU131" s="10" t="s">
        <v>26</v>
      </c>
      <c r="AV131" s="11" t="s">
        <v>26</v>
      </c>
      <c r="AW131" s="11" t="s">
        <v>26</v>
      </c>
      <c r="AX131" s="11" t="s">
        <v>26</v>
      </c>
      <c r="AY131" s="10">
        <v>37451617.520000003</v>
      </c>
      <c r="AZ131" s="11">
        <v>5.2241942579999997E-5</v>
      </c>
      <c r="BA131" s="11" t="s">
        <v>26</v>
      </c>
      <c r="BB131" s="11" t="s">
        <v>26</v>
      </c>
    </row>
    <row r="132" spans="1:54" s="7" customFormat="1">
      <c r="A132" s="3" t="s">
        <v>86</v>
      </c>
      <c r="B132" s="31" t="s">
        <v>46</v>
      </c>
      <c r="C132" s="11" t="s">
        <v>26</v>
      </c>
      <c r="D132" s="11" t="s">
        <v>26</v>
      </c>
      <c r="E132" s="11" t="s">
        <v>26</v>
      </c>
      <c r="F132" s="11" t="s">
        <v>26</v>
      </c>
      <c r="G132" s="2" t="s">
        <v>26</v>
      </c>
      <c r="H132" s="1" t="s">
        <v>26</v>
      </c>
      <c r="I132" s="11" t="s">
        <v>26</v>
      </c>
      <c r="J132" s="11" t="s">
        <v>26</v>
      </c>
      <c r="K132" s="10">
        <v>37451617.520000003</v>
      </c>
      <c r="L132" s="11">
        <v>1</v>
      </c>
      <c r="M132" s="11" t="s">
        <v>26</v>
      </c>
      <c r="N132" s="11" t="s">
        <v>26</v>
      </c>
      <c r="O132" s="10" t="s">
        <v>26</v>
      </c>
      <c r="P132" s="11" t="s">
        <v>26</v>
      </c>
      <c r="Q132" s="11" t="s">
        <v>26</v>
      </c>
      <c r="R132" s="11" t="s">
        <v>26</v>
      </c>
      <c r="S132" s="10" t="s">
        <v>26</v>
      </c>
      <c r="T132" s="11" t="s">
        <v>26</v>
      </c>
      <c r="U132" s="11" t="s">
        <v>26</v>
      </c>
      <c r="V132" s="11" t="s">
        <v>26</v>
      </c>
      <c r="W132" s="10" t="s">
        <v>26</v>
      </c>
      <c r="X132" s="11" t="s">
        <v>26</v>
      </c>
      <c r="Y132" s="11" t="s">
        <v>26</v>
      </c>
      <c r="Z132" s="11" t="s">
        <v>26</v>
      </c>
      <c r="AA132" s="10" t="s">
        <v>26</v>
      </c>
      <c r="AB132" s="11" t="s">
        <v>26</v>
      </c>
      <c r="AC132" s="11" t="s">
        <v>26</v>
      </c>
      <c r="AD132" s="11" t="s">
        <v>26</v>
      </c>
      <c r="AE132" s="2">
        <v>37451617.520000003</v>
      </c>
      <c r="AF132" s="1">
        <v>1</v>
      </c>
      <c r="AG132" s="11" t="s">
        <v>26</v>
      </c>
      <c r="AH132" s="11" t="s">
        <v>26</v>
      </c>
      <c r="AI132" s="10" t="s">
        <v>26</v>
      </c>
      <c r="AJ132" s="11" t="s">
        <v>26</v>
      </c>
      <c r="AK132" s="11" t="s">
        <v>26</v>
      </c>
      <c r="AL132" s="11" t="s">
        <v>26</v>
      </c>
      <c r="AM132" s="10" t="s">
        <v>26</v>
      </c>
      <c r="AN132" s="11" t="s">
        <v>26</v>
      </c>
      <c r="AO132" s="11" t="s">
        <v>26</v>
      </c>
      <c r="AP132" s="11" t="s">
        <v>26</v>
      </c>
      <c r="AQ132" s="10" t="s">
        <v>26</v>
      </c>
      <c r="AR132" s="11" t="s">
        <v>26</v>
      </c>
      <c r="AS132" s="11" t="s">
        <v>26</v>
      </c>
      <c r="AT132" s="11" t="s">
        <v>26</v>
      </c>
      <c r="AU132" s="10" t="s">
        <v>26</v>
      </c>
      <c r="AV132" s="11" t="s">
        <v>26</v>
      </c>
      <c r="AW132" s="11" t="s">
        <v>26</v>
      </c>
      <c r="AX132" s="11" t="s">
        <v>26</v>
      </c>
      <c r="AY132" s="2">
        <v>37451617.520000003</v>
      </c>
      <c r="AZ132" s="1">
        <v>1</v>
      </c>
      <c r="BA132" s="11" t="s">
        <v>26</v>
      </c>
      <c r="BB132" s="11" t="s">
        <v>26</v>
      </c>
    </row>
    <row r="133" spans="1:54">
      <c r="A133" s="13" t="s">
        <v>100</v>
      </c>
      <c r="B133" s="25" t="s">
        <v>25</v>
      </c>
      <c r="C133" s="55">
        <v>6145384144.4499998</v>
      </c>
      <c r="D133" s="56">
        <v>0.99990000000000001</v>
      </c>
      <c r="E133" s="56" t="s">
        <v>26</v>
      </c>
      <c r="F133" s="56" t="s">
        <v>26</v>
      </c>
      <c r="G133" s="55">
        <v>148117030001.19</v>
      </c>
      <c r="H133" s="56">
        <f>+G133/G135</f>
        <v>0.99999347635227098</v>
      </c>
      <c r="I133" s="56" t="s">
        <v>26</v>
      </c>
      <c r="J133" s="56" t="s">
        <v>26</v>
      </c>
      <c r="K133" s="55">
        <v>2835316092.0599999</v>
      </c>
      <c r="L133" s="56">
        <v>0.98980000000000001</v>
      </c>
      <c r="M133" s="56" t="s">
        <v>26</v>
      </c>
      <c r="N133" s="56" t="s">
        <v>26</v>
      </c>
      <c r="O133" s="55">
        <v>221521997767.57001</v>
      </c>
      <c r="P133" s="56">
        <v>1</v>
      </c>
      <c r="Q133" s="56" t="s">
        <v>26</v>
      </c>
      <c r="R133" s="56" t="s">
        <v>26</v>
      </c>
      <c r="S133" s="55">
        <v>110216087738.38</v>
      </c>
      <c r="T133" s="56">
        <v>1</v>
      </c>
      <c r="U133" s="56" t="s">
        <v>26</v>
      </c>
      <c r="V133" s="56" t="s">
        <v>26</v>
      </c>
      <c r="W133" s="55">
        <v>6135128754.7600002</v>
      </c>
      <c r="X133" s="56">
        <v>0.99880000000000002</v>
      </c>
      <c r="Y133" s="56" t="s">
        <v>26</v>
      </c>
      <c r="Z133" s="56" t="s">
        <v>26</v>
      </c>
      <c r="AA133" s="55">
        <v>136649769698.37</v>
      </c>
      <c r="AB133" s="56">
        <v>1</v>
      </c>
      <c r="AC133" s="56" t="s">
        <v>26</v>
      </c>
      <c r="AD133" s="56" t="s">
        <v>26</v>
      </c>
      <c r="AE133" s="55">
        <v>631620714196.78003</v>
      </c>
      <c r="AF133" s="56">
        <f>+AE133/AE135</f>
        <v>0.99993783858342999</v>
      </c>
      <c r="AG133" s="56" t="s">
        <v>26</v>
      </c>
      <c r="AH133" s="56" t="s">
        <v>26</v>
      </c>
      <c r="AI133" s="55">
        <v>16951138949.200001</v>
      </c>
      <c r="AJ133" s="56">
        <v>1</v>
      </c>
      <c r="AK133" s="56" t="s">
        <v>26</v>
      </c>
      <c r="AL133" s="56" t="s">
        <v>26</v>
      </c>
      <c r="AM133" s="55">
        <v>23786521639.080002</v>
      </c>
      <c r="AN133" s="56">
        <v>1</v>
      </c>
      <c r="AO133" s="56" t="s">
        <v>26</v>
      </c>
      <c r="AP133" s="56" t="s">
        <v>26</v>
      </c>
      <c r="AQ133" s="55">
        <v>40737660588.279999</v>
      </c>
      <c r="AR133" s="56">
        <v>1</v>
      </c>
      <c r="AS133" s="56" t="s">
        <v>26</v>
      </c>
      <c r="AT133" s="56" t="s">
        <v>26</v>
      </c>
      <c r="AU133" s="55">
        <v>44489759763.529999</v>
      </c>
      <c r="AV133" s="56">
        <v>1</v>
      </c>
      <c r="AW133" s="56" t="s">
        <v>26</v>
      </c>
      <c r="AX133" s="56" t="s">
        <v>26</v>
      </c>
      <c r="AY133" s="55">
        <v>716848134548.58997</v>
      </c>
      <c r="AZ133" s="62">
        <f>+AY133/AY135</f>
        <v>0.99994450339105523</v>
      </c>
      <c r="BA133" s="56" t="s">
        <v>26</v>
      </c>
      <c r="BB133" s="56" t="s">
        <v>26</v>
      </c>
    </row>
    <row r="134" spans="1:54" s="7" customFormat="1">
      <c r="A134" s="5" t="s">
        <v>101</v>
      </c>
      <c r="B134" s="24" t="s">
        <v>25</v>
      </c>
      <c r="C134" s="10">
        <v>854859.2</v>
      </c>
      <c r="D134" s="11">
        <v>1E-4</v>
      </c>
      <c r="E134" s="11" t="s">
        <v>26</v>
      </c>
      <c r="F134" s="11" t="s">
        <v>26</v>
      </c>
      <c r="G134" s="10">
        <v>966269.63</v>
      </c>
      <c r="H134" s="11">
        <f>+G134/G135</f>
        <v>6.5236477290258891E-6</v>
      </c>
      <c r="I134" s="11" t="s">
        <v>26</v>
      </c>
      <c r="J134" s="11" t="s">
        <v>26</v>
      </c>
      <c r="K134" s="10">
        <v>29203219.420000002</v>
      </c>
      <c r="L134" s="11">
        <v>1.0200000000000001E-2</v>
      </c>
      <c r="M134" s="11" t="s">
        <v>26</v>
      </c>
      <c r="N134" s="11" t="s">
        <v>26</v>
      </c>
      <c r="O134" s="10">
        <v>186019.61</v>
      </c>
      <c r="P134" s="11">
        <v>0</v>
      </c>
      <c r="Q134" s="11" t="s">
        <v>26</v>
      </c>
      <c r="R134" s="11" t="s">
        <v>26</v>
      </c>
      <c r="S134" s="10">
        <v>241464.3</v>
      </c>
      <c r="T134" s="11">
        <v>0</v>
      </c>
      <c r="U134" s="11" t="s">
        <v>26</v>
      </c>
      <c r="V134" s="11" t="s">
        <v>26</v>
      </c>
      <c r="W134" s="10">
        <v>7609577.2199999997</v>
      </c>
      <c r="X134" s="11">
        <v>1.1999999999999999E-3</v>
      </c>
      <c r="Y134" s="11" t="s">
        <v>26</v>
      </c>
      <c r="Z134" s="11" t="s">
        <v>26</v>
      </c>
      <c r="AA134" s="10">
        <v>203469.71</v>
      </c>
      <c r="AB134" s="11">
        <v>0</v>
      </c>
      <c r="AC134" s="11" t="s">
        <v>26</v>
      </c>
      <c r="AD134" s="11" t="s">
        <v>26</v>
      </c>
      <c r="AE134" s="10">
        <v>39264879.090000004</v>
      </c>
      <c r="AF134" s="11">
        <v>1E-4</v>
      </c>
      <c r="AG134" s="11" t="s">
        <v>26</v>
      </c>
      <c r="AH134" s="11" t="s">
        <v>26</v>
      </c>
      <c r="AI134" s="10">
        <v>138271.51</v>
      </c>
      <c r="AJ134" s="11">
        <v>0</v>
      </c>
      <c r="AK134" s="11" t="s">
        <v>26</v>
      </c>
      <c r="AL134" s="11" t="s">
        <v>26</v>
      </c>
      <c r="AM134" s="10">
        <v>298445.39</v>
      </c>
      <c r="AN134" s="11">
        <v>0</v>
      </c>
      <c r="AO134" s="11" t="s">
        <v>26</v>
      </c>
      <c r="AP134" s="11" t="s">
        <v>26</v>
      </c>
      <c r="AQ134" s="10">
        <v>436716.9</v>
      </c>
      <c r="AR134" s="11">
        <v>0</v>
      </c>
      <c r="AS134" s="11" t="s">
        <v>26</v>
      </c>
      <c r="AT134" s="11" t="s">
        <v>26</v>
      </c>
      <c r="AU134" s="10">
        <v>83252.53</v>
      </c>
      <c r="AV134" s="11">
        <v>0</v>
      </c>
      <c r="AW134" s="11" t="s">
        <v>26</v>
      </c>
      <c r="AX134" s="11" t="s">
        <v>26</v>
      </c>
      <c r="AY134" s="10">
        <v>39784848.520000003</v>
      </c>
      <c r="AZ134" s="11">
        <v>1E-4</v>
      </c>
      <c r="BA134" s="11" t="s">
        <v>26</v>
      </c>
      <c r="BB134" s="11" t="s">
        <v>26</v>
      </c>
    </row>
    <row r="135" spans="1:54">
      <c r="A135" s="13" t="s">
        <v>102</v>
      </c>
      <c r="B135" s="25" t="s">
        <v>25</v>
      </c>
      <c r="C135" s="55">
        <v>6146239003.6499996</v>
      </c>
      <c r="D135" s="56">
        <v>1</v>
      </c>
      <c r="E135" s="56" t="s">
        <v>26</v>
      </c>
      <c r="F135" s="56" t="s">
        <v>26</v>
      </c>
      <c r="G135" s="55">
        <v>148117996270.82001</v>
      </c>
      <c r="H135" s="56">
        <f>+H133+H134</f>
        <v>1</v>
      </c>
      <c r="I135" s="56" t="s">
        <v>26</v>
      </c>
      <c r="J135" s="56" t="s">
        <v>26</v>
      </c>
      <c r="K135" s="55">
        <v>2864519311.48</v>
      </c>
      <c r="L135" s="56">
        <v>1</v>
      </c>
      <c r="M135" s="56" t="s">
        <v>26</v>
      </c>
      <c r="N135" s="56" t="s">
        <v>26</v>
      </c>
      <c r="O135" s="55">
        <v>221522183787.17999</v>
      </c>
      <c r="P135" s="56">
        <v>1</v>
      </c>
      <c r="Q135" s="56" t="s">
        <v>26</v>
      </c>
      <c r="R135" s="56" t="s">
        <v>26</v>
      </c>
      <c r="S135" s="55">
        <v>110216329202.67999</v>
      </c>
      <c r="T135" s="56">
        <v>1</v>
      </c>
      <c r="U135" s="56" t="s">
        <v>26</v>
      </c>
      <c r="V135" s="56" t="s">
        <v>26</v>
      </c>
      <c r="W135" s="55">
        <v>6142738331.9799995</v>
      </c>
      <c r="X135" s="56">
        <v>1</v>
      </c>
      <c r="Y135" s="56" t="s">
        <v>26</v>
      </c>
      <c r="Z135" s="56" t="s">
        <v>26</v>
      </c>
      <c r="AA135" s="55">
        <v>136649973168.08</v>
      </c>
      <c r="AB135" s="56">
        <v>1</v>
      </c>
      <c r="AC135" s="56" t="s">
        <v>26</v>
      </c>
      <c r="AD135" s="56" t="s">
        <v>26</v>
      </c>
      <c r="AE135" s="55">
        <v>631659979075.87</v>
      </c>
      <c r="AF135" s="56">
        <f>+AF133+AF134</f>
        <v>1.0000378385834301</v>
      </c>
      <c r="AG135" s="56" t="s">
        <v>26</v>
      </c>
      <c r="AH135" s="56" t="s">
        <v>26</v>
      </c>
      <c r="AI135" s="55">
        <v>16951277220.709999</v>
      </c>
      <c r="AJ135" s="56">
        <v>1</v>
      </c>
      <c r="AK135" s="56" t="s">
        <v>26</v>
      </c>
      <c r="AL135" s="56" t="s">
        <v>26</v>
      </c>
      <c r="AM135" s="55">
        <v>23786820084.470001</v>
      </c>
      <c r="AN135" s="56">
        <v>1</v>
      </c>
      <c r="AO135" s="56" t="s">
        <v>26</v>
      </c>
      <c r="AP135" s="56" t="s">
        <v>26</v>
      </c>
      <c r="AQ135" s="55">
        <v>40738097305.18</v>
      </c>
      <c r="AR135" s="56">
        <v>1</v>
      </c>
      <c r="AS135" s="56" t="s">
        <v>26</v>
      </c>
      <c r="AT135" s="56" t="s">
        <v>26</v>
      </c>
      <c r="AU135" s="55">
        <v>44489843016.059998</v>
      </c>
      <c r="AV135" s="56">
        <v>1</v>
      </c>
      <c r="AW135" s="56" t="s">
        <v>26</v>
      </c>
      <c r="AX135" s="56" t="s">
        <v>26</v>
      </c>
      <c r="AY135" s="55">
        <v>716887919397.10999</v>
      </c>
      <c r="AZ135" s="56">
        <f>+AZ133+AZ134</f>
        <v>1.0000445033910552</v>
      </c>
      <c r="BA135" s="56" t="s">
        <v>26</v>
      </c>
      <c r="BB135" s="56" t="s">
        <v>26</v>
      </c>
    </row>
    <row r="137" spans="1:54">
      <c r="A137" s="18" t="s">
        <v>103</v>
      </c>
      <c r="C137" s="46"/>
      <c r="G137" s="46"/>
      <c r="K137" s="46"/>
      <c r="O137" s="46"/>
      <c r="S137" s="46"/>
      <c r="W137" s="46"/>
      <c r="AA137" s="46"/>
      <c r="AI137" s="46"/>
      <c r="AM137" s="46"/>
      <c r="AU137" s="46"/>
    </row>
    <row r="138" spans="1:54">
      <c r="A138" s="39" t="s">
        <v>115</v>
      </c>
      <c r="AE138" s="41">
        <v>631478836525</v>
      </c>
    </row>
    <row r="139" spans="1:54">
      <c r="AE139" s="41">
        <f>+AE138-AE133</f>
        <v>-141877671.7800293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139"/>
  <sheetViews>
    <sheetView zoomScaleNormal="100" workbookViewId="0">
      <pane xSplit="2" ySplit="7" topLeftCell="C8" activePane="bottomRight" state="frozen"/>
      <selection pane="bottomRight" activeCell="G12" sqref="G12"/>
      <selection pane="bottomLeft" activeCell="A8" sqref="A8"/>
      <selection pane="topRight" activeCell="C1" sqref="C1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" style="9" bestFit="1" customWidth="1"/>
    <col min="9" max="9" width="9.85546875" style="9" customWidth="1"/>
    <col min="10" max="10" width="10.28515625" style="9" customWidth="1"/>
    <col min="11" max="11" width="15.285156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1.85546875" style="9" bestFit="1" customWidth="1"/>
    <col min="19" max="19" width="17.42578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6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42578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8.85546875" style="9" bestFit="1" customWidth="1"/>
    <col min="32" max="32" width="13.28515625" style="9" customWidth="1"/>
    <col min="33" max="33" width="9.7109375" style="9" customWidth="1"/>
    <col min="34" max="34" width="10.85546875" style="9" bestFit="1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" style="14" bestFit="1" customWidth="1"/>
    <col min="53" max="53" width="9.7109375" style="9" customWidth="1"/>
    <col min="54" max="54" width="10.42578125" style="9" customWidth="1"/>
    <col min="55" max="55" width="9.140625" style="9"/>
    <col min="56" max="56" width="18.85546875" style="9" bestFit="1" customWidth="1"/>
    <col min="57" max="16384" width="9.140625" style="9"/>
  </cols>
  <sheetData>
    <row r="1" spans="1:56" hidden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6" hidden="1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6" hidden="1">
      <c r="A3" s="12" t="s">
        <v>126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6" hidden="1">
      <c r="A4" s="4" t="s">
        <v>3</v>
      </c>
      <c r="B4" s="4"/>
      <c r="C4" s="4"/>
      <c r="D4" s="4"/>
      <c r="E4" s="4"/>
      <c r="F4" s="4"/>
      <c r="G4" s="57"/>
      <c r="H4" s="5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5" spans="1:56" hidden="1">
      <c r="AE5" s="46"/>
    </row>
    <row r="6" spans="1:56" ht="29.25" customHeight="1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6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6">
      <c r="A8" s="13" t="s">
        <v>24</v>
      </c>
      <c r="B8" s="25" t="s">
        <v>25</v>
      </c>
      <c r="C8" s="55">
        <v>2644871894.4000001</v>
      </c>
      <c r="D8" s="56">
        <v>0.41940513502218002</v>
      </c>
      <c r="E8" s="56" t="s">
        <v>26</v>
      </c>
      <c r="F8" s="56" t="s">
        <v>26</v>
      </c>
      <c r="G8" s="55">
        <f>+G9+G11</f>
        <v>79782759939.625534</v>
      </c>
      <c r="H8" s="56">
        <f>+G8/G135</f>
        <v>0.53048776824588562</v>
      </c>
      <c r="I8" s="56" t="s">
        <v>26</v>
      </c>
      <c r="J8" s="56" t="s">
        <v>26</v>
      </c>
      <c r="K8" s="55">
        <v>818331030.75</v>
      </c>
      <c r="L8" s="56">
        <v>0.2796197302215</v>
      </c>
      <c r="M8" s="56" t="s">
        <v>26</v>
      </c>
      <c r="N8" s="56" t="s">
        <v>26</v>
      </c>
      <c r="O8" s="55">
        <f>+O9+O11</f>
        <v>96743159168.900009</v>
      </c>
      <c r="P8" s="56">
        <f>+O8/O135</f>
        <v>0.43158709845739512</v>
      </c>
      <c r="Q8" s="56" t="s">
        <v>26</v>
      </c>
      <c r="R8" s="56" t="s">
        <v>26</v>
      </c>
      <c r="S8" s="55">
        <f>+S9+S11</f>
        <v>55167090014.949997</v>
      </c>
      <c r="T8" s="56">
        <f>+S8/S135</f>
        <v>0.49696685102443217</v>
      </c>
      <c r="U8" s="56" t="s">
        <v>26</v>
      </c>
      <c r="V8" s="56" t="s">
        <v>26</v>
      </c>
      <c r="W8" s="55">
        <f>+W9</f>
        <v>2086915945.77</v>
      </c>
      <c r="X8" s="56">
        <f>+W8/W135</f>
        <v>0.33771899054742072</v>
      </c>
      <c r="Y8" s="56" t="s">
        <v>26</v>
      </c>
      <c r="Z8" s="56" t="s">
        <v>26</v>
      </c>
      <c r="AA8" s="55">
        <f>+AA9+AA11</f>
        <v>69499466249.959991</v>
      </c>
      <c r="AB8" s="56">
        <f>+AA8/AA135</f>
        <v>0.50272441776203147</v>
      </c>
      <c r="AC8" s="56" t="s">
        <v>26</v>
      </c>
      <c r="AD8" s="56" t="s">
        <v>26</v>
      </c>
      <c r="AE8" s="55">
        <f>+AE9+AE11</f>
        <v>306742594244.35553</v>
      </c>
      <c r="AF8" s="56">
        <f>+AE8/AE135</f>
        <v>0.47987283937232983</v>
      </c>
      <c r="AG8" s="56" t="s">
        <v>26</v>
      </c>
      <c r="AH8" s="56" t="s">
        <v>26</v>
      </c>
      <c r="AI8" s="55">
        <v>7137918087.2600002</v>
      </c>
      <c r="AJ8" s="56">
        <v>0.41786266496508001</v>
      </c>
      <c r="AK8" s="56" t="s">
        <v>26</v>
      </c>
      <c r="AL8" s="56" t="s">
        <v>26</v>
      </c>
      <c r="AM8" s="55">
        <v>7585114962.54</v>
      </c>
      <c r="AN8" s="56">
        <v>0.31821425111499002</v>
      </c>
      <c r="AO8" s="56" t="s">
        <v>26</v>
      </c>
      <c r="AP8" s="56" t="s">
        <v>26</v>
      </c>
      <c r="AQ8" s="55">
        <v>14723033049.799999</v>
      </c>
      <c r="AR8" s="56">
        <v>0.35981383121351002</v>
      </c>
      <c r="AS8" s="56" t="s">
        <v>26</v>
      </c>
      <c r="AT8" s="56" t="s">
        <v>26</v>
      </c>
      <c r="AU8" s="55">
        <v>19822163727.299999</v>
      </c>
      <c r="AV8" s="56">
        <v>0.44005808672152003</v>
      </c>
      <c r="AW8" s="56" t="s">
        <v>26</v>
      </c>
      <c r="AX8" s="56" t="s">
        <v>26</v>
      </c>
      <c r="AY8" s="55">
        <f>+AY9+AY11</f>
        <v>341287791021.45551</v>
      </c>
      <c r="AZ8" s="56">
        <f>+AY8/AY135</f>
        <v>0.47062538289841388</v>
      </c>
      <c r="BA8" s="56" t="s">
        <v>26</v>
      </c>
      <c r="BB8" s="56" t="s">
        <v>26</v>
      </c>
    </row>
    <row r="9" spans="1:56" s="8" customFormat="1">
      <c r="A9" s="5" t="s">
        <v>27</v>
      </c>
      <c r="B9" s="24" t="s">
        <v>25</v>
      </c>
      <c r="C9" s="10">
        <v>2644871894.4000001</v>
      </c>
      <c r="D9" s="11">
        <v>0.41940513502218002</v>
      </c>
      <c r="E9" s="11">
        <v>0.5</v>
      </c>
      <c r="F9" s="11">
        <v>8.0600000000000005E-2</v>
      </c>
      <c r="G9" s="10">
        <f>+G10</f>
        <v>73882336261.37854</v>
      </c>
      <c r="H9" s="11">
        <f>+G9/G135</f>
        <v>0.49125494913625478</v>
      </c>
      <c r="I9" s="11">
        <v>0.5</v>
      </c>
      <c r="J9" s="11">
        <f>+I9-H9</f>
        <v>8.7450508637452185E-3</v>
      </c>
      <c r="K9" s="10">
        <v>818331030.75</v>
      </c>
      <c r="L9" s="11">
        <v>0.2796197302215</v>
      </c>
      <c r="M9" s="11">
        <v>0.5</v>
      </c>
      <c r="N9" s="11">
        <v>0.22040000000000001</v>
      </c>
      <c r="O9" s="10">
        <f>+O10</f>
        <v>95354279527.100006</v>
      </c>
      <c r="P9" s="11">
        <f>+O9/O135</f>
        <v>0.42539107860585712</v>
      </c>
      <c r="Q9" s="11">
        <v>0.5</v>
      </c>
      <c r="R9" s="48">
        <f>+Q9-P9</f>
        <v>7.460892139414288E-2</v>
      </c>
      <c r="S9" s="10">
        <f>+S10</f>
        <v>53625070184.949997</v>
      </c>
      <c r="T9" s="11">
        <f>+S9/S135</f>
        <v>0.48307572972503687</v>
      </c>
      <c r="U9" s="11">
        <v>0.5</v>
      </c>
      <c r="V9" s="11">
        <f>+U9-T9</f>
        <v>1.6924270274963127E-2</v>
      </c>
      <c r="W9" s="10">
        <f>+W10</f>
        <v>2086915945.77</v>
      </c>
      <c r="X9" s="11">
        <f>+W9/W135</f>
        <v>0.33771899054742072</v>
      </c>
      <c r="Y9" s="11">
        <v>0.5</v>
      </c>
      <c r="Z9" s="11">
        <f>+Y9-X9</f>
        <v>0.16228100945257928</v>
      </c>
      <c r="AA9" s="10">
        <f>+AA10</f>
        <v>67846038104.959999</v>
      </c>
      <c r="AB9" s="11">
        <f>+AA9/AA135</f>
        <v>0.49076434459374357</v>
      </c>
      <c r="AC9" s="11">
        <v>0.5</v>
      </c>
      <c r="AD9" s="11">
        <f>+AC9-AB9</f>
        <v>9.2356554062564267E-3</v>
      </c>
      <c r="AE9" s="10">
        <f>+AE10</f>
        <v>296257842949.30853</v>
      </c>
      <c r="AF9" s="54">
        <f>+AE9/AE135</f>
        <v>0.46347033294357193</v>
      </c>
      <c r="AG9" s="11">
        <v>0.5</v>
      </c>
      <c r="AH9" s="54">
        <f>+AG9-AF9</f>
        <v>3.6529667056428072E-2</v>
      </c>
      <c r="AI9" s="10">
        <v>7137918087.2600002</v>
      </c>
      <c r="AJ9" s="11">
        <v>0.41786266496508001</v>
      </c>
      <c r="AK9" s="11">
        <v>0.5</v>
      </c>
      <c r="AL9" s="11">
        <v>8.2100000000000006E-2</v>
      </c>
      <c r="AM9" s="10">
        <v>7585114962.54</v>
      </c>
      <c r="AN9" s="11">
        <v>0.31821425111499002</v>
      </c>
      <c r="AO9" s="11">
        <v>0.5</v>
      </c>
      <c r="AP9" s="11">
        <v>0.18179999999999999</v>
      </c>
      <c r="AQ9" s="10">
        <v>14723033049.799999</v>
      </c>
      <c r="AR9" s="11">
        <v>0.35981383121351002</v>
      </c>
      <c r="AS9" s="11">
        <v>0.5</v>
      </c>
      <c r="AT9" s="11">
        <v>0.14019999999999999</v>
      </c>
      <c r="AU9" s="10">
        <v>19822163727.299999</v>
      </c>
      <c r="AV9" s="11">
        <v>0.44005808672152003</v>
      </c>
      <c r="AW9" s="11">
        <v>0.5</v>
      </c>
      <c r="AX9" s="11">
        <v>5.9900000000000002E-2</v>
      </c>
      <c r="AY9" s="10">
        <f>+AY10</f>
        <v>330803039726.40851</v>
      </c>
      <c r="AZ9" s="11">
        <f>+AY9/AY135</f>
        <v>0.45616723284839955</v>
      </c>
      <c r="BA9" s="11">
        <v>0.5</v>
      </c>
      <c r="BB9" s="54">
        <f>+BA9-AZ9</f>
        <v>4.3832767151600449E-2</v>
      </c>
      <c r="BD9" s="58"/>
    </row>
    <row r="10" spans="1:56">
      <c r="A10" s="3" t="s">
        <v>28</v>
      </c>
      <c r="B10" s="31" t="s">
        <v>29</v>
      </c>
      <c r="C10" s="2">
        <v>2644871894.4000001</v>
      </c>
      <c r="D10" s="1">
        <v>1</v>
      </c>
      <c r="E10" s="11" t="s">
        <v>25</v>
      </c>
      <c r="F10" s="11" t="s">
        <v>25</v>
      </c>
      <c r="G10" s="2">
        <v>73882336261.37854</v>
      </c>
      <c r="H10" s="1">
        <f>+G10/G8</f>
        <v>0.9260438761116806</v>
      </c>
      <c r="I10" s="11" t="s">
        <v>26</v>
      </c>
      <c r="J10" s="11" t="s">
        <v>26</v>
      </c>
      <c r="K10" s="47">
        <v>818331030.75</v>
      </c>
      <c r="L10" s="1">
        <v>1</v>
      </c>
      <c r="M10" s="11" t="s">
        <v>26</v>
      </c>
      <c r="N10" s="11" t="s">
        <v>26</v>
      </c>
      <c r="O10" s="2">
        <v>95354279527.100006</v>
      </c>
      <c r="P10" s="1">
        <f>+O10/O8</f>
        <v>0.98564363978051184</v>
      </c>
      <c r="Q10" s="11" t="s">
        <v>26</v>
      </c>
      <c r="R10" s="11" t="s">
        <v>26</v>
      </c>
      <c r="S10" s="2">
        <v>53625070184.949997</v>
      </c>
      <c r="T10" s="59">
        <f>+S10/S9</f>
        <v>1</v>
      </c>
      <c r="U10" s="11" t="s">
        <v>26</v>
      </c>
      <c r="V10" s="11" t="s">
        <v>26</v>
      </c>
      <c r="W10" s="2">
        <v>2086915945.77</v>
      </c>
      <c r="X10" s="1">
        <f>+W10/W9</f>
        <v>1</v>
      </c>
      <c r="Y10" s="11" t="s">
        <v>26</v>
      </c>
      <c r="Z10" s="11" t="s">
        <v>26</v>
      </c>
      <c r="AA10" s="2">
        <v>67846038104.959999</v>
      </c>
      <c r="AB10" s="1">
        <f>+AA10/AA8</f>
        <v>0.97620948427066601</v>
      </c>
      <c r="AC10" s="11" t="s">
        <v>26</v>
      </c>
      <c r="AD10" s="11" t="s">
        <v>26</v>
      </c>
      <c r="AE10" s="2">
        <f>+C10+G10+K10+O10+S10+W10+AA10</f>
        <v>296257842949.30853</v>
      </c>
      <c r="AF10" s="1">
        <f>+AE10/AE8</f>
        <v>0.96581905646043176</v>
      </c>
      <c r="AG10" s="11" t="s">
        <v>26</v>
      </c>
      <c r="AH10" s="11" t="s">
        <v>26</v>
      </c>
      <c r="AI10" s="2">
        <v>7137918087.2600002</v>
      </c>
      <c r="AJ10" s="1">
        <v>1</v>
      </c>
      <c r="AK10" s="11" t="s">
        <v>26</v>
      </c>
      <c r="AL10" s="11" t="s">
        <v>26</v>
      </c>
      <c r="AM10" s="22">
        <v>7585114962.54</v>
      </c>
      <c r="AN10" s="1">
        <v>1</v>
      </c>
      <c r="AO10" s="11" t="s">
        <v>26</v>
      </c>
      <c r="AP10" s="11" t="s">
        <v>26</v>
      </c>
      <c r="AQ10" s="2">
        <v>14723033049.799999</v>
      </c>
      <c r="AR10" s="1">
        <v>1</v>
      </c>
      <c r="AS10" s="11" t="s">
        <v>26</v>
      </c>
      <c r="AT10" s="11" t="s">
        <v>26</v>
      </c>
      <c r="AU10" s="2">
        <v>19822163727.299999</v>
      </c>
      <c r="AV10" s="1">
        <v>1</v>
      </c>
      <c r="AW10" s="11" t="s">
        <v>25</v>
      </c>
      <c r="AX10" s="11" t="s">
        <v>25</v>
      </c>
      <c r="AY10" s="2">
        <f>+AE10+AQ10+AU10</f>
        <v>330803039726.40851</v>
      </c>
      <c r="AZ10" s="1">
        <v>1</v>
      </c>
      <c r="BA10" s="11" t="s">
        <v>26</v>
      </c>
      <c r="BB10" s="11" t="s">
        <v>26</v>
      </c>
      <c r="BD10" s="41"/>
    </row>
    <row r="11" spans="1:56" s="7" customFormat="1">
      <c r="A11" s="26" t="s">
        <v>27</v>
      </c>
      <c r="B11" s="24"/>
      <c r="C11" s="10" t="s">
        <v>26</v>
      </c>
      <c r="D11" s="11" t="s">
        <v>26</v>
      </c>
      <c r="E11" s="11" t="s">
        <v>26</v>
      </c>
      <c r="F11" s="11" t="s">
        <v>26</v>
      </c>
      <c r="G11" s="10">
        <f>+G12</f>
        <v>5900423678.2469997</v>
      </c>
      <c r="H11" s="11">
        <f>+G11/G135</f>
        <v>3.9232819109630834E-2</v>
      </c>
      <c r="I11" s="11">
        <v>0.1</v>
      </c>
      <c r="J11" s="11">
        <f>+I11-H11</f>
        <v>6.0767180890369171E-2</v>
      </c>
      <c r="K11" s="10" t="s">
        <v>26</v>
      </c>
      <c r="L11" s="11" t="s">
        <v>26</v>
      </c>
      <c r="M11" s="11" t="s">
        <v>26</v>
      </c>
      <c r="N11" s="11" t="s">
        <v>26</v>
      </c>
      <c r="O11" s="10">
        <f>+O12</f>
        <v>1388879641.8</v>
      </c>
      <c r="P11" s="11">
        <f>+O11/O135</f>
        <v>6.1960198515380351E-3</v>
      </c>
      <c r="Q11" s="11">
        <v>0.1</v>
      </c>
      <c r="R11" s="11">
        <f>+Q11-P11</f>
        <v>9.3803980148461974E-2</v>
      </c>
      <c r="S11" s="51">
        <f>+S12</f>
        <v>1542019830</v>
      </c>
      <c r="T11" s="11">
        <f>+S11/S135</f>
        <v>1.389112129939531E-2</v>
      </c>
      <c r="U11" s="11">
        <v>0.1</v>
      </c>
      <c r="V11" s="11">
        <f>+U11-T11</f>
        <v>8.6108878700604699E-2</v>
      </c>
      <c r="W11" s="10" t="s">
        <v>26</v>
      </c>
      <c r="X11" s="11" t="s">
        <v>26</v>
      </c>
      <c r="Y11" s="11" t="s">
        <v>26</v>
      </c>
      <c r="Z11" s="11" t="s">
        <v>26</v>
      </c>
      <c r="AA11" s="10">
        <f>+AA12</f>
        <v>1653428145</v>
      </c>
      <c r="AB11" s="11">
        <f>+AA11/AA135</f>
        <v>1.1960073168287955E-2</v>
      </c>
      <c r="AC11" s="11">
        <v>0.1</v>
      </c>
      <c r="AD11" s="11">
        <f>+AC11-AB11</f>
        <v>8.8039926831712051E-2</v>
      </c>
      <c r="AE11" s="28">
        <f>+AE12</f>
        <v>10484751295.047001</v>
      </c>
      <c r="AF11" s="54">
        <f>+AE11/AE135</f>
        <v>1.6402506428757894E-2</v>
      </c>
      <c r="AG11" s="54">
        <v>0.1</v>
      </c>
      <c r="AH11" s="54">
        <f>+AG11-AF11</f>
        <v>8.3597493571242104E-2</v>
      </c>
      <c r="AI11" s="10" t="s">
        <v>26</v>
      </c>
      <c r="AJ11" s="11" t="s">
        <v>26</v>
      </c>
      <c r="AK11" s="11" t="s">
        <v>26</v>
      </c>
      <c r="AL11" s="11" t="s">
        <v>26</v>
      </c>
      <c r="AM11" s="28" t="s">
        <v>26</v>
      </c>
      <c r="AN11" s="11" t="s">
        <v>26</v>
      </c>
      <c r="AO11" s="11" t="s">
        <v>26</v>
      </c>
      <c r="AP11" s="11" t="s">
        <v>26</v>
      </c>
      <c r="AQ11" s="10" t="s">
        <v>26</v>
      </c>
      <c r="AR11" s="11" t="s">
        <v>26</v>
      </c>
      <c r="AS11" s="11" t="s">
        <v>26</v>
      </c>
      <c r="AT11" s="11" t="s">
        <v>26</v>
      </c>
      <c r="AU11" s="10" t="s">
        <v>26</v>
      </c>
      <c r="AV11" s="11" t="s">
        <v>26</v>
      </c>
      <c r="AW11" s="11" t="s">
        <v>26</v>
      </c>
      <c r="AX11" s="11" t="s">
        <v>26</v>
      </c>
      <c r="AY11" s="28">
        <f>+AY12</f>
        <v>10484751295.047001</v>
      </c>
      <c r="AZ11" s="11">
        <f>+AY11/AY135</f>
        <v>1.4458150050014325E-2</v>
      </c>
      <c r="BA11" s="54">
        <v>0.1</v>
      </c>
      <c r="BB11" s="54">
        <f>+BA11-AZ11</f>
        <v>8.5541849949985677E-2</v>
      </c>
    </row>
    <row r="12" spans="1:56" ht="17.25">
      <c r="A12" s="3" t="s">
        <v>113</v>
      </c>
      <c r="B12" s="31" t="s">
        <v>29</v>
      </c>
      <c r="C12" s="61" t="s">
        <v>26</v>
      </c>
      <c r="D12" s="11" t="s">
        <v>26</v>
      </c>
      <c r="E12" s="11" t="s">
        <v>26</v>
      </c>
      <c r="F12" s="11" t="s">
        <v>26</v>
      </c>
      <c r="G12" s="2">
        <v>5900423678.2469997</v>
      </c>
      <c r="H12" s="1">
        <f>+G12/G8</f>
        <v>7.39561238883195E-2</v>
      </c>
      <c r="I12" s="11" t="s">
        <v>26</v>
      </c>
      <c r="J12" s="11" t="s">
        <v>26</v>
      </c>
      <c r="K12" s="10" t="s">
        <v>26</v>
      </c>
      <c r="L12" s="11" t="s">
        <v>26</v>
      </c>
      <c r="M12" s="11" t="s">
        <v>26</v>
      </c>
      <c r="N12" s="11" t="s">
        <v>26</v>
      </c>
      <c r="O12" s="2">
        <v>1388879641.8</v>
      </c>
      <c r="P12" s="1">
        <f>+O12/O9</f>
        <v>1.4565467315027803E-2</v>
      </c>
      <c r="Q12" s="11" t="s">
        <v>26</v>
      </c>
      <c r="R12" s="11" t="s">
        <v>26</v>
      </c>
      <c r="S12" s="2">
        <v>1542019830</v>
      </c>
      <c r="T12" s="59">
        <f>+S12/S11</f>
        <v>1</v>
      </c>
      <c r="U12" s="11" t="s">
        <v>26</v>
      </c>
      <c r="V12" s="11" t="s">
        <v>26</v>
      </c>
      <c r="W12" s="10" t="s">
        <v>26</v>
      </c>
      <c r="X12" s="11" t="s">
        <v>26</v>
      </c>
      <c r="Y12" s="11" t="s">
        <v>26</v>
      </c>
      <c r="Z12" s="11" t="s">
        <v>26</v>
      </c>
      <c r="AA12" s="2">
        <v>1653428145</v>
      </c>
      <c r="AB12" s="1">
        <f>+AA12/AA8</f>
        <v>2.3790515729334133E-2</v>
      </c>
      <c r="AC12" s="11" t="s">
        <v>26</v>
      </c>
      <c r="AD12" s="11" t="s">
        <v>26</v>
      </c>
      <c r="AE12" s="2">
        <f>+G12+O12+S12+AA12</f>
        <v>10484751295.047001</v>
      </c>
      <c r="AF12" s="1">
        <f>+AE12/AE11</f>
        <v>1</v>
      </c>
      <c r="AG12" s="11" t="s">
        <v>26</v>
      </c>
      <c r="AH12" s="11" t="s">
        <v>26</v>
      </c>
      <c r="AI12" s="10" t="s">
        <v>26</v>
      </c>
      <c r="AJ12" s="11" t="s">
        <v>26</v>
      </c>
      <c r="AK12" s="11" t="s">
        <v>26</v>
      </c>
      <c r="AL12" s="11" t="s">
        <v>26</v>
      </c>
      <c r="AM12" s="10" t="s">
        <v>26</v>
      </c>
      <c r="AN12" s="11" t="s">
        <v>26</v>
      </c>
      <c r="AO12" s="11" t="s">
        <v>26</v>
      </c>
      <c r="AP12" s="11" t="s">
        <v>26</v>
      </c>
      <c r="AQ12" s="10" t="s">
        <v>26</v>
      </c>
      <c r="AR12" s="11" t="s">
        <v>26</v>
      </c>
      <c r="AS12" s="11" t="s">
        <v>26</v>
      </c>
      <c r="AT12" s="11" t="s">
        <v>26</v>
      </c>
      <c r="AU12" s="10" t="s">
        <v>26</v>
      </c>
      <c r="AV12" s="11" t="s">
        <v>26</v>
      </c>
      <c r="AW12" s="11" t="s">
        <v>26</v>
      </c>
      <c r="AX12" s="11" t="s">
        <v>26</v>
      </c>
      <c r="AY12" s="2">
        <f>+AE12</f>
        <v>10484751295.047001</v>
      </c>
      <c r="AZ12" s="1">
        <v>1</v>
      </c>
      <c r="BA12" s="11" t="s">
        <v>26</v>
      </c>
      <c r="BB12" s="11" t="s">
        <v>26</v>
      </c>
    </row>
    <row r="13" spans="1:56">
      <c r="A13" s="13" t="s">
        <v>30</v>
      </c>
      <c r="B13" s="25" t="s">
        <v>25</v>
      </c>
      <c r="C13" s="55">
        <v>2145413345.4200001</v>
      </c>
      <c r="D13" s="56">
        <v>0.34020452019601</v>
      </c>
      <c r="E13" s="56" t="s">
        <v>26</v>
      </c>
      <c r="F13" s="56" t="s">
        <v>26</v>
      </c>
      <c r="G13" s="55">
        <v>47949814901.540001</v>
      </c>
      <c r="H13" s="56">
        <v>0.31882564997961998</v>
      </c>
      <c r="I13" s="56" t="s">
        <v>26</v>
      </c>
      <c r="J13" s="56" t="s">
        <v>26</v>
      </c>
      <c r="K13" s="55">
        <v>843485800.47000003</v>
      </c>
      <c r="L13" s="56">
        <v>0.28821499260138</v>
      </c>
      <c r="M13" s="56" t="s">
        <v>26</v>
      </c>
      <c r="N13" s="56" t="s">
        <v>26</v>
      </c>
      <c r="O13" s="55">
        <v>72713541382.710007</v>
      </c>
      <c r="P13" s="56">
        <v>0.32438703277341002</v>
      </c>
      <c r="Q13" s="56" t="s">
        <v>26</v>
      </c>
      <c r="R13" s="56" t="s">
        <v>26</v>
      </c>
      <c r="S13" s="55">
        <v>30374730483.48</v>
      </c>
      <c r="T13" s="56">
        <v>0.27362752240512001</v>
      </c>
      <c r="U13" s="56" t="s">
        <v>26</v>
      </c>
      <c r="V13" s="56" t="s">
        <v>26</v>
      </c>
      <c r="W13" s="55">
        <f>+W14</f>
        <v>3010942489.3800001</v>
      </c>
      <c r="X13" s="56">
        <f>+W13/W135</f>
        <v>0.4872512763011968</v>
      </c>
      <c r="Y13" s="56" t="s">
        <v>26</v>
      </c>
      <c r="Z13" s="56" t="s">
        <v>26</v>
      </c>
      <c r="AA13" s="55">
        <v>41578395623.620003</v>
      </c>
      <c r="AB13" s="56">
        <v>0.30075734187924003</v>
      </c>
      <c r="AC13" s="56" t="s">
        <v>26</v>
      </c>
      <c r="AD13" s="56" t="s">
        <v>26</v>
      </c>
      <c r="AE13" s="55">
        <f>+AE14</f>
        <v>198616324026.62</v>
      </c>
      <c r="AF13" s="56">
        <f>+AE13/AE135</f>
        <v>0.31071843671121546</v>
      </c>
      <c r="AG13" s="56" t="s">
        <v>26</v>
      </c>
      <c r="AH13" s="56" t="s">
        <v>26</v>
      </c>
      <c r="AI13" s="55">
        <v>6528031982.2399998</v>
      </c>
      <c r="AJ13" s="56">
        <v>0.38215916850387999</v>
      </c>
      <c r="AK13" s="56" t="s">
        <v>26</v>
      </c>
      <c r="AL13" s="56" t="s">
        <v>26</v>
      </c>
      <c r="AM13" s="55">
        <v>11926531711.379999</v>
      </c>
      <c r="AN13" s="56">
        <v>0.50034737451957001</v>
      </c>
      <c r="AO13" s="56" t="s">
        <v>26</v>
      </c>
      <c r="AP13" s="56" t="s">
        <v>26</v>
      </c>
      <c r="AQ13" s="55">
        <v>18454563693.619999</v>
      </c>
      <c r="AR13" s="56">
        <v>0.45100810706021</v>
      </c>
      <c r="AS13" s="56" t="s">
        <v>26</v>
      </c>
      <c r="AT13" s="56" t="s">
        <v>26</v>
      </c>
      <c r="AU13" s="55">
        <v>14099289784.58</v>
      </c>
      <c r="AV13" s="56">
        <v>0.31300853792208999</v>
      </c>
      <c r="AW13" s="56" t="s">
        <v>26</v>
      </c>
      <c r="AX13" s="56" t="s">
        <v>26</v>
      </c>
      <c r="AY13" s="55">
        <f>+AY14</f>
        <v>231170177504.82001</v>
      </c>
      <c r="AZ13" s="56">
        <f>+AY13/AY135</f>
        <v>0.31877657556188616</v>
      </c>
      <c r="BA13" s="56" t="s">
        <v>26</v>
      </c>
      <c r="BB13" s="56" t="s">
        <v>26</v>
      </c>
    </row>
    <row r="14" spans="1:56" s="8" customFormat="1">
      <c r="A14" s="5" t="s">
        <v>31</v>
      </c>
      <c r="B14" s="24" t="s">
        <v>25</v>
      </c>
      <c r="C14" s="10">
        <v>2145413345.4200001</v>
      </c>
      <c r="D14" s="11">
        <v>0.34020452019601</v>
      </c>
      <c r="E14" s="11">
        <v>0.5</v>
      </c>
      <c r="F14" s="11">
        <v>0.1598</v>
      </c>
      <c r="G14" s="10">
        <v>47949814901.540001</v>
      </c>
      <c r="H14" s="11">
        <v>0.31882564997961998</v>
      </c>
      <c r="I14" s="11">
        <v>0.5</v>
      </c>
      <c r="J14" s="11">
        <v>0.1812</v>
      </c>
      <c r="K14" s="10">
        <v>843485800.47000003</v>
      </c>
      <c r="L14" s="11">
        <v>0.28821499260138</v>
      </c>
      <c r="M14" s="11">
        <v>0.5</v>
      </c>
      <c r="N14" s="11">
        <v>0.21179999999999999</v>
      </c>
      <c r="O14" s="10">
        <v>72713541382.710007</v>
      </c>
      <c r="P14" s="11">
        <v>0.32438703277341002</v>
      </c>
      <c r="Q14" s="11">
        <v>0.5</v>
      </c>
      <c r="R14" s="11">
        <v>0.17560000000000001</v>
      </c>
      <c r="S14" s="10">
        <v>30374730483.48</v>
      </c>
      <c r="T14" s="11">
        <v>0.27362752240512001</v>
      </c>
      <c r="U14" s="11">
        <v>0.5</v>
      </c>
      <c r="V14" s="11">
        <v>0.22639999999999999</v>
      </c>
      <c r="W14" s="10">
        <f>+W15+W17</f>
        <v>3010942489.3800001</v>
      </c>
      <c r="X14" s="11">
        <f>+W14/W135</f>
        <v>0.4872512763011968</v>
      </c>
      <c r="Y14" s="11"/>
      <c r="Z14" s="11"/>
      <c r="AA14" s="10">
        <v>41578395623.620003</v>
      </c>
      <c r="AB14" s="11">
        <v>0.30075734187924003</v>
      </c>
      <c r="AC14" s="11">
        <v>0.50009999999999999</v>
      </c>
      <c r="AD14" s="11">
        <v>0.1993</v>
      </c>
      <c r="AE14" s="10">
        <f>+AE15+AE16+AE17</f>
        <v>198616324026.62</v>
      </c>
      <c r="AF14" s="54">
        <v>0.31071801518559999</v>
      </c>
      <c r="AG14" s="11">
        <v>0.5</v>
      </c>
      <c r="AH14" s="11">
        <v>0.1893</v>
      </c>
      <c r="AI14" s="10">
        <v>6528031982.2399998</v>
      </c>
      <c r="AJ14" s="11">
        <v>0.38215916850387999</v>
      </c>
      <c r="AK14" s="11">
        <v>0.5</v>
      </c>
      <c r="AL14" s="11">
        <v>0.1178</v>
      </c>
      <c r="AM14" s="10">
        <v>11926531711.379999</v>
      </c>
      <c r="AN14" s="11">
        <v>0.50034737451957001</v>
      </c>
      <c r="AO14" s="11">
        <v>0.5</v>
      </c>
      <c r="AP14" s="11">
        <v>-2.9999999999999997E-4</v>
      </c>
      <c r="AQ14" s="10">
        <v>18454563693.619999</v>
      </c>
      <c r="AR14" s="11">
        <v>0.45100810706021</v>
      </c>
      <c r="AS14" s="11">
        <v>0.5</v>
      </c>
      <c r="AT14" s="11">
        <v>4.9000000000000002E-2</v>
      </c>
      <c r="AU14" s="10">
        <v>14099289784.58</v>
      </c>
      <c r="AV14" s="11">
        <v>0.31300853792208999</v>
      </c>
      <c r="AW14" s="11">
        <v>0.5</v>
      </c>
      <c r="AX14" s="11">
        <v>0.187</v>
      </c>
      <c r="AY14" s="10">
        <f>+AY15+AY16+AY17</f>
        <v>231170177504.82001</v>
      </c>
      <c r="AZ14" s="11">
        <f>+AY14/AY135</f>
        <v>0.31877657556188616</v>
      </c>
      <c r="BA14" s="11">
        <v>0.5</v>
      </c>
      <c r="BB14" s="60">
        <f>+BA14-AZ14</f>
        <v>0.18122342443811384</v>
      </c>
    </row>
    <row r="15" spans="1:56">
      <c r="A15" s="3" t="s">
        <v>32</v>
      </c>
      <c r="B15" s="31" t="s">
        <v>29</v>
      </c>
      <c r="C15" s="2">
        <v>968252126.22000003</v>
      </c>
      <c r="D15" s="1">
        <v>0.45131262387596</v>
      </c>
      <c r="E15" s="10" t="s">
        <v>26</v>
      </c>
      <c r="F15" s="11" t="s">
        <v>26</v>
      </c>
      <c r="G15" s="2">
        <v>17869397323.84</v>
      </c>
      <c r="H15" s="1">
        <v>0.37266874461420002</v>
      </c>
      <c r="I15" s="11" t="s">
        <v>26</v>
      </c>
      <c r="J15" s="11" t="s">
        <v>26</v>
      </c>
      <c r="K15" s="47">
        <v>251122040.72999999</v>
      </c>
      <c r="L15" s="1">
        <v>0.29771934582664999</v>
      </c>
      <c r="M15" s="11" t="s">
        <v>26</v>
      </c>
      <c r="N15" s="11" t="s">
        <v>26</v>
      </c>
      <c r="O15" s="2">
        <v>20834542222.07</v>
      </c>
      <c r="P15" s="1">
        <v>0.28652905395451</v>
      </c>
      <c r="Q15" s="11" t="s">
        <v>26</v>
      </c>
      <c r="R15" s="11" t="s">
        <v>26</v>
      </c>
      <c r="S15" s="2">
        <v>11809515239.99</v>
      </c>
      <c r="T15" s="1">
        <v>0.38879407494374002</v>
      </c>
      <c r="U15" s="11" t="s">
        <v>26</v>
      </c>
      <c r="V15" s="11" t="s">
        <v>26</v>
      </c>
      <c r="W15" s="2">
        <v>1251198155.25</v>
      </c>
      <c r="X15" s="1">
        <f>+W15/W14</f>
        <v>0.41555033338004443</v>
      </c>
      <c r="Y15" s="11" t="s">
        <v>26</v>
      </c>
      <c r="Z15" s="11" t="s">
        <v>26</v>
      </c>
      <c r="AA15" s="2">
        <v>18522423972.439999</v>
      </c>
      <c r="AB15" s="1">
        <v>0.44548193105166001</v>
      </c>
      <c r="AC15" s="11" t="s">
        <v>26</v>
      </c>
      <c r="AD15" s="11" t="s">
        <v>26</v>
      </c>
      <c r="AE15" s="2">
        <f>+C15+G15+K15+O15+S15+W15+AA15</f>
        <v>71506451080.539993</v>
      </c>
      <c r="AF15" s="1">
        <v>0.36002144695626997</v>
      </c>
      <c r="AG15" s="11" t="s">
        <v>26</v>
      </c>
      <c r="AH15" s="11" t="s">
        <v>26</v>
      </c>
      <c r="AI15" s="2">
        <v>1721222571.46</v>
      </c>
      <c r="AJ15" s="1">
        <v>0.26366638155921002</v>
      </c>
      <c r="AK15" s="11" t="s">
        <v>26</v>
      </c>
      <c r="AL15" s="11" t="s">
        <v>26</v>
      </c>
      <c r="AM15" s="22">
        <v>6792000815.1199999</v>
      </c>
      <c r="AN15" s="1">
        <v>0.56948666883929</v>
      </c>
      <c r="AO15" s="11" t="s">
        <v>26</v>
      </c>
      <c r="AP15" s="11" t="s">
        <v>26</v>
      </c>
      <c r="AQ15" s="2">
        <v>8513223386.5799999</v>
      </c>
      <c r="AR15" s="1">
        <v>0.46130721527288998</v>
      </c>
      <c r="AS15" s="11" t="s">
        <v>26</v>
      </c>
      <c r="AT15" s="11" t="s">
        <v>26</v>
      </c>
      <c r="AU15" s="2">
        <v>7817781650.0299997</v>
      </c>
      <c r="AV15" s="1">
        <v>0.55448052841498996</v>
      </c>
      <c r="AW15" s="11" t="s">
        <v>26</v>
      </c>
      <c r="AX15" s="11" t="s">
        <v>26</v>
      </c>
      <c r="AY15" s="2">
        <f>+AE15+AQ15+AU15</f>
        <v>87837456117.149994</v>
      </c>
      <c r="AZ15" s="1">
        <f>+AY15/AY14</f>
        <v>0.37996880508221498</v>
      </c>
      <c r="BA15" s="11" t="s">
        <v>26</v>
      </c>
      <c r="BB15" s="11" t="s">
        <v>26</v>
      </c>
    </row>
    <row r="16" spans="1:56">
      <c r="A16" s="3" t="s">
        <v>124</v>
      </c>
      <c r="B16" s="31" t="s">
        <v>39</v>
      </c>
      <c r="C16" s="10" t="s">
        <v>26</v>
      </c>
      <c r="D16" s="11" t="s">
        <v>26</v>
      </c>
      <c r="E16" s="10" t="s">
        <v>26</v>
      </c>
      <c r="F16" s="11" t="s">
        <v>26</v>
      </c>
      <c r="G16" s="2">
        <v>1680111296.71</v>
      </c>
      <c r="H16" s="1">
        <v>3.503895270837E-2</v>
      </c>
      <c r="I16" s="11" t="s">
        <v>26</v>
      </c>
      <c r="J16" s="11" t="s">
        <v>26</v>
      </c>
      <c r="K16" s="10" t="s">
        <v>26</v>
      </c>
      <c r="L16" s="11" t="s">
        <v>26</v>
      </c>
      <c r="M16" s="11" t="s">
        <v>26</v>
      </c>
      <c r="N16" s="11" t="s">
        <v>26</v>
      </c>
      <c r="O16" s="10" t="s">
        <v>26</v>
      </c>
      <c r="P16" s="11" t="s">
        <v>26</v>
      </c>
      <c r="Q16" s="11" t="s">
        <v>26</v>
      </c>
      <c r="R16" s="11" t="s">
        <v>26</v>
      </c>
      <c r="S16" s="10" t="s">
        <v>26</v>
      </c>
      <c r="T16" s="11" t="s">
        <v>26</v>
      </c>
      <c r="U16" s="11" t="s">
        <v>26</v>
      </c>
      <c r="V16" s="11" t="s">
        <v>26</v>
      </c>
      <c r="W16" s="10" t="s">
        <v>26</v>
      </c>
      <c r="X16" s="11" t="s">
        <v>26</v>
      </c>
      <c r="Y16" s="11" t="s">
        <v>26</v>
      </c>
      <c r="Z16" s="11" t="s">
        <v>26</v>
      </c>
      <c r="AA16" s="2">
        <v>4721300255.0600004</v>
      </c>
      <c r="AB16" s="1">
        <v>0.11355176610946</v>
      </c>
      <c r="AC16" s="11" t="s">
        <v>26</v>
      </c>
      <c r="AD16" s="11" t="s">
        <v>26</v>
      </c>
      <c r="AE16" s="2">
        <f>+G16+O166+AA16</f>
        <v>6401411551.7700005</v>
      </c>
      <c r="AF16" s="1">
        <v>3.2229895549349998E-2</v>
      </c>
      <c r="AG16" s="11" t="s">
        <v>26</v>
      </c>
      <c r="AH16" s="11" t="s">
        <v>26</v>
      </c>
      <c r="AI16" s="10" t="s">
        <v>26</v>
      </c>
      <c r="AJ16" s="11" t="s">
        <v>26</v>
      </c>
      <c r="AK16" s="11" t="s">
        <v>26</v>
      </c>
      <c r="AL16" s="11" t="s">
        <v>26</v>
      </c>
      <c r="AM16" s="22">
        <v>302807781.88</v>
      </c>
      <c r="AN16" s="1">
        <v>2.5389424956719999E-2</v>
      </c>
      <c r="AO16" s="11" t="s">
        <v>26</v>
      </c>
      <c r="AP16" s="11" t="s">
        <v>26</v>
      </c>
      <c r="AQ16" s="2">
        <v>302807781.88</v>
      </c>
      <c r="AR16" s="1">
        <v>1.6408287234920001E-2</v>
      </c>
      <c r="AS16" s="11" t="s">
        <v>26</v>
      </c>
      <c r="AT16" s="11" t="s">
        <v>26</v>
      </c>
      <c r="AU16" s="10" t="s">
        <v>26</v>
      </c>
      <c r="AV16" s="11" t="s">
        <v>26</v>
      </c>
      <c r="AW16" s="11" t="s">
        <v>26</v>
      </c>
      <c r="AX16" s="11" t="s">
        <v>26</v>
      </c>
      <c r="AY16" s="2">
        <f>+AE16+AQ16</f>
        <v>6704219333.6500006</v>
      </c>
      <c r="AZ16" s="1">
        <f>+AY16/AY13</f>
        <v>2.9001229336817091E-2</v>
      </c>
      <c r="BA16" s="11" t="s">
        <v>26</v>
      </c>
      <c r="BB16" s="11" t="s">
        <v>26</v>
      </c>
    </row>
    <row r="17" spans="1:56">
      <c r="A17" s="3" t="s">
        <v>33</v>
      </c>
      <c r="B17" s="31" t="s">
        <v>29</v>
      </c>
      <c r="C17" s="2">
        <v>1177161219.2</v>
      </c>
      <c r="D17" s="1">
        <v>0.54868737612403995</v>
      </c>
      <c r="E17" s="10" t="s">
        <v>26</v>
      </c>
      <c r="F17" s="11" t="s">
        <v>26</v>
      </c>
      <c r="G17" s="2">
        <v>28400306280.990002</v>
      </c>
      <c r="H17" s="1">
        <v>0.59229230267744004</v>
      </c>
      <c r="I17" s="11" t="s">
        <v>26</v>
      </c>
      <c r="J17" s="11" t="s">
        <v>26</v>
      </c>
      <c r="K17" s="47">
        <v>592363759.74000001</v>
      </c>
      <c r="L17" s="1">
        <v>0.70228065417334995</v>
      </c>
      <c r="M17" s="11" t="s">
        <v>26</v>
      </c>
      <c r="N17" s="11" t="s">
        <v>26</v>
      </c>
      <c r="O17" s="2">
        <v>51878999160.639999</v>
      </c>
      <c r="P17" s="1">
        <v>0.71347094604549</v>
      </c>
      <c r="Q17" s="11" t="s">
        <v>26</v>
      </c>
      <c r="R17" s="11" t="s">
        <v>26</v>
      </c>
      <c r="S17" s="2">
        <v>18565215243.490002</v>
      </c>
      <c r="T17" s="1">
        <v>0.61120592505626004</v>
      </c>
      <c r="U17" s="11" t="s">
        <v>26</v>
      </c>
      <c r="V17" s="11" t="s">
        <v>26</v>
      </c>
      <c r="W17" s="2">
        <v>1759744334.1300001</v>
      </c>
      <c r="X17" s="1">
        <f>+W17/W14</f>
        <v>0.58444966661995557</v>
      </c>
      <c r="Y17" s="11" t="s">
        <v>26</v>
      </c>
      <c r="Z17" s="11" t="s">
        <v>26</v>
      </c>
      <c r="AA17" s="2">
        <v>18334671396.119999</v>
      </c>
      <c r="AB17" s="1">
        <v>0.44096630283888</v>
      </c>
      <c r="AC17" s="11" t="s">
        <v>26</v>
      </c>
      <c r="AD17" s="11" t="s">
        <v>26</v>
      </c>
      <c r="AE17" s="2">
        <f>+C17+G17+K17+O17+S17+W17+AA17</f>
        <v>120708461394.31001</v>
      </c>
      <c r="AF17" s="1">
        <v>0.60774865749437001</v>
      </c>
      <c r="AG17" s="11" t="s">
        <v>26</v>
      </c>
      <c r="AH17" s="11" t="s">
        <v>26</v>
      </c>
      <c r="AI17" s="2">
        <v>4806809410.7799997</v>
      </c>
      <c r="AJ17" s="1">
        <v>0.73633361844079004</v>
      </c>
      <c r="AK17" s="11" t="s">
        <v>25</v>
      </c>
      <c r="AL17" s="11" t="s">
        <v>25</v>
      </c>
      <c r="AM17" s="22">
        <v>4831723114.3800001</v>
      </c>
      <c r="AN17" s="1">
        <v>0.40512390620399003</v>
      </c>
      <c r="AO17" s="11" t="s">
        <v>26</v>
      </c>
      <c r="AP17" s="11" t="s">
        <v>26</v>
      </c>
      <c r="AQ17" s="2">
        <v>9638532525.1599998</v>
      </c>
      <c r="AR17" s="1">
        <v>0.52228449749218997</v>
      </c>
      <c r="AS17" s="11" t="s">
        <v>26</v>
      </c>
      <c r="AT17" s="11" t="s">
        <v>26</v>
      </c>
      <c r="AU17" s="2">
        <v>6281508134.5500002</v>
      </c>
      <c r="AV17" s="1">
        <v>0.44551947158500999</v>
      </c>
      <c r="AW17" s="11" t="s">
        <v>26</v>
      </c>
      <c r="AX17" s="11" t="s">
        <v>26</v>
      </c>
      <c r="AY17" s="2">
        <f t="shared" ref="AY17" si="0">+AE17+AQ17+AU17</f>
        <v>136628502054.02002</v>
      </c>
      <c r="AZ17" s="1">
        <f>+AY17/AY14</f>
        <v>0.59102996558096799</v>
      </c>
      <c r="BA17" s="11" t="s">
        <v>26</v>
      </c>
      <c r="BB17" s="11" t="s">
        <v>26</v>
      </c>
    </row>
    <row r="18" spans="1:56">
      <c r="A18" s="13" t="s">
        <v>34</v>
      </c>
      <c r="B18" s="25" t="s">
        <v>25</v>
      </c>
      <c r="C18" s="55">
        <v>307116274.94</v>
      </c>
      <c r="D18" s="56">
        <v>4.8700333287009998E-2</v>
      </c>
      <c r="E18" s="56" t="s">
        <v>26</v>
      </c>
      <c r="F18" s="56" t="s">
        <v>26</v>
      </c>
      <c r="G18" s="55">
        <v>7925059542.0200005</v>
      </c>
      <c r="H18" s="56">
        <v>5.2694932499739999E-2</v>
      </c>
      <c r="I18" s="56" t="s">
        <v>26</v>
      </c>
      <c r="J18" s="56" t="s">
        <v>26</v>
      </c>
      <c r="K18" s="55">
        <v>267717793.40000001</v>
      </c>
      <c r="L18" s="56">
        <v>9.1477866967109994E-2</v>
      </c>
      <c r="M18" s="56" t="s">
        <v>26</v>
      </c>
      <c r="N18" s="56" t="s">
        <v>26</v>
      </c>
      <c r="O18" s="55">
        <v>14597882650.91</v>
      </c>
      <c r="P18" s="56">
        <v>6.5123548487069999E-2</v>
      </c>
      <c r="Q18" s="56" t="s">
        <v>26</v>
      </c>
      <c r="R18" s="56" t="s">
        <v>26</v>
      </c>
      <c r="S18" s="55">
        <v>11238860532.32</v>
      </c>
      <c r="T18" s="56">
        <v>0.10124407733552999</v>
      </c>
      <c r="U18" s="56" t="s">
        <v>26</v>
      </c>
      <c r="V18" s="56" t="s">
        <v>26</v>
      </c>
      <c r="W18" s="55">
        <v>1005308914.99</v>
      </c>
      <c r="X18" s="56">
        <v>0.16261404568209001</v>
      </c>
      <c r="Y18" s="56" t="s">
        <v>26</v>
      </c>
      <c r="Z18" s="56" t="s">
        <v>26</v>
      </c>
      <c r="AA18" s="55">
        <v>12685342673.030001</v>
      </c>
      <c r="AB18" s="56">
        <v>9.1759431453400001E-2</v>
      </c>
      <c r="AC18" s="56" t="s">
        <v>26</v>
      </c>
      <c r="AD18" s="56" t="s">
        <v>26</v>
      </c>
      <c r="AE18" s="55">
        <v>48027288381.610001</v>
      </c>
      <c r="AF18" s="56">
        <v>7.5134197124610003E-2</v>
      </c>
      <c r="AG18" s="56" t="s">
        <v>26</v>
      </c>
      <c r="AH18" s="56" t="s">
        <v>26</v>
      </c>
      <c r="AI18" s="55">
        <v>2001586138.5799999</v>
      </c>
      <c r="AJ18" s="56">
        <v>0.11717535950952</v>
      </c>
      <c r="AK18" s="56" t="s">
        <v>26</v>
      </c>
      <c r="AL18" s="56" t="s">
        <v>26</v>
      </c>
      <c r="AM18" s="55">
        <v>1857534125.4200001</v>
      </c>
      <c r="AN18" s="56">
        <v>7.7928130761399997E-2</v>
      </c>
      <c r="AO18" s="56" t="s">
        <v>26</v>
      </c>
      <c r="AP18" s="56" t="s">
        <v>26</v>
      </c>
      <c r="AQ18" s="55">
        <v>3859120264</v>
      </c>
      <c r="AR18" s="56">
        <v>9.4312418005639997E-2</v>
      </c>
      <c r="AS18" s="56" t="s">
        <v>26</v>
      </c>
      <c r="AT18" s="56" t="s">
        <v>26</v>
      </c>
      <c r="AU18" s="55">
        <v>6340338437.0900002</v>
      </c>
      <c r="AV18" s="56">
        <v>0.14075744909471999</v>
      </c>
      <c r="AW18" s="56" t="s">
        <v>26</v>
      </c>
      <c r="AX18" s="56" t="s">
        <v>26</v>
      </c>
      <c r="AY18" s="55">
        <v>58226747082.699997</v>
      </c>
      <c r="AZ18" s="56">
        <v>8.0292488578210003E-2</v>
      </c>
      <c r="BA18" s="56" t="s">
        <v>26</v>
      </c>
      <c r="BB18" s="56" t="s">
        <v>26</v>
      </c>
    </row>
    <row r="19" spans="1:56" s="7" customFormat="1">
      <c r="A19" s="5" t="s">
        <v>35</v>
      </c>
      <c r="B19" s="24" t="s">
        <v>25</v>
      </c>
      <c r="C19" s="10">
        <v>7100542.1600000001</v>
      </c>
      <c r="D19" s="11">
        <v>1.1259539071300001E-3</v>
      </c>
      <c r="E19" s="11">
        <v>0.15</v>
      </c>
      <c r="F19" s="11">
        <v>0.1489</v>
      </c>
      <c r="G19" s="10">
        <v>3260712556.29</v>
      </c>
      <c r="H19" s="11">
        <v>2.168097629346E-2</v>
      </c>
      <c r="I19" s="11">
        <v>0.15</v>
      </c>
      <c r="J19" s="11">
        <v>0.1283</v>
      </c>
      <c r="K19" s="10" t="s">
        <v>26</v>
      </c>
      <c r="L19" s="11" t="s">
        <v>26</v>
      </c>
      <c r="M19" s="11" t="s">
        <v>26</v>
      </c>
      <c r="N19" s="11" t="s">
        <v>26</v>
      </c>
      <c r="O19" s="10">
        <v>5917033161.1899996</v>
      </c>
      <c r="P19" s="11">
        <v>2.6396855296570002E-2</v>
      </c>
      <c r="Q19" s="11">
        <v>0.13950000000000001</v>
      </c>
      <c r="R19" s="11">
        <v>0.11310000000000001</v>
      </c>
      <c r="S19" s="10">
        <v>4786353023</v>
      </c>
      <c r="T19" s="11">
        <v>4.3117351107100001E-2</v>
      </c>
      <c r="U19" s="11">
        <v>0.05</v>
      </c>
      <c r="V19" s="11">
        <v>6.8999999999999999E-3</v>
      </c>
      <c r="W19" s="10">
        <v>322006501.18000001</v>
      </c>
      <c r="X19" s="11">
        <v>5.2086258374959997E-2</v>
      </c>
      <c r="Y19" s="11">
        <v>0.15</v>
      </c>
      <c r="Z19" s="11">
        <v>9.7900000000000001E-2</v>
      </c>
      <c r="AA19" s="10">
        <v>6528607402.8400002</v>
      </c>
      <c r="AB19" s="11">
        <v>4.7224684339090002E-2</v>
      </c>
      <c r="AC19" s="11">
        <v>0.14050000000000001</v>
      </c>
      <c r="AD19" s="11">
        <v>9.3299999999999994E-2</v>
      </c>
      <c r="AE19" s="10">
        <v>20821813186.66</v>
      </c>
      <c r="AF19" s="11">
        <v>3.2573777724610002E-2</v>
      </c>
      <c r="AG19" s="11">
        <v>0.14330000000000001</v>
      </c>
      <c r="AH19" s="11">
        <v>0.11070000000000001</v>
      </c>
      <c r="AI19" s="10">
        <v>775134931.5</v>
      </c>
      <c r="AJ19" s="11">
        <v>4.5377369735050001E-2</v>
      </c>
      <c r="AK19" s="11">
        <v>0.05</v>
      </c>
      <c r="AL19" s="11">
        <v>4.5999999999999999E-3</v>
      </c>
      <c r="AM19" s="10">
        <v>585868949.23000002</v>
      </c>
      <c r="AN19" s="11">
        <v>2.4578645129500001E-2</v>
      </c>
      <c r="AO19" s="11">
        <v>0.15</v>
      </c>
      <c r="AP19" s="11">
        <v>0.12540000000000001</v>
      </c>
      <c r="AQ19" s="10">
        <v>1361003880.73</v>
      </c>
      <c r="AR19" s="11">
        <v>3.3261354434610001E-2</v>
      </c>
      <c r="AS19" s="11">
        <v>0.1459</v>
      </c>
      <c r="AT19" s="11">
        <v>0.11260000000000001</v>
      </c>
      <c r="AU19" s="10">
        <v>1806969982.8299999</v>
      </c>
      <c r="AV19" s="11">
        <v>4.0115285311270003E-2</v>
      </c>
      <c r="AW19" s="11">
        <v>0.05</v>
      </c>
      <c r="AX19" s="11">
        <v>9.9000000000000008E-3</v>
      </c>
      <c r="AY19" s="10">
        <v>23989787050.220001</v>
      </c>
      <c r="AZ19" s="11">
        <v>3.3081011721080002E-2</v>
      </c>
      <c r="BA19" s="11">
        <v>0.14360000000000001</v>
      </c>
      <c r="BB19" s="11">
        <v>0.1105</v>
      </c>
    </row>
    <row r="20" spans="1:56" s="7" customFormat="1">
      <c r="A20" s="3" t="s">
        <v>36</v>
      </c>
      <c r="B20" s="31" t="s">
        <v>37</v>
      </c>
      <c r="C20" s="10" t="s">
        <v>26</v>
      </c>
      <c r="D20" s="11" t="s">
        <v>26</v>
      </c>
      <c r="E20" s="10" t="s">
        <v>26</v>
      </c>
      <c r="F20" s="11" t="s">
        <v>26</v>
      </c>
      <c r="G20" s="10" t="s">
        <v>26</v>
      </c>
      <c r="H20" s="11" t="s">
        <v>26</v>
      </c>
      <c r="I20" s="11" t="s">
        <v>26</v>
      </c>
      <c r="J20" s="11" t="s">
        <v>26</v>
      </c>
      <c r="K20" s="10" t="s">
        <v>26</v>
      </c>
      <c r="L20" s="11" t="s">
        <v>26</v>
      </c>
      <c r="M20" s="11" t="s">
        <v>26</v>
      </c>
      <c r="N20" s="11" t="s">
        <v>26</v>
      </c>
      <c r="O20" s="2">
        <v>4132415520</v>
      </c>
      <c r="P20" s="1">
        <v>0.69839316553177999</v>
      </c>
      <c r="Q20" s="11" t="s">
        <v>26</v>
      </c>
      <c r="R20" s="11" t="s">
        <v>26</v>
      </c>
      <c r="S20" s="2">
        <v>1018640425.6799999</v>
      </c>
      <c r="T20" s="1">
        <v>0.21282183340533001</v>
      </c>
      <c r="U20" s="11" t="s">
        <v>26</v>
      </c>
      <c r="V20" s="11" t="s">
        <v>26</v>
      </c>
      <c r="W20" s="10" t="s">
        <v>26</v>
      </c>
      <c r="X20" s="11" t="s">
        <v>26</v>
      </c>
      <c r="Y20" s="11" t="s">
        <v>26</v>
      </c>
      <c r="Z20" s="11" t="s">
        <v>26</v>
      </c>
      <c r="AA20" s="2">
        <v>4132415520</v>
      </c>
      <c r="AB20" s="1">
        <v>0.63297044300785998</v>
      </c>
      <c r="AC20" s="11" t="s">
        <v>26</v>
      </c>
      <c r="AD20" s="11" t="s">
        <v>26</v>
      </c>
      <c r="AE20" s="2">
        <v>9283471465.6800003</v>
      </c>
      <c r="AF20" s="1">
        <v>0.44585317246182998</v>
      </c>
      <c r="AG20" s="11" t="s">
        <v>26</v>
      </c>
      <c r="AH20" s="11" t="s">
        <v>26</v>
      </c>
      <c r="AI20" s="2">
        <v>369851189.04000002</v>
      </c>
      <c r="AJ20" s="1">
        <v>0.47714426741714</v>
      </c>
      <c r="AK20" s="11" t="s">
        <v>26</v>
      </c>
      <c r="AL20" s="11" t="s">
        <v>26</v>
      </c>
      <c r="AM20" s="10" t="s">
        <v>26</v>
      </c>
      <c r="AN20" s="11" t="s">
        <v>26</v>
      </c>
      <c r="AO20" s="11" t="s">
        <v>26</v>
      </c>
      <c r="AP20" s="11" t="s">
        <v>26</v>
      </c>
      <c r="AQ20" s="2">
        <v>369851189.04000002</v>
      </c>
      <c r="AR20" s="1">
        <v>0.27174881297297998</v>
      </c>
      <c r="AS20" s="11" t="s">
        <v>26</v>
      </c>
      <c r="AT20" s="11" t="s">
        <v>26</v>
      </c>
      <c r="AU20" s="2">
        <v>660153379.32000005</v>
      </c>
      <c r="AV20" s="1">
        <v>0.36533721400622998</v>
      </c>
      <c r="AW20" s="11" t="s">
        <v>26</v>
      </c>
      <c r="AX20" s="11" t="s">
        <v>26</v>
      </c>
      <c r="AY20" s="2">
        <v>10313476034.040001</v>
      </c>
      <c r="AZ20" s="1">
        <v>0.42991111227665002</v>
      </c>
      <c r="BA20" s="11" t="s">
        <v>26</v>
      </c>
      <c r="BB20" s="11" t="s">
        <v>26</v>
      </c>
    </row>
    <row r="21" spans="1:56" s="7" customFormat="1">
      <c r="A21" s="3" t="s">
        <v>38</v>
      </c>
      <c r="B21" s="31" t="s">
        <v>39</v>
      </c>
      <c r="C21" s="2">
        <v>7100542.1600000001</v>
      </c>
      <c r="D21" s="1">
        <v>1</v>
      </c>
      <c r="E21" s="10" t="s">
        <v>26</v>
      </c>
      <c r="F21" s="11" t="s">
        <v>26</v>
      </c>
      <c r="G21" s="2">
        <v>3260712556.29</v>
      </c>
      <c r="H21" s="1">
        <v>1</v>
      </c>
      <c r="I21" s="11" t="s">
        <v>26</v>
      </c>
      <c r="J21" s="11" t="s">
        <v>26</v>
      </c>
      <c r="K21" s="10" t="s">
        <v>26</v>
      </c>
      <c r="L21" s="11" t="s">
        <v>26</v>
      </c>
      <c r="M21" s="11" t="s">
        <v>26</v>
      </c>
      <c r="N21" s="11" t="s">
        <v>26</v>
      </c>
      <c r="O21" s="2">
        <v>1784617641.1900001</v>
      </c>
      <c r="P21" s="1">
        <v>0.30160683446822001</v>
      </c>
      <c r="Q21" s="11" t="s">
        <v>26</v>
      </c>
      <c r="R21" s="11" t="s">
        <v>26</v>
      </c>
      <c r="S21" s="2">
        <v>3767712597.3200002</v>
      </c>
      <c r="T21" s="1">
        <v>0.78717816659466999</v>
      </c>
      <c r="U21" s="11" t="s">
        <v>26</v>
      </c>
      <c r="V21" s="11" t="s">
        <v>26</v>
      </c>
      <c r="W21" s="2">
        <v>322006501.18000001</v>
      </c>
      <c r="X21" s="1">
        <v>1</v>
      </c>
      <c r="Y21" s="11" t="s">
        <v>26</v>
      </c>
      <c r="Z21" s="11" t="s">
        <v>26</v>
      </c>
      <c r="AA21" s="2">
        <v>2396191882.8400002</v>
      </c>
      <c r="AB21" s="1">
        <v>0.36702955699214002</v>
      </c>
      <c r="AC21" s="11" t="s">
        <v>26</v>
      </c>
      <c r="AD21" s="11" t="s">
        <v>26</v>
      </c>
      <c r="AE21" s="2">
        <v>11538341720.98</v>
      </c>
      <c r="AF21" s="1">
        <v>0.55414682753817002</v>
      </c>
      <c r="AG21" s="11" t="s">
        <v>26</v>
      </c>
      <c r="AH21" s="11" t="s">
        <v>26</v>
      </c>
      <c r="AI21" s="2">
        <v>405283742.45999998</v>
      </c>
      <c r="AJ21" s="1">
        <v>0.52285573258286</v>
      </c>
      <c r="AK21" s="11" t="s">
        <v>26</v>
      </c>
      <c r="AL21" s="11" t="s">
        <v>26</v>
      </c>
      <c r="AM21" s="2">
        <v>585868949.23000002</v>
      </c>
      <c r="AN21" s="1">
        <v>1</v>
      </c>
      <c r="AO21" s="11" t="s">
        <v>26</v>
      </c>
      <c r="AP21" s="11" t="s">
        <v>26</v>
      </c>
      <c r="AQ21" s="2">
        <v>991152691.69000006</v>
      </c>
      <c r="AR21" s="1">
        <v>0.72825118702701996</v>
      </c>
      <c r="AS21" s="11" t="s">
        <v>26</v>
      </c>
      <c r="AT21" s="11" t="s">
        <v>26</v>
      </c>
      <c r="AU21" s="2">
        <v>1146816603.51</v>
      </c>
      <c r="AV21" s="1">
        <v>0.63466278599377002</v>
      </c>
      <c r="AW21" s="11" t="s">
        <v>26</v>
      </c>
      <c r="AX21" s="11" t="s">
        <v>26</v>
      </c>
      <c r="AY21" s="2">
        <v>13676311016.18</v>
      </c>
      <c r="AZ21" s="1">
        <v>0.57008888772334998</v>
      </c>
      <c r="BA21" s="11" t="s">
        <v>26</v>
      </c>
      <c r="BB21" s="11" t="s">
        <v>26</v>
      </c>
    </row>
    <row r="22" spans="1:56" s="7" customFormat="1">
      <c r="A22" s="5" t="s">
        <v>41</v>
      </c>
      <c r="B22" s="24" t="s">
        <v>25</v>
      </c>
      <c r="C22" s="10" t="s">
        <v>26</v>
      </c>
      <c r="D22" s="11" t="s">
        <v>26</v>
      </c>
      <c r="E22" s="10" t="s">
        <v>26</v>
      </c>
      <c r="F22" s="11" t="s">
        <v>26</v>
      </c>
      <c r="G22" s="10" t="s">
        <v>26</v>
      </c>
      <c r="H22" s="11" t="s">
        <v>26</v>
      </c>
      <c r="I22" s="11" t="s">
        <v>26</v>
      </c>
      <c r="J22" s="11" t="s">
        <v>26</v>
      </c>
      <c r="K22" s="10" t="s">
        <v>26</v>
      </c>
      <c r="L22" s="11" t="s">
        <v>26</v>
      </c>
      <c r="M22" s="11" t="s">
        <v>26</v>
      </c>
      <c r="N22" s="11" t="s">
        <v>26</v>
      </c>
      <c r="O22" s="10" t="s">
        <v>26</v>
      </c>
      <c r="P22" s="11" t="s">
        <v>26</v>
      </c>
      <c r="Q22" s="11" t="s">
        <v>26</v>
      </c>
      <c r="R22" s="11" t="s">
        <v>26</v>
      </c>
      <c r="S22" s="10" t="s">
        <v>26</v>
      </c>
      <c r="T22" s="11" t="s">
        <v>26</v>
      </c>
      <c r="U22" s="11" t="s">
        <v>26</v>
      </c>
      <c r="V22" s="11" t="s">
        <v>26</v>
      </c>
      <c r="W22" s="10">
        <v>72332916.510000005</v>
      </c>
      <c r="X22" s="11">
        <v>1.1700232649179999E-2</v>
      </c>
      <c r="Y22" s="11">
        <v>0.15</v>
      </c>
      <c r="Z22" s="11">
        <v>0.13830000000000001</v>
      </c>
      <c r="AA22" s="10" t="s">
        <v>26</v>
      </c>
      <c r="AB22" s="11" t="s">
        <v>26</v>
      </c>
      <c r="AC22" s="11" t="s">
        <v>26</v>
      </c>
      <c r="AD22" s="11" t="s">
        <v>26</v>
      </c>
      <c r="AE22" s="10">
        <v>72332916.510000005</v>
      </c>
      <c r="AF22" s="11">
        <v>1.1315807723E-4</v>
      </c>
      <c r="AG22" s="11">
        <v>0.15</v>
      </c>
      <c r="AH22" s="11">
        <v>0.14990000000000001</v>
      </c>
      <c r="AI22" s="10" t="s">
        <v>26</v>
      </c>
      <c r="AJ22" s="11" t="s">
        <v>26</v>
      </c>
      <c r="AK22" s="11" t="s">
        <v>26</v>
      </c>
      <c r="AL22" s="11" t="s">
        <v>26</v>
      </c>
      <c r="AM22" s="10" t="s">
        <v>26</v>
      </c>
      <c r="AN22" s="11" t="s">
        <v>26</v>
      </c>
      <c r="AO22" s="11" t="s">
        <v>26</v>
      </c>
      <c r="AP22" s="11" t="s">
        <v>26</v>
      </c>
      <c r="AQ22" s="10" t="s">
        <v>26</v>
      </c>
      <c r="AR22" s="11" t="s">
        <v>26</v>
      </c>
      <c r="AS22" s="11" t="s">
        <v>26</v>
      </c>
      <c r="AT22" s="11" t="s">
        <v>26</v>
      </c>
      <c r="AU22" s="10" t="s">
        <v>26</v>
      </c>
      <c r="AV22" s="11" t="s">
        <v>26</v>
      </c>
      <c r="AW22" s="11" t="s">
        <v>26</v>
      </c>
      <c r="AX22" s="11" t="s">
        <v>26</v>
      </c>
      <c r="AY22" s="10">
        <v>72332916.510000005</v>
      </c>
      <c r="AZ22" s="11">
        <v>9.9744364290000007E-5</v>
      </c>
      <c r="BA22" s="11">
        <v>0.15</v>
      </c>
      <c r="BB22" s="11">
        <v>0.14990000000000001</v>
      </c>
      <c r="BD22" s="20"/>
    </row>
    <row r="23" spans="1:56" s="7" customFormat="1">
      <c r="A23" s="3" t="s">
        <v>38</v>
      </c>
      <c r="B23" s="31" t="s">
        <v>39</v>
      </c>
      <c r="C23" s="10" t="s">
        <v>26</v>
      </c>
      <c r="D23" s="11" t="s">
        <v>26</v>
      </c>
      <c r="E23" s="10" t="s">
        <v>26</v>
      </c>
      <c r="F23" s="11" t="s">
        <v>26</v>
      </c>
      <c r="G23" s="10" t="s">
        <v>26</v>
      </c>
      <c r="H23" s="11" t="s">
        <v>26</v>
      </c>
      <c r="I23" s="11" t="s">
        <v>26</v>
      </c>
      <c r="J23" s="11" t="s">
        <v>26</v>
      </c>
      <c r="K23" s="10" t="s">
        <v>26</v>
      </c>
      <c r="L23" s="11" t="s">
        <v>26</v>
      </c>
      <c r="M23" s="11" t="s">
        <v>26</v>
      </c>
      <c r="N23" s="11" t="s">
        <v>26</v>
      </c>
      <c r="O23" s="10" t="s">
        <v>26</v>
      </c>
      <c r="P23" s="11" t="s">
        <v>26</v>
      </c>
      <c r="Q23" s="11" t="s">
        <v>26</v>
      </c>
      <c r="R23" s="11" t="s">
        <v>26</v>
      </c>
      <c r="S23" s="10" t="s">
        <v>26</v>
      </c>
      <c r="T23" s="11" t="s">
        <v>26</v>
      </c>
      <c r="U23" s="11" t="s">
        <v>26</v>
      </c>
      <c r="V23" s="11" t="s">
        <v>26</v>
      </c>
      <c r="W23" s="2">
        <v>72332916.510000005</v>
      </c>
      <c r="X23" s="1">
        <v>1</v>
      </c>
      <c r="Y23" s="11" t="s">
        <v>26</v>
      </c>
      <c r="Z23" s="11" t="s">
        <v>26</v>
      </c>
      <c r="AA23" s="10" t="s">
        <v>26</v>
      </c>
      <c r="AB23" s="11" t="s">
        <v>26</v>
      </c>
      <c r="AC23" s="11" t="s">
        <v>26</v>
      </c>
      <c r="AD23" s="11" t="s">
        <v>26</v>
      </c>
      <c r="AE23" s="2">
        <v>72332916.510000005</v>
      </c>
      <c r="AF23" s="1">
        <v>1</v>
      </c>
      <c r="AG23" s="11" t="s">
        <v>26</v>
      </c>
      <c r="AH23" s="11" t="s">
        <v>26</v>
      </c>
      <c r="AI23" s="10" t="s">
        <v>26</v>
      </c>
      <c r="AJ23" s="11" t="s">
        <v>26</v>
      </c>
      <c r="AK23" s="11" t="s">
        <v>26</v>
      </c>
      <c r="AL23" s="11" t="s">
        <v>26</v>
      </c>
      <c r="AM23" s="10" t="s">
        <v>26</v>
      </c>
      <c r="AN23" s="11" t="s">
        <v>26</v>
      </c>
      <c r="AO23" s="11" t="s">
        <v>26</v>
      </c>
      <c r="AP23" s="11" t="s">
        <v>26</v>
      </c>
      <c r="AQ23" s="10" t="s">
        <v>26</v>
      </c>
      <c r="AR23" s="11" t="s">
        <v>26</v>
      </c>
      <c r="AS23" s="11" t="s">
        <v>26</v>
      </c>
      <c r="AT23" s="11" t="s">
        <v>26</v>
      </c>
      <c r="AU23" s="10" t="s">
        <v>26</v>
      </c>
      <c r="AV23" s="11" t="s">
        <v>26</v>
      </c>
      <c r="AW23" s="11" t="s">
        <v>26</v>
      </c>
      <c r="AX23" s="11" t="s">
        <v>26</v>
      </c>
      <c r="AY23" s="2">
        <v>72332916.510000005</v>
      </c>
      <c r="AZ23" s="1">
        <v>1</v>
      </c>
      <c r="BA23" s="11" t="s">
        <v>26</v>
      </c>
      <c r="BB23" s="11" t="s">
        <v>26</v>
      </c>
    </row>
    <row r="24" spans="1:56" s="7" customFormat="1">
      <c r="A24" s="5" t="s">
        <v>42</v>
      </c>
      <c r="B24" s="24" t="s">
        <v>25</v>
      </c>
      <c r="C24" s="10">
        <v>213113721.88999999</v>
      </c>
      <c r="D24" s="11">
        <v>3.379407127188E-2</v>
      </c>
      <c r="E24" s="11">
        <v>0.13500000000000001</v>
      </c>
      <c r="F24" s="11">
        <v>0.1012</v>
      </c>
      <c r="G24" s="10" t="s">
        <v>26</v>
      </c>
      <c r="H24" s="11" t="s">
        <v>26</v>
      </c>
      <c r="I24" s="11" t="s">
        <v>26</v>
      </c>
      <c r="J24" s="11" t="s">
        <v>26</v>
      </c>
      <c r="K24" s="10" t="s">
        <v>26</v>
      </c>
      <c r="L24" s="11" t="s">
        <v>26</v>
      </c>
      <c r="M24" s="11" t="s">
        <v>26</v>
      </c>
      <c r="N24" s="11" t="s">
        <v>26</v>
      </c>
      <c r="O24" s="10" t="s">
        <v>26</v>
      </c>
      <c r="P24" s="11" t="s">
        <v>26</v>
      </c>
      <c r="Q24" s="11" t="s">
        <v>26</v>
      </c>
      <c r="R24" s="11" t="s">
        <v>26</v>
      </c>
      <c r="S24" s="10" t="s">
        <v>26</v>
      </c>
      <c r="T24" s="11" t="s">
        <v>26</v>
      </c>
      <c r="U24" s="11" t="s">
        <v>26</v>
      </c>
      <c r="V24" s="11" t="s">
        <v>26</v>
      </c>
      <c r="W24" s="10" t="s">
        <v>26</v>
      </c>
      <c r="X24" s="11" t="s">
        <v>26</v>
      </c>
      <c r="Y24" s="11" t="s">
        <v>26</v>
      </c>
      <c r="Z24" s="11" t="s">
        <v>26</v>
      </c>
      <c r="AA24" s="10" t="s">
        <v>26</v>
      </c>
      <c r="AB24" s="11" t="s">
        <v>26</v>
      </c>
      <c r="AC24" s="11" t="s">
        <v>26</v>
      </c>
      <c r="AD24" s="11" t="s">
        <v>26</v>
      </c>
      <c r="AE24" s="10">
        <v>213113721.88999999</v>
      </c>
      <c r="AF24" s="11">
        <v>3.3339646958999999E-4</v>
      </c>
      <c r="AG24" s="11">
        <v>0.13500000000000001</v>
      </c>
      <c r="AH24" s="11">
        <v>0.13469999999999999</v>
      </c>
      <c r="AI24" s="10" t="s">
        <v>26</v>
      </c>
      <c r="AJ24" s="11" t="s">
        <v>26</v>
      </c>
      <c r="AK24" s="11" t="s">
        <v>26</v>
      </c>
      <c r="AL24" s="11" t="s">
        <v>26</v>
      </c>
      <c r="AM24" s="10" t="s">
        <v>26</v>
      </c>
      <c r="AN24" s="11" t="s">
        <v>26</v>
      </c>
      <c r="AO24" s="11" t="s">
        <v>26</v>
      </c>
      <c r="AP24" s="11" t="s">
        <v>26</v>
      </c>
      <c r="AQ24" s="10" t="s">
        <v>26</v>
      </c>
      <c r="AR24" s="11" t="s">
        <v>26</v>
      </c>
      <c r="AS24" s="11" t="s">
        <v>26</v>
      </c>
      <c r="AT24" s="11" t="s">
        <v>26</v>
      </c>
      <c r="AU24" s="10" t="s">
        <v>26</v>
      </c>
      <c r="AV24" s="11" t="s">
        <v>26</v>
      </c>
      <c r="AW24" s="11" t="s">
        <v>26</v>
      </c>
      <c r="AX24" s="11" t="s">
        <v>26</v>
      </c>
      <c r="AY24" s="10">
        <v>213113721.88999999</v>
      </c>
      <c r="AZ24" s="11">
        <v>2.9387578626999998E-4</v>
      </c>
      <c r="BA24" s="11">
        <v>0.13500000000000001</v>
      </c>
      <c r="BB24" s="11">
        <v>0.13469999999999999</v>
      </c>
    </row>
    <row r="25" spans="1:56" s="7" customFormat="1">
      <c r="A25" s="3" t="s">
        <v>38</v>
      </c>
      <c r="B25" s="31" t="s">
        <v>43</v>
      </c>
      <c r="C25" s="2">
        <v>213113721.88999999</v>
      </c>
      <c r="D25" s="1">
        <v>1</v>
      </c>
      <c r="E25" s="10" t="s">
        <v>26</v>
      </c>
      <c r="F25" s="11" t="s">
        <v>26</v>
      </c>
      <c r="G25" s="10" t="s">
        <v>26</v>
      </c>
      <c r="H25" s="11" t="s">
        <v>26</v>
      </c>
      <c r="I25" s="11" t="s">
        <v>26</v>
      </c>
      <c r="J25" s="11" t="s">
        <v>26</v>
      </c>
      <c r="K25" s="10" t="s">
        <v>26</v>
      </c>
      <c r="L25" s="11" t="s">
        <v>26</v>
      </c>
      <c r="M25" s="11" t="s">
        <v>26</v>
      </c>
      <c r="N25" s="11" t="s">
        <v>26</v>
      </c>
      <c r="O25" s="10" t="s">
        <v>26</v>
      </c>
      <c r="P25" s="11" t="s">
        <v>26</v>
      </c>
      <c r="Q25" s="11" t="s">
        <v>26</v>
      </c>
      <c r="R25" s="11" t="s">
        <v>26</v>
      </c>
      <c r="S25" s="10" t="s">
        <v>26</v>
      </c>
      <c r="T25" s="11" t="s">
        <v>26</v>
      </c>
      <c r="U25" s="11" t="s">
        <v>26</v>
      </c>
      <c r="V25" s="11" t="s">
        <v>26</v>
      </c>
      <c r="W25" s="10" t="s">
        <v>26</v>
      </c>
      <c r="X25" s="11" t="s">
        <v>26</v>
      </c>
      <c r="Y25" s="11" t="s">
        <v>26</v>
      </c>
      <c r="Z25" s="11" t="s">
        <v>26</v>
      </c>
      <c r="AA25" s="10" t="s">
        <v>26</v>
      </c>
      <c r="AB25" s="11" t="s">
        <v>26</v>
      </c>
      <c r="AC25" s="11" t="s">
        <v>26</v>
      </c>
      <c r="AD25" s="11" t="s">
        <v>26</v>
      </c>
      <c r="AE25" s="2">
        <v>213113721.88999999</v>
      </c>
      <c r="AF25" s="1">
        <v>1</v>
      </c>
      <c r="AG25" s="11" t="s">
        <v>26</v>
      </c>
      <c r="AH25" s="11" t="s">
        <v>26</v>
      </c>
      <c r="AI25" s="10" t="s">
        <v>26</v>
      </c>
      <c r="AJ25" s="11" t="s">
        <v>26</v>
      </c>
      <c r="AK25" s="11" t="s">
        <v>26</v>
      </c>
      <c r="AL25" s="11" t="s">
        <v>26</v>
      </c>
      <c r="AM25" s="10" t="s">
        <v>26</v>
      </c>
      <c r="AN25" s="11" t="s">
        <v>26</v>
      </c>
      <c r="AO25" s="11" t="s">
        <v>26</v>
      </c>
      <c r="AP25" s="11" t="s">
        <v>26</v>
      </c>
      <c r="AQ25" s="10" t="s">
        <v>26</v>
      </c>
      <c r="AR25" s="11" t="s">
        <v>26</v>
      </c>
      <c r="AS25" s="11" t="s">
        <v>26</v>
      </c>
      <c r="AT25" s="11" t="s">
        <v>26</v>
      </c>
      <c r="AU25" s="10" t="s">
        <v>26</v>
      </c>
      <c r="AV25" s="11" t="s">
        <v>26</v>
      </c>
      <c r="AW25" s="11" t="s">
        <v>26</v>
      </c>
      <c r="AX25" s="11" t="s">
        <v>26</v>
      </c>
      <c r="AY25" s="2">
        <v>213113721.88999999</v>
      </c>
      <c r="AZ25" s="1">
        <v>1</v>
      </c>
      <c r="BA25" s="11" t="s">
        <v>26</v>
      </c>
      <c r="BB25" s="11" t="s">
        <v>26</v>
      </c>
    </row>
    <row r="26" spans="1:56" s="7" customFormat="1">
      <c r="A26" s="5" t="s">
        <v>44</v>
      </c>
      <c r="B26" s="24" t="s">
        <v>25</v>
      </c>
      <c r="C26" s="10">
        <v>20644867.800000001</v>
      </c>
      <c r="D26" s="11">
        <v>3.27371756096E-3</v>
      </c>
      <c r="E26" s="11">
        <v>0.13500000000000001</v>
      </c>
      <c r="F26" s="11">
        <v>0.13170000000000001</v>
      </c>
      <c r="G26" s="10">
        <v>1331593973.0999999</v>
      </c>
      <c r="H26" s="11">
        <v>8.8539719048799995E-3</v>
      </c>
      <c r="I26" s="11">
        <v>0.13500000000000001</v>
      </c>
      <c r="J26" s="11">
        <v>0.12609999999999999</v>
      </c>
      <c r="K26" s="10" t="s">
        <v>26</v>
      </c>
      <c r="L26" s="11" t="s">
        <v>26</v>
      </c>
      <c r="M26" s="11" t="s">
        <v>26</v>
      </c>
      <c r="N26" s="11" t="s">
        <v>26</v>
      </c>
      <c r="O26" s="10">
        <v>1290304237.5</v>
      </c>
      <c r="P26" s="11">
        <v>5.7562588070699996E-3</v>
      </c>
      <c r="Q26" s="11">
        <v>0.13500000000000001</v>
      </c>
      <c r="R26" s="11">
        <v>0.12920000000000001</v>
      </c>
      <c r="S26" s="10">
        <v>722570373</v>
      </c>
      <c r="T26" s="11">
        <v>6.5091981979800003E-3</v>
      </c>
      <c r="U26" s="11">
        <v>0.13500000000000001</v>
      </c>
      <c r="V26" s="11">
        <v>0.1285</v>
      </c>
      <c r="W26" s="10" t="s">
        <v>26</v>
      </c>
      <c r="X26" s="11" t="s">
        <v>26</v>
      </c>
      <c r="Y26" s="11" t="s">
        <v>26</v>
      </c>
      <c r="Z26" s="11" t="s">
        <v>26</v>
      </c>
      <c r="AA26" s="10">
        <v>1522479904.71</v>
      </c>
      <c r="AB26" s="11">
        <v>1.1012859018180001E-2</v>
      </c>
      <c r="AC26" s="11">
        <v>0.05</v>
      </c>
      <c r="AD26" s="11">
        <v>3.9E-2</v>
      </c>
      <c r="AE26" s="10">
        <v>4887593356.1099997</v>
      </c>
      <c r="AF26" s="11">
        <v>7.6461823071299999E-3</v>
      </c>
      <c r="AG26" s="11">
        <v>0.1361</v>
      </c>
      <c r="AH26" s="11">
        <v>0.1285</v>
      </c>
      <c r="AI26" s="10" t="s">
        <v>26</v>
      </c>
      <c r="AJ26" s="11" t="s">
        <v>26</v>
      </c>
      <c r="AK26" s="11" t="s">
        <v>26</v>
      </c>
      <c r="AL26" s="11" t="s">
        <v>26</v>
      </c>
      <c r="AM26" s="10" t="s">
        <v>26</v>
      </c>
      <c r="AN26" s="11" t="s">
        <v>26</v>
      </c>
      <c r="AO26" s="11" t="s">
        <v>26</v>
      </c>
      <c r="AP26" s="11" t="s">
        <v>26</v>
      </c>
      <c r="AQ26" s="10" t="s">
        <v>26</v>
      </c>
      <c r="AR26" s="11" t="s">
        <v>26</v>
      </c>
      <c r="AS26" s="11" t="s">
        <v>26</v>
      </c>
      <c r="AT26" s="11" t="s">
        <v>26</v>
      </c>
      <c r="AU26" s="10">
        <v>567733864.5</v>
      </c>
      <c r="AV26" s="11">
        <v>1.2603865128750001E-2</v>
      </c>
      <c r="AW26" s="11">
        <v>0.13500000000000001</v>
      </c>
      <c r="AX26" s="11">
        <v>0.12239999999999999</v>
      </c>
      <c r="AY26" s="10">
        <v>5455327220.6099997</v>
      </c>
      <c r="AZ26" s="11">
        <v>7.5226905245000001E-3</v>
      </c>
      <c r="BA26" s="11">
        <v>0.13600000000000001</v>
      </c>
      <c r="BB26" s="11">
        <v>0.1285</v>
      </c>
    </row>
    <row r="27" spans="1:56" s="7" customFormat="1">
      <c r="A27" s="3" t="s">
        <v>36</v>
      </c>
      <c r="B27" s="31" t="s">
        <v>37</v>
      </c>
      <c r="C27" s="2">
        <v>20644867.800000001</v>
      </c>
      <c r="D27" s="1">
        <v>1</v>
      </c>
      <c r="E27" s="10" t="s">
        <v>26</v>
      </c>
      <c r="F27" s="11" t="s">
        <v>26</v>
      </c>
      <c r="G27" s="2">
        <v>1331593973.0999999</v>
      </c>
      <c r="H27" s="1">
        <v>1</v>
      </c>
      <c r="I27" s="11" t="s">
        <v>26</v>
      </c>
      <c r="J27" s="11" t="s">
        <v>26</v>
      </c>
      <c r="K27" s="10" t="s">
        <v>26</v>
      </c>
      <c r="L27" s="11" t="s">
        <v>26</v>
      </c>
      <c r="M27" s="11" t="s">
        <v>26</v>
      </c>
      <c r="N27" s="11" t="s">
        <v>26</v>
      </c>
      <c r="O27" s="2">
        <v>1290304237.5</v>
      </c>
      <c r="P27" s="1">
        <v>1</v>
      </c>
      <c r="Q27" s="11" t="s">
        <v>26</v>
      </c>
      <c r="R27" s="11" t="s">
        <v>26</v>
      </c>
      <c r="S27" s="2">
        <v>722570373</v>
      </c>
      <c r="T27" s="1">
        <v>1</v>
      </c>
      <c r="U27" s="11" t="s">
        <v>26</v>
      </c>
      <c r="V27" s="11" t="s">
        <v>26</v>
      </c>
      <c r="W27" s="10" t="s">
        <v>26</v>
      </c>
      <c r="X27" s="11" t="s">
        <v>26</v>
      </c>
      <c r="Y27" s="11" t="s">
        <v>26</v>
      </c>
      <c r="Z27" s="11" t="s">
        <v>26</v>
      </c>
      <c r="AA27" s="2">
        <v>1160241570.3599999</v>
      </c>
      <c r="AB27" s="1">
        <v>0.76207348732198998</v>
      </c>
      <c r="AC27" s="11" t="s">
        <v>26</v>
      </c>
      <c r="AD27" s="11" t="s">
        <v>26</v>
      </c>
      <c r="AE27" s="2">
        <v>4525355021.7600002</v>
      </c>
      <c r="AF27" s="1">
        <v>0.92588615542305996</v>
      </c>
      <c r="AG27" s="11" t="s">
        <v>26</v>
      </c>
      <c r="AH27" s="11" t="s">
        <v>26</v>
      </c>
      <c r="AI27" s="10" t="s">
        <v>26</v>
      </c>
      <c r="AJ27" s="11" t="s">
        <v>26</v>
      </c>
      <c r="AK27" s="11" t="s">
        <v>26</v>
      </c>
      <c r="AL27" s="11" t="s">
        <v>26</v>
      </c>
      <c r="AM27" s="10" t="s">
        <v>26</v>
      </c>
      <c r="AN27" s="11" t="s">
        <v>26</v>
      </c>
      <c r="AO27" s="11" t="s">
        <v>26</v>
      </c>
      <c r="AP27" s="11" t="s">
        <v>26</v>
      </c>
      <c r="AQ27" s="10" t="s">
        <v>26</v>
      </c>
      <c r="AR27" s="11" t="s">
        <v>26</v>
      </c>
      <c r="AS27" s="11" t="s">
        <v>26</v>
      </c>
      <c r="AT27" s="11" t="s">
        <v>26</v>
      </c>
      <c r="AU27" s="2">
        <v>567733864.5</v>
      </c>
      <c r="AV27" s="1">
        <v>1</v>
      </c>
      <c r="AW27" s="11" t="s">
        <v>26</v>
      </c>
      <c r="AX27" s="11" t="s">
        <v>26</v>
      </c>
      <c r="AY27" s="2">
        <v>5093088886.2600002</v>
      </c>
      <c r="AZ27" s="1">
        <v>0.93359915552243</v>
      </c>
      <c r="BA27" s="11" t="s">
        <v>26</v>
      </c>
      <c r="BB27" s="11" t="s">
        <v>26</v>
      </c>
    </row>
    <row r="28" spans="1:56" s="7" customFormat="1">
      <c r="A28" s="3" t="s">
        <v>38</v>
      </c>
      <c r="B28" s="31" t="s">
        <v>39</v>
      </c>
      <c r="C28" s="10" t="s">
        <v>26</v>
      </c>
      <c r="D28" s="11" t="s">
        <v>26</v>
      </c>
      <c r="E28" s="10" t="s">
        <v>26</v>
      </c>
      <c r="F28" s="11" t="s">
        <v>26</v>
      </c>
      <c r="G28" s="10" t="s">
        <v>26</v>
      </c>
      <c r="H28" s="11" t="s">
        <v>26</v>
      </c>
      <c r="I28" s="11" t="s">
        <v>26</v>
      </c>
      <c r="J28" s="11" t="s">
        <v>26</v>
      </c>
      <c r="K28" s="10" t="s">
        <v>26</v>
      </c>
      <c r="L28" s="11" t="s">
        <v>26</v>
      </c>
      <c r="M28" s="11" t="s">
        <v>26</v>
      </c>
      <c r="N28" s="11" t="s">
        <v>26</v>
      </c>
      <c r="O28" s="10" t="s">
        <v>26</v>
      </c>
      <c r="P28" s="11" t="s">
        <v>26</v>
      </c>
      <c r="Q28" s="11" t="s">
        <v>26</v>
      </c>
      <c r="R28" s="11" t="s">
        <v>26</v>
      </c>
      <c r="S28" s="10" t="s">
        <v>26</v>
      </c>
      <c r="T28" s="11" t="s">
        <v>26</v>
      </c>
      <c r="U28" s="11" t="s">
        <v>26</v>
      </c>
      <c r="V28" s="11" t="s">
        <v>26</v>
      </c>
      <c r="W28" s="10" t="s">
        <v>26</v>
      </c>
      <c r="X28" s="11" t="s">
        <v>26</v>
      </c>
      <c r="Y28" s="11" t="s">
        <v>26</v>
      </c>
      <c r="Z28" s="11" t="s">
        <v>26</v>
      </c>
      <c r="AA28" s="2">
        <v>362238334.35000002</v>
      </c>
      <c r="AB28" s="1">
        <v>0.23792651267800999</v>
      </c>
      <c r="AC28" s="11" t="s">
        <v>26</v>
      </c>
      <c r="AD28" s="11" t="s">
        <v>26</v>
      </c>
      <c r="AE28" s="2">
        <v>362238334.35000002</v>
      </c>
      <c r="AF28" s="1">
        <v>7.4113844576939994E-2</v>
      </c>
      <c r="AG28" s="11" t="s">
        <v>26</v>
      </c>
      <c r="AH28" s="11" t="s">
        <v>26</v>
      </c>
      <c r="AI28" s="10" t="s">
        <v>26</v>
      </c>
      <c r="AJ28" s="11" t="s">
        <v>26</v>
      </c>
      <c r="AK28" s="11" t="s">
        <v>26</v>
      </c>
      <c r="AL28" s="11" t="s">
        <v>26</v>
      </c>
      <c r="AM28" s="10" t="s">
        <v>26</v>
      </c>
      <c r="AN28" s="11" t="s">
        <v>26</v>
      </c>
      <c r="AO28" s="11" t="s">
        <v>26</v>
      </c>
      <c r="AP28" s="11" t="s">
        <v>26</v>
      </c>
      <c r="AQ28" s="10" t="s">
        <v>26</v>
      </c>
      <c r="AR28" s="11" t="s">
        <v>26</v>
      </c>
      <c r="AS28" s="11" t="s">
        <v>26</v>
      </c>
      <c r="AT28" s="11" t="s">
        <v>26</v>
      </c>
      <c r="AU28" s="10" t="s">
        <v>26</v>
      </c>
      <c r="AV28" s="11" t="s">
        <v>26</v>
      </c>
      <c r="AW28" s="11" t="s">
        <v>26</v>
      </c>
      <c r="AX28" s="11" t="s">
        <v>26</v>
      </c>
      <c r="AY28" s="2">
        <v>362238334.35000002</v>
      </c>
      <c r="AZ28" s="1">
        <v>6.6400844477569998E-2</v>
      </c>
      <c r="BA28" s="11" t="s">
        <v>26</v>
      </c>
      <c r="BB28" s="11" t="s">
        <v>26</v>
      </c>
    </row>
    <row r="29" spans="1:56" s="7" customFormat="1">
      <c r="A29" s="5" t="s">
        <v>45</v>
      </c>
      <c r="B29" s="24" t="s">
        <v>25</v>
      </c>
      <c r="C29" s="10">
        <v>32721703.949999999</v>
      </c>
      <c r="D29" s="11">
        <v>5.1887770792800004E-3</v>
      </c>
      <c r="E29" s="11">
        <v>0.09</v>
      </c>
      <c r="F29" s="11">
        <v>8.48E-2</v>
      </c>
      <c r="G29" s="10">
        <v>39769455.57</v>
      </c>
      <c r="H29" s="11">
        <v>2.6443319014999997E-4</v>
      </c>
      <c r="I29" s="11">
        <v>0.09</v>
      </c>
      <c r="J29" s="11">
        <v>8.9700000000000002E-2</v>
      </c>
      <c r="K29" s="10" t="s">
        <v>26</v>
      </c>
      <c r="L29" s="11" t="s">
        <v>26</v>
      </c>
      <c r="M29" s="11" t="s">
        <v>26</v>
      </c>
      <c r="N29" s="11" t="s">
        <v>26</v>
      </c>
      <c r="O29" s="10" t="s">
        <v>26</v>
      </c>
      <c r="P29" s="11" t="s">
        <v>26</v>
      </c>
      <c r="Q29" s="11" t="s">
        <v>26</v>
      </c>
      <c r="R29" s="11" t="s">
        <v>26</v>
      </c>
      <c r="S29" s="10">
        <v>25170541.5</v>
      </c>
      <c r="T29" s="11">
        <v>2.2674614058000001E-4</v>
      </c>
      <c r="U29" s="11">
        <v>0.09</v>
      </c>
      <c r="V29" s="11">
        <v>8.9800000000000005E-2</v>
      </c>
      <c r="W29" s="10" t="s">
        <v>26</v>
      </c>
      <c r="X29" s="11" t="s">
        <v>26</v>
      </c>
      <c r="Y29" s="11" t="s">
        <v>26</v>
      </c>
      <c r="Z29" s="11" t="s">
        <v>26</v>
      </c>
      <c r="AA29" s="10">
        <v>35238758.100000001</v>
      </c>
      <c r="AB29" s="11">
        <v>2.5489957124000002E-4</v>
      </c>
      <c r="AC29" s="11">
        <v>0.09</v>
      </c>
      <c r="AD29" s="11">
        <v>8.9700000000000002E-2</v>
      </c>
      <c r="AE29" s="10">
        <v>132900459.12</v>
      </c>
      <c r="AF29" s="11">
        <v>2.0791032827E-4</v>
      </c>
      <c r="AG29" s="11">
        <v>0.09</v>
      </c>
      <c r="AH29" s="11">
        <v>8.9800000000000005E-2</v>
      </c>
      <c r="AI29" s="10">
        <v>4331273.75</v>
      </c>
      <c r="AJ29" s="11">
        <v>2.5355819017999998E-4</v>
      </c>
      <c r="AK29" s="11">
        <v>0.13500000000000001</v>
      </c>
      <c r="AL29" s="11">
        <v>0.13469999999999999</v>
      </c>
      <c r="AM29" s="10">
        <v>242393700.46000001</v>
      </c>
      <c r="AN29" s="11">
        <v>1.016901263169E-2</v>
      </c>
      <c r="AO29" s="11">
        <v>0.13500000000000001</v>
      </c>
      <c r="AP29" s="11">
        <v>0.12479999999999999</v>
      </c>
      <c r="AQ29" s="10">
        <v>246724974.21000001</v>
      </c>
      <c r="AR29" s="11">
        <v>6.0296718703499999E-3</v>
      </c>
      <c r="AS29" s="11">
        <v>0.13500000000000001</v>
      </c>
      <c r="AT29" s="11">
        <v>0.129</v>
      </c>
      <c r="AU29" s="10">
        <v>13698912.33</v>
      </c>
      <c r="AV29" s="11">
        <v>3.0412003619000001E-4</v>
      </c>
      <c r="AW29" s="11">
        <v>0.13500000000000001</v>
      </c>
      <c r="AX29" s="11">
        <v>0.13469999999999999</v>
      </c>
      <c r="AY29" s="10">
        <v>393324345.66000003</v>
      </c>
      <c r="AZ29" s="11">
        <v>5.4237944096000002E-4</v>
      </c>
      <c r="BA29" s="11">
        <v>0.1198</v>
      </c>
      <c r="BB29" s="11">
        <v>0.1193</v>
      </c>
    </row>
    <row r="30" spans="1:56" s="7" customFormat="1">
      <c r="A30" s="3" t="s">
        <v>36</v>
      </c>
      <c r="B30" s="31" t="s">
        <v>46</v>
      </c>
      <c r="C30" s="2">
        <v>32721703.949999999</v>
      </c>
      <c r="D30" s="1">
        <v>1</v>
      </c>
      <c r="E30" s="11" t="s">
        <v>25</v>
      </c>
      <c r="F30" s="11" t="s">
        <v>25</v>
      </c>
      <c r="G30" s="2">
        <v>39769455.57</v>
      </c>
      <c r="H30" s="1">
        <v>1</v>
      </c>
      <c r="I30" s="11" t="s">
        <v>26</v>
      </c>
      <c r="J30" s="11" t="s">
        <v>26</v>
      </c>
      <c r="K30" s="10" t="s">
        <v>26</v>
      </c>
      <c r="L30" s="11" t="s">
        <v>26</v>
      </c>
      <c r="M30" s="11" t="s">
        <v>26</v>
      </c>
      <c r="N30" s="11" t="s">
        <v>26</v>
      </c>
      <c r="O30" s="10" t="s">
        <v>26</v>
      </c>
      <c r="P30" s="11" t="s">
        <v>26</v>
      </c>
      <c r="Q30" s="11" t="s">
        <v>26</v>
      </c>
      <c r="R30" s="11" t="s">
        <v>26</v>
      </c>
      <c r="S30" s="2">
        <v>25170541.5</v>
      </c>
      <c r="T30" s="1">
        <v>1</v>
      </c>
      <c r="U30" s="11" t="s">
        <v>26</v>
      </c>
      <c r="V30" s="11" t="s">
        <v>26</v>
      </c>
      <c r="W30" s="10" t="s">
        <v>26</v>
      </c>
      <c r="X30" s="11" t="s">
        <v>26</v>
      </c>
      <c r="Y30" s="11" t="s">
        <v>26</v>
      </c>
      <c r="Z30" s="11" t="s">
        <v>26</v>
      </c>
      <c r="AA30" s="2">
        <v>35238758.100000001</v>
      </c>
      <c r="AB30" s="1">
        <v>1</v>
      </c>
      <c r="AC30" s="11" t="s">
        <v>26</v>
      </c>
      <c r="AD30" s="11" t="s">
        <v>26</v>
      </c>
      <c r="AE30" s="2">
        <v>132900459.12</v>
      </c>
      <c r="AF30" s="1">
        <v>1</v>
      </c>
      <c r="AG30" s="11" t="s">
        <v>26</v>
      </c>
      <c r="AH30" s="11" t="s">
        <v>26</v>
      </c>
      <c r="AI30" s="10" t="s">
        <v>26</v>
      </c>
      <c r="AJ30" s="11" t="s">
        <v>26</v>
      </c>
      <c r="AK30" s="11" t="s">
        <v>26</v>
      </c>
      <c r="AL30" s="11" t="s">
        <v>26</v>
      </c>
      <c r="AM30" s="10" t="s">
        <v>26</v>
      </c>
      <c r="AN30" s="11" t="s">
        <v>26</v>
      </c>
      <c r="AO30" s="11" t="s">
        <v>26</v>
      </c>
      <c r="AP30" s="11" t="s">
        <v>26</v>
      </c>
      <c r="AQ30" s="10" t="s">
        <v>26</v>
      </c>
      <c r="AR30" s="11" t="s">
        <v>26</v>
      </c>
      <c r="AS30" s="11" t="s">
        <v>26</v>
      </c>
      <c r="AT30" s="11" t="s">
        <v>26</v>
      </c>
      <c r="AU30" s="10" t="s">
        <v>26</v>
      </c>
      <c r="AV30" s="11" t="s">
        <v>26</v>
      </c>
      <c r="AW30" s="11" t="s">
        <v>26</v>
      </c>
      <c r="AX30" s="11" t="s">
        <v>26</v>
      </c>
      <c r="AY30" s="2">
        <v>132900459.12</v>
      </c>
      <c r="AZ30" s="1">
        <v>0.33789024398424</v>
      </c>
      <c r="BA30" s="11" t="s">
        <v>26</v>
      </c>
      <c r="BB30" s="11" t="s">
        <v>26</v>
      </c>
    </row>
    <row r="31" spans="1:56" s="7" customFormat="1">
      <c r="A31" s="3" t="s">
        <v>38</v>
      </c>
      <c r="B31" s="31" t="s">
        <v>43</v>
      </c>
      <c r="C31" s="10" t="s">
        <v>26</v>
      </c>
      <c r="D31" s="11" t="s">
        <v>26</v>
      </c>
      <c r="E31" s="10" t="s">
        <v>26</v>
      </c>
      <c r="F31" s="11" t="s">
        <v>26</v>
      </c>
      <c r="G31" s="10" t="s">
        <v>26</v>
      </c>
      <c r="H31" s="11" t="s">
        <v>26</v>
      </c>
      <c r="I31" s="11" t="s">
        <v>26</v>
      </c>
      <c r="J31" s="11" t="s">
        <v>26</v>
      </c>
      <c r="K31" s="10" t="s">
        <v>26</v>
      </c>
      <c r="L31" s="11" t="s">
        <v>26</v>
      </c>
      <c r="M31" s="11" t="s">
        <v>26</v>
      </c>
      <c r="N31" s="11" t="s">
        <v>26</v>
      </c>
      <c r="O31" s="10" t="s">
        <v>26</v>
      </c>
      <c r="P31" s="11" t="s">
        <v>26</v>
      </c>
      <c r="Q31" s="11" t="s">
        <v>26</v>
      </c>
      <c r="R31" s="11" t="s">
        <v>26</v>
      </c>
      <c r="S31" s="10" t="s">
        <v>26</v>
      </c>
      <c r="T31" s="11" t="s">
        <v>26</v>
      </c>
      <c r="U31" s="11" t="s">
        <v>26</v>
      </c>
      <c r="V31" s="11" t="s">
        <v>26</v>
      </c>
      <c r="W31" s="10" t="s">
        <v>26</v>
      </c>
      <c r="X31" s="11" t="s">
        <v>26</v>
      </c>
      <c r="Y31" s="11" t="s">
        <v>26</v>
      </c>
      <c r="Z31" s="11" t="s">
        <v>26</v>
      </c>
      <c r="AA31" s="10" t="s">
        <v>26</v>
      </c>
      <c r="AB31" s="11" t="s">
        <v>26</v>
      </c>
      <c r="AC31" s="11" t="s">
        <v>26</v>
      </c>
      <c r="AD31" s="11" t="s">
        <v>26</v>
      </c>
      <c r="AE31" s="10" t="s">
        <v>26</v>
      </c>
      <c r="AF31" s="11" t="s">
        <v>26</v>
      </c>
      <c r="AG31" s="11" t="s">
        <v>26</v>
      </c>
      <c r="AH31" s="11" t="s">
        <v>26</v>
      </c>
      <c r="AI31" s="2">
        <v>4331273.75</v>
      </c>
      <c r="AJ31" s="1">
        <v>1</v>
      </c>
      <c r="AK31" s="11" t="s">
        <v>26</v>
      </c>
      <c r="AL31" s="11" t="s">
        <v>26</v>
      </c>
      <c r="AM31" s="2">
        <v>242393700.46000001</v>
      </c>
      <c r="AN31" s="1">
        <v>1</v>
      </c>
      <c r="AO31" s="11" t="s">
        <v>26</v>
      </c>
      <c r="AP31" s="11" t="s">
        <v>26</v>
      </c>
      <c r="AQ31" s="2">
        <v>246724974.21000001</v>
      </c>
      <c r="AR31" s="1">
        <v>1</v>
      </c>
      <c r="AS31" s="11" t="s">
        <v>26</v>
      </c>
      <c r="AT31" s="11" t="s">
        <v>26</v>
      </c>
      <c r="AU31" s="2">
        <v>13698912.33</v>
      </c>
      <c r="AV31" s="1">
        <v>1</v>
      </c>
      <c r="AW31" s="11" t="s">
        <v>26</v>
      </c>
      <c r="AX31" s="11" t="s">
        <v>26</v>
      </c>
      <c r="AY31" s="2">
        <v>260423886.53999999</v>
      </c>
      <c r="AZ31" s="1">
        <v>0.66210975601576005</v>
      </c>
      <c r="BA31" s="11" t="s">
        <v>26</v>
      </c>
      <c r="BB31" s="11" t="s">
        <v>26</v>
      </c>
    </row>
    <row r="32" spans="1:56" s="7" customFormat="1">
      <c r="A32" s="5" t="s">
        <v>47</v>
      </c>
      <c r="B32" s="24" t="s">
        <v>25</v>
      </c>
      <c r="C32" s="10" t="s">
        <v>26</v>
      </c>
      <c r="D32" s="11" t="s">
        <v>26</v>
      </c>
      <c r="E32" s="10" t="s">
        <v>26</v>
      </c>
      <c r="F32" s="11" t="s">
        <v>26</v>
      </c>
      <c r="G32" s="10" t="s">
        <v>26</v>
      </c>
      <c r="H32" s="11" t="s">
        <v>26</v>
      </c>
      <c r="I32" s="11" t="s">
        <v>26</v>
      </c>
      <c r="J32" s="11" t="s">
        <v>26</v>
      </c>
      <c r="K32" s="10">
        <v>26025715.43</v>
      </c>
      <c r="L32" s="11">
        <v>8.8928602899099995E-3</v>
      </c>
      <c r="M32" s="11">
        <v>0.13500000000000001</v>
      </c>
      <c r="N32" s="11">
        <v>0.12609999999999999</v>
      </c>
      <c r="O32" s="10" t="s">
        <v>26</v>
      </c>
      <c r="P32" s="11" t="s">
        <v>26</v>
      </c>
      <c r="Q32" s="11" t="s">
        <v>26</v>
      </c>
      <c r="R32" s="11" t="s">
        <v>26</v>
      </c>
      <c r="S32" s="10" t="s">
        <v>26</v>
      </c>
      <c r="T32" s="11" t="s">
        <v>26</v>
      </c>
      <c r="U32" s="11" t="s">
        <v>26</v>
      </c>
      <c r="V32" s="11" t="s">
        <v>26</v>
      </c>
      <c r="W32" s="10" t="s">
        <v>26</v>
      </c>
      <c r="X32" s="11" t="s">
        <v>26</v>
      </c>
      <c r="Y32" s="11" t="s">
        <v>26</v>
      </c>
      <c r="Z32" s="11" t="s">
        <v>26</v>
      </c>
      <c r="AA32" s="10" t="s">
        <v>26</v>
      </c>
      <c r="AB32" s="11" t="s">
        <v>26</v>
      </c>
      <c r="AC32" s="11" t="s">
        <v>26</v>
      </c>
      <c r="AD32" s="11" t="s">
        <v>26</v>
      </c>
      <c r="AE32" s="10">
        <v>26025715.43</v>
      </c>
      <c r="AF32" s="11">
        <v>4.071479568E-5</v>
      </c>
      <c r="AG32" s="11">
        <v>0.13500000000000001</v>
      </c>
      <c r="AH32" s="11">
        <v>0.13500000000000001</v>
      </c>
      <c r="AI32" s="10">
        <v>4514172.87</v>
      </c>
      <c r="AJ32" s="11">
        <v>2.6426533374000001E-4</v>
      </c>
      <c r="AK32" s="11">
        <v>0.13500000000000001</v>
      </c>
      <c r="AL32" s="11">
        <v>0.13469999999999999</v>
      </c>
      <c r="AM32" s="10" t="s">
        <v>26</v>
      </c>
      <c r="AN32" s="11" t="s">
        <v>26</v>
      </c>
      <c r="AO32" s="11" t="s">
        <v>26</v>
      </c>
      <c r="AP32" s="11" t="s">
        <v>26</v>
      </c>
      <c r="AQ32" s="10">
        <v>4514172.87</v>
      </c>
      <c r="AR32" s="11">
        <v>1.1032114304E-4</v>
      </c>
      <c r="AS32" s="11">
        <v>0.13500000000000001</v>
      </c>
      <c r="AT32" s="11">
        <v>0.13489999999999999</v>
      </c>
      <c r="AU32" s="10" t="s">
        <v>26</v>
      </c>
      <c r="AV32" s="11" t="s">
        <v>26</v>
      </c>
      <c r="AW32" s="11" t="s">
        <v>26</v>
      </c>
      <c r="AX32" s="11" t="s">
        <v>26</v>
      </c>
      <c r="AY32" s="10">
        <v>30539888.300000001</v>
      </c>
      <c r="AZ32" s="11">
        <v>4.211335435E-5</v>
      </c>
      <c r="BA32" s="11">
        <v>0.13500000000000001</v>
      </c>
      <c r="BB32" s="11">
        <v>0.13500000000000001</v>
      </c>
    </row>
    <row r="33" spans="1:54" s="7" customFormat="1">
      <c r="A33" s="3" t="s">
        <v>38</v>
      </c>
      <c r="B33" s="31" t="s">
        <v>43</v>
      </c>
      <c r="C33" s="10" t="s">
        <v>26</v>
      </c>
      <c r="D33" s="11" t="s">
        <v>26</v>
      </c>
      <c r="E33" s="10" t="s">
        <v>26</v>
      </c>
      <c r="F33" s="11" t="s">
        <v>26</v>
      </c>
      <c r="G33" s="10" t="s">
        <v>26</v>
      </c>
      <c r="H33" s="11" t="s">
        <v>26</v>
      </c>
      <c r="I33" s="11" t="s">
        <v>26</v>
      </c>
      <c r="J33" s="11" t="s">
        <v>26</v>
      </c>
      <c r="K33" s="35">
        <v>26025715.43</v>
      </c>
      <c r="L33" s="59">
        <v>1</v>
      </c>
      <c r="M33" s="11" t="s">
        <v>26</v>
      </c>
      <c r="N33" s="11" t="s">
        <v>26</v>
      </c>
      <c r="O33" s="10" t="s">
        <v>26</v>
      </c>
      <c r="P33" s="11" t="s">
        <v>26</v>
      </c>
      <c r="Q33" s="11" t="s">
        <v>26</v>
      </c>
      <c r="R33" s="11" t="s">
        <v>26</v>
      </c>
      <c r="S33" s="10" t="s">
        <v>26</v>
      </c>
      <c r="T33" s="11" t="s">
        <v>26</v>
      </c>
      <c r="U33" s="11" t="s">
        <v>26</v>
      </c>
      <c r="V33" s="11" t="s">
        <v>26</v>
      </c>
      <c r="W33" s="10" t="s">
        <v>26</v>
      </c>
      <c r="X33" s="11" t="s">
        <v>26</v>
      </c>
      <c r="Y33" s="11" t="s">
        <v>26</v>
      </c>
      <c r="Z33" s="11" t="s">
        <v>26</v>
      </c>
      <c r="AA33" s="10" t="s">
        <v>26</v>
      </c>
      <c r="AB33" s="11" t="s">
        <v>26</v>
      </c>
      <c r="AC33" s="11" t="s">
        <v>26</v>
      </c>
      <c r="AD33" s="11" t="s">
        <v>26</v>
      </c>
      <c r="AE33" s="35">
        <v>26025715.43</v>
      </c>
      <c r="AF33" s="59">
        <v>1</v>
      </c>
      <c r="AG33" s="11" t="s">
        <v>26</v>
      </c>
      <c r="AH33" s="11" t="s">
        <v>26</v>
      </c>
      <c r="AI33" s="2">
        <v>4514172.87</v>
      </c>
      <c r="AJ33" s="1">
        <v>1</v>
      </c>
      <c r="AK33" s="11" t="s">
        <v>26</v>
      </c>
      <c r="AL33" s="11" t="s">
        <v>26</v>
      </c>
      <c r="AM33" s="10" t="s">
        <v>26</v>
      </c>
      <c r="AN33" s="11" t="s">
        <v>26</v>
      </c>
      <c r="AO33" s="11" t="s">
        <v>26</v>
      </c>
      <c r="AP33" s="11" t="s">
        <v>26</v>
      </c>
      <c r="AQ33" s="2">
        <v>4514172.87</v>
      </c>
      <c r="AR33" s="1">
        <v>1</v>
      </c>
      <c r="AS33" s="11" t="s">
        <v>26</v>
      </c>
      <c r="AT33" s="11" t="s">
        <v>26</v>
      </c>
      <c r="AU33" s="10" t="s">
        <v>26</v>
      </c>
      <c r="AV33" s="11" t="s">
        <v>26</v>
      </c>
      <c r="AW33" s="11" t="s">
        <v>26</v>
      </c>
      <c r="AX33" s="11" t="s">
        <v>26</v>
      </c>
      <c r="AY33" s="2">
        <v>30539888.300000001</v>
      </c>
      <c r="AZ33" s="1">
        <v>1</v>
      </c>
      <c r="BA33" s="11" t="s">
        <v>26</v>
      </c>
      <c r="BB33" s="11" t="s">
        <v>26</v>
      </c>
    </row>
    <row r="34" spans="1:54" s="7" customFormat="1">
      <c r="A34" s="5" t="s">
        <v>48</v>
      </c>
      <c r="B34" s="24" t="s">
        <v>25</v>
      </c>
      <c r="C34" s="10" t="s">
        <v>26</v>
      </c>
      <c r="D34" s="11" t="s">
        <v>26</v>
      </c>
      <c r="E34" s="10" t="s">
        <v>26</v>
      </c>
      <c r="F34" s="11" t="s">
        <v>26</v>
      </c>
      <c r="G34" s="10" t="s">
        <v>26</v>
      </c>
      <c r="H34" s="11" t="s">
        <v>26</v>
      </c>
      <c r="I34" s="11" t="s">
        <v>26</v>
      </c>
      <c r="J34" s="11" t="s">
        <v>26</v>
      </c>
      <c r="K34" s="10">
        <v>77071160.569999993</v>
      </c>
      <c r="L34" s="11">
        <v>2.6334840445550001E-2</v>
      </c>
      <c r="M34" s="11">
        <v>0.13500000000000001</v>
      </c>
      <c r="N34" s="11">
        <v>0.1087</v>
      </c>
      <c r="O34" s="10" t="s">
        <v>26</v>
      </c>
      <c r="P34" s="11" t="s">
        <v>26</v>
      </c>
      <c r="Q34" s="11" t="s">
        <v>26</v>
      </c>
      <c r="R34" s="11" t="s">
        <v>26</v>
      </c>
      <c r="S34" s="10" t="s">
        <v>26</v>
      </c>
      <c r="T34" s="11" t="s">
        <v>26</v>
      </c>
      <c r="U34" s="11" t="s">
        <v>26</v>
      </c>
      <c r="V34" s="11" t="s">
        <v>26</v>
      </c>
      <c r="W34" s="10" t="s">
        <v>26</v>
      </c>
      <c r="X34" s="11" t="s">
        <v>26</v>
      </c>
      <c r="Y34" s="11" t="s">
        <v>26</v>
      </c>
      <c r="Z34" s="11" t="s">
        <v>26</v>
      </c>
      <c r="AA34" s="10" t="s">
        <v>26</v>
      </c>
      <c r="AB34" s="11" t="s">
        <v>26</v>
      </c>
      <c r="AC34" s="11" t="s">
        <v>26</v>
      </c>
      <c r="AD34" s="11" t="s">
        <v>26</v>
      </c>
      <c r="AE34" s="10">
        <v>77071160.569999993</v>
      </c>
      <c r="AF34" s="11">
        <v>1.2057061653999999E-4</v>
      </c>
      <c r="AG34" s="11">
        <v>0.13500000000000001</v>
      </c>
      <c r="AH34" s="11">
        <v>0.13489999999999999</v>
      </c>
      <c r="AI34" s="10">
        <v>48300000</v>
      </c>
      <c r="AJ34" s="11">
        <v>2.82754249504E-3</v>
      </c>
      <c r="AK34" s="11">
        <v>0.13500000000000001</v>
      </c>
      <c r="AL34" s="11">
        <v>0.13220000000000001</v>
      </c>
      <c r="AM34" s="10" t="s">
        <v>26</v>
      </c>
      <c r="AN34" s="11" t="s">
        <v>26</v>
      </c>
      <c r="AO34" s="11" t="s">
        <v>26</v>
      </c>
      <c r="AP34" s="11" t="s">
        <v>26</v>
      </c>
      <c r="AQ34" s="10">
        <v>48300000</v>
      </c>
      <c r="AR34" s="11">
        <v>1.18039591359E-3</v>
      </c>
      <c r="AS34" s="11">
        <v>0.13500000000000001</v>
      </c>
      <c r="AT34" s="11">
        <v>0.1338</v>
      </c>
      <c r="AU34" s="10" t="s">
        <v>26</v>
      </c>
      <c r="AV34" s="11" t="s">
        <v>26</v>
      </c>
      <c r="AW34" s="11" t="s">
        <v>26</v>
      </c>
      <c r="AX34" s="11" t="s">
        <v>26</v>
      </c>
      <c r="AY34" s="10">
        <v>125371160.56999999</v>
      </c>
      <c r="AZ34" s="11">
        <v>1.7288210285999999E-4</v>
      </c>
      <c r="BA34" s="11">
        <v>0.13500000000000001</v>
      </c>
      <c r="BB34" s="11">
        <v>0.1348</v>
      </c>
    </row>
    <row r="35" spans="1:54" s="7" customFormat="1">
      <c r="A35" s="3" t="s">
        <v>38</v>
      </c>
      <c r="B35" s="31" t="s">
        <v>43</v>
      </c>
      <c r="C35" s="10" t="s">
        <v>26</v>
      </c>
      <c r="D35" s="11" t="s">
        <v>26</v>
      </c>
      <c r="E35" s="10" t="s">
        <v>26</v>
      </c>
      <c r="F35" s="11" t="s">
        <v>26</v>
      </c>
      <c r="G35" s="10" t="s">
        <v>26</v>
      </c>
      <c r="H35" s="11" t="s">
        <v>26</v>
      </c>
      <c r="I35" s="11" t="s">
        <v>26</v>
      </c>
      <c r="J35" s="11" t="s">
        <v>26</v>
      </c>
      <c r="K35" s="2">
        <v>77071160.569999993</v>
      </c>
      <c r="L35" s="1">
        <v>1</v>
      </c>
      <c r="M35" s="11" t="s">
        <v>26</v>
      </c>
      <c r="N35" s="11" t="s">
        <v>26</v>
      </c>
      <c r="O35" s="10" t="s">
        <v>26</v>
      </c>
      <c r="P35" s="11" t="s">
        <v>26</v>
      </c>
      <c r="Q35" s="11" t="s">
        <v>26</v>
      </c>
      <c r="R35" s="11" t="s">
        <v>26</v>
      </c>
      <c r="S35" s="10" t="s">
        <v>26</v>
      </c>
      <c r="T35" s="11" t="s">
        <v>26</v>
      </c>
      <c r="U35" s="11" t="s">
        <v>26</v>
      </c>
      <c r="V35" s="11" t="s">
        <v>26</v>
      </c>
      <c r="W35" s="10" t="s">
        <v>26</v>
      </c>
      <c r="X35" s="11" t="s">
        <v>26</v>
      </c>
      <c r="Y35" s="11" t="s">
        <v>26</v>
      </c>
      <c r="Z35" s="11" t="s">
        <v>26</v>
      </c>
      <c r="AA35" s="10" t="s">
        <v>26</v>
      </c>
      <c r="AB35" s="11" t="s">
        <v>26</v>
      </c>
      <c r="AC35" s="11" t="s">
        <v>26</v>
      </c>
      <c r="AD35" s="11" t="s">
        <v>26</v>
      </c>
      <c r="AE35" s="2">
        <v>77071160.569999993</v>
      </c>
      <c r="AF35" s="1">
        <v>1</v>
      </c>
      <c r="AG35" s="11" t="s">
        <v>25</v>
      </c>
      <c r="AH35" s="11" t="s">
        <v>25</v>
      </c>
      <c r="AI35" s="35">
        <v>48300000</v>
      </c>
      <c r="AJ35" s="59">
        <v>1</v>
      </c>
      <c r="AK35" s="11" t="s">
        <v>26</v>
      </c>
      <c r="AL35" s="11" t="s">
        <v>26</v>
      </c>
      <c r="AM35" s="10" t="s">
        <v>26</v>
      </c>
      <c r="AN35" s="11" t="s">
        <v>26</v>
      </c>
      <c r="AO35" s="11" t="s">
        <v>26</v>
      </c>
      <c r="AP35" s="11" t="s">
        <v>26</v>
      </c>
      <c r="AQ35" s="35">
        <v>48300000</v>
      </c>
      <c r="AR35" s="59">
        <v>1</v>
      </c>
      <c r="AS35" s="11" t="s">
        <v>26</v>
      </c>
      <c r="AT35" s="11" t="s">
        <v>26</v>
      </c>
      <c r="AU35" s="10" t="s">
        <v>26</v>
      </c>
      <c r="AV35" s="11" t="s">
        <v>26</v>
      </c>
      <c r="AW35" s="11" t="s">
        <v>26</v>
      </c>
      <c r="AX35" s="11" t="s">
        <v>26</v>
      </c>
      <c r="AY35" s="2">
        <v>125371160.56999999</v>
      </c>
      <c r="AZ35" s="1">
        <v>1</v>
      </c>
      <c r="BA35" s="11" t="s">
        <v>26</v>
      </c>
      <c r="BB35" s="11" t="s">
        <v>26</v>
      </c>
    </row>
    <row r="36" spans="1:54" s="7" customFormat="1">
      <c r="A36" s="5" t="s">
        <v>49</v>
      </c>
      <c r="B36" s="24" t="s">
        <v>25</v>
      </c>
      <c r="C36" s="10">
        <v>8892559.6099999994</v>
      </c>
      <c r="D36" s="11">
        <v>1.41011939815E-3</v>
      </c>
      <c r="E36" s="11">
        <v>0.13500000000000001</v>
      </c>
      <c r="F36" s="11">
        <v>0.1336</v>
      </c>
      <c r="G36" s="10">
        <v>563600991.65999997</v>
      </c>
      <c r="H36" s="11">
        <v>3.7474691584100002E-3</v>
      </c>
      <c r="I36" s="11">
        <v>0.09</v>
      </c>
      <c r="J36" s="11">
        <v>8.6300000000000002E-2</v>
      </c>
      <c r="K36" s="10" t="s">
        <v>26</v>
      </c>
      <c r="L36" s="11" t="s">
        <v>26</v>
      </c>
      <c r="M36" s="11" t="s">
        <v>26</v>
      </c>
      <c r="N36" s="11" t="s">
        <v>26</v>
      </c>
      <c r="O36" s="10">
        <v>661381494.30999994</v>
      </c>
      <c r="P36" s="11">
        <v>2.9505313094500001E-3</v>
      </c>
      <c r="Q36" s="11">
        <v>9.7299999999999998E-2</v>
      </c>
      <c r="R36" s="11">
        <v>9.4299999999999995E-2</v>
      </c>
      <c r="S36" s="10">
        <v>301305237</v>
      </c>
      <c r="T36" s="11">
        <v>2.71427611622E-3</v>
      </c>
      <c r="U36" s="11">
        <v>0.09</v>
      </c>
      <c r="V36" s="11">
        <v>8.7300000000000003E-2</v>
      </c>
      <c r="W36" s="10" t="s">
        <v>26</v>
      </c>
      <c r="X36" s="11" t="s">
        <v>26</v>
      </c>
      <c r="Y36" s="11" t="s">
        <v>26</v>
      </c>
      <c r="Z36" s="11" t="s">
        <v>26</v>
      </c>
      <c r="AA36" s="10">
        <v>554498062.20000005</v>
      </c>
      <c r="AB36" s="11">
        <v>4.0109619614499999E-3</v>
      </c>
      <c r="AC36" s="11">
        <v>0.09</v>
      </c>
      <c r="AD36" s="11">
        <v>8.5999999999999993E-2</v>
      </c>
      <c r="AE36" s="10">
        <v>2089678344.78</v>
      </c>
      <c r="AF36" s="11">
        <v>3.2691061680599999E-3</v>
      </c>
      <c r="AG36" s="11">
        <v>9.2499999999999999E-2</v>
      </c>
      <c r="AH36" s="11">
        <v>8.9200000000000002E-2</v>
      </c>
      <c r="AI36" s="10">
        <v>151407852.59999999</v>
      </c>
      <c r="AJ36" s="11">
        <v>8.8636053272999997E-3</v>
      </c>
      <c r="AK36" s="11">
        <v>0.1198</v>
      </c>
      <c r="AL36" s="11">
        <v>0.1109</v>
      </c>
      <c r="AM36" s="10">
        <v>726531244.86000001</v>
      </c>
      <c r="AN36" s="11">
        <v>3.047977481377E-2</v>
      </c>
      <c r="AO36" s="11">
        <v>0.13500000000000001</v>
      </c>
      <c r="AP36" s="11">
        <v>0.1045</v>
      </c>
      <c r="AQ36" s="10">
        <v>877939097.46000004</v>
      </c>
      <c r="AR36" s="11">
        <v>2.1455812070840002E-2</v>
      </c>
      <c r="AS36" s="11">
        <v>0.13239999999999999</v>
      </c>
      <c r="AT36" s="11">
        <v>0.1109</v>
      </c>
      <c r="AU36" s="10">
        <v>33071034.170000002</v>
      </c>
      <c r="AV36" s="11">
        <v>7.3418705560999997E-4</v>
      </c>
      <c r="AW36" s="11">
        <v>0.13500000000000001</v>
      </c>
      <c r="AX36" s="11">
        <v>0.1343</v>
      </c>
      <c r="AY36" s="10">
        <v>3000688476.4099998</v>
      </c>
      <c r="AZ36" s="11">
        <v>4.1378362572200003E-3</v>
      </c>
      <c r="BA36" s="11">
        <v>0.1046</v>
      </c>
      <c r="BB36" s="11">
        <v>0.10050000000000001</v>
      </c>
    </row>
    <row r="37" spans="1:54" s="7" customFormat="1">
      <c r="A37" s="3" t="s">
        <v>36</v>
      </c>
      <c r="B37" s="31" t="s">
        <v>46</v>
      </c>
      <c r="C37" s="10" t="s">
        <v>26</v>
      </c>
      <c r="D37" s="11" t="s">
        <v>26</v>
      </c>
      <c r="E37" s="10" t="s">
        <v>26</v>
      </c>
      <c r="F37" s="11" t="s">
        <v>26</v>
      </c>
      <c r="G37" s="2">
        <v>563600991.65999997</v>
      </c>
      <c r="H37" s="1">
        <v>1</v>
      </c>
      <c r="I37" s="11" t="s">
        <v>26</v>
      </c>
      <c r="J37" s="11" t="s">
        <v>26</v>
      </c>
      <c r="K37" s="10" t="s">
        <v>26</v>
      </c>
      <c r="L37" s="11" t="s">
        <v>26</v>
      </c>
      <c r="M37" s="11" t="s">
        <v>26</v>
      </c>
      <c r="N37" s="11" t="s">
        <v>26</v>
      </c>
      <c r="O37" s="2">
        <v>554498062.20000005</v>
      </c>
      <c r="P37" s="1">
        <v>0.83839367591995995</v>
      </c>
      <c r="Q37" s="11" t="s">
        <v>26</v>
      </c>
      <c r="R37" s="11" t="s">
        <v>26</v>
      </c>
      <c r="S37" s="10">
        <v>301305237</v>
      </c>
      <c r="T37" s="11">
        <v>1</v>
      </c>
      <c r="U37" s="11" t="s">
        <v>26</v>
      </c>
      <c r="V37" s="11" t="s">
        <v>26</v>
      </c>
      <c r="W37" s="10" t="s">
        <v>26</v>
      </c>
      <c r="X37" s="11" t="s">
        <v>26</v>
      </c>
      <c r="Y37" s="11" t="s">
        <v>26</v>
      </c>
      <c r="Z37" s="11" t="s">
        <v>26</v>
      </c>
      <c r="AA37" s="2">
        <v>554498062.20000005</v>
      </c>
      <c r="AB37" s="1">
        <v>1</v>
      </c>
      <c r="AC37" s="11" t="s">
        <v>26</v>
      </c>
      <c r="AD37" s="11" t="s">
        <v>26</v>
      </c>
      <c r="AE37" s="2">
        <v>1973902353.0599999</v>
      </c>
      <c r="AF37" s="1">
        <v>0.94459626190356005</v>
      </c>
      <c r="AG37" s="11" t="s">
        <v>26</v>
      </c>
      <c r="AH37" s="11" t="s">
        <v>26</v>
      </c>
      <c r="AI37" s="2">
        <v>51192597.5</v>
      </c>
      <c r="AJ37" s="1">
        <v>0.33811058423266999</v>
      </c>
      <c r="AK37" s="11" t="s">
        <v>26</v>
      </c>
      <c r="AL37" s="11" t="s">
        <v>26</v>
      </c>
      <c r="AM37" s="10" t="s">
        <v>26</v>
      </c>
      <c r="AN37" s="11" t="s">
        <v>26</v>
      </c>
      <c r="AO37" s="11" t="s">
        <v>26</v>
      </c>
      <c r="AP37" s="11" t="s">
        <v>26</v>
      </c>
      <c r="AQ37" s="2">
        <v>51192597.5</v>
      </c>
      <c r="AR37" s="1">
        <v>5.8309964379199997E-2</v>
      </c>
      <c r="AS37" s="11" t="s">
        <v>26</v>
      </c>
      <c r="AT37" s="11" t="s">
        <v>26</v>
      </c>
      <c r="AU37" s="10" t="s">
        <v>26</v>
      </c>
      <c r="AV37" s="11" t="s">
        <v>26</v>
      </c>
      <c r="AW37" s="11" t="s">
        <v>26</v>
      </c>
      <c r="AX37" s="11" t="s">
        <v>26</v>
      </c>
      <c r="AY37" s="2">
        <v>2025094950.5599999</v>
      </c>
      <c r="AZ37" s="1">
        <v>0.67487677127444001</v>
      </c>
      <c r="BA37" s="11" t="s">
        <v>26</v>
      </c>
      <c r="BB37" s="11" t="s">
        <v>26</v>
      </c>
    </row>
    <row r="38" spans="1:54" s="7" customFormat="1">
      <c r="A38" s="3" t="s">
        <v>38</v>
      </c>
      <c r="B38" s="31" t="s">
        <v>43</v>
      </c>
      <c r="C38" s="2">
        <v>8892559.6099999994</v>
      </c>
      <c r="D38" s="1">
        <v>1</v>
      </c>
      <c r="E38" s="11" t="s">
        <v>25</v>
      </c>
      <c r="F38" s="11" t="s">
        <v>25</v>
      </c>
      <c r="G38" s="10" t="s">
        <v>26</v>
      </c>
      <c r="H38" s="11" t="s">
        <v>26</v>
      </c>
      <c r="I38" s="11" t="s">
        <v>26</v>
      </c>
      <c r="J38" s="11" t="s">
        <v>26</v>
      </c>
      <c r="K38" s="10" t="s">
        <v>26</v>
      </c>
      <c r="L38" s="11" t="s">
        <v>26</v>
      </c>
      <c r="M38" s="11" t="s">
        <v>26</v>
      </c>
      <c r="N38" s="11" t="s">
        <v>26</v>
      </c>
      <c r="O38" s="2">
        <v>106883432.11</v>
      </c>
      <c r="P38" s="1">
        <v>0.16160632408004</v>
      </c>
      <c r="Q38" s="11" t="s">
        <v>26</v>
      </c>
      <c r="R38" s="11" t="s">
        <v>26</v>
      </c>
      <c r="S38" s="10" t="s">
        <v>26</v>
      </c>
      <c r="T38" s="11" t="s">
        <v>26</v>
      </c>
      <c r="U38" s="11" t="s">
        <v>26</v>
      </c>
      <c r="V38" s="11" t="s">
        <v>26</v>
      </c>
      <c r="W38" s="10" t="s">
        <v>26</v>
      </c>
      <c r="X38" s="11" t="s">
        <v>26</v>
      </c>
      <c r="Y38" s="11" t="s">
        <v>26</v>
      </c>
      <c r="Z38" s="11" t="s">
        <v>26</v>
      </c>
      <c r="AA38" s="10" t="s">
        <v>26</v>
      </c>
      <c r="AB38" s="11" t="s">
        <v>26</v>
      </c>
      <c r="AC38" s="11" t="s">
        <v>26</v>
      </c>
      <c r="AD38" s="11" t="s">
        <v>26</v>
      </c>
      <c r="AE38" s="2">
        <v>115775991.72</v>
      </c>
      <c r="AF38" s="1">
        <v>5.5403738096440003E-2</v>
      </c>
      <c r="AG38" s="11" t="s">
        <v>26</v>
      </c>
      <c r="AH38" s="11" t="s">
        <v>26</v>
      </c>
      <c r="AI38" s="2">
        <v>100215255.09999999</v>
      </c>
      <c r="AJ38" s="1">
        <v>0.66188941576732996</v>
      </c>
      <c r="AK38" s="11" t="s">
        <v>26</v>
      </c>
      <c r="AL38" s="11" t="s">
        <v>26</v>
      </c>
      <c r="AM38" s="2">
        <v>726531244.86000001</v>
      </c>
      <c r="AN38" s="1">
        <v>1</v>
      </c>
      <c r="AO38" s="11" t="s">
        <v>26</v>
      </c>
      <c r="AP38" s="11" t="s">
        <v>26</v>
      </c>
      <c r="AQ38" s="2">
        <v>826746499.96000004</v>
      </c>
      <c r="AR38" s="1">
        <v>0.9416900356208</v>
      </c>
      <c r="AS38" s="11" t="s">
        <v>26</v>
      </c>
      <c r="AT38" s="11" t="s">
        <v>26</v>
      </c>
      <c r="AU38" s="2">
        <v>33071034.170000002</v>
      </c>
      <c r="AV38" s="1">
        <v>1</v>
      </c>
      <c r="AW38" s="11" t="s">
        <v>26</v>
      </c>
      <c r="AX38" s="11" t="s">
        <v>26</v>
      </c>
      <c r="AY38" s="2">
        <v>975593525.85000002</v>
      </c>
      <c r="AZ38" s="1">
        <v>0.32512322872555999</v>
      </c>
      <c r="BA38" s="11" t="s">
        <v>26</v>
      </c>
      <c r="BB38" s="11" t="s">
        <v>26</v>
      </c>
    </row>
    <row r="39" spans="1:54" s="7" customFormat="1">
      <c r="A39" s="5" t="s">
        <v>50</v>
      </c>
      <c r="B39" s="24" t="s">
        <v>25</v>
      </c>
      <c r="C39" s="10" t="s">
        <v>26</v>
      </c>
      <c r="D39" s="11" t="s">
        <v>26</v>
      </c>
      <c r="E39" s="10" t="s">
        <v>26</v>
      </c>
      <c r="F39" s="11" t="s">
        <v>26</v>
      </c>
      <c r="G39" s="10" t="s">
        <v>26</v>
      </c>
      <c r="H39" s="11" t="s">
        <v>26</v>
      </c>
      <c r="I39" s="11" t="s">
        <v>26</v>
      </c>
      <c r="J39" s="11" t="s">
        <v>26</v>
      </c>
      <c r="K39" s="10" t="s">
        <v>26</v>
      </c>
      <c r="L39" s="11" t="s">
        <v>26</v>
      </c>
      <c r="M39" s="11" t="s">
        <v>26</v>
      </c>
      <c r="N39" s="11" t="s">
        <v>26</v>
      </c>
      <c r="O39" s="10">
        <v>101820151.42</v>
      </c>
      <c r="P39" s="11">
        <v>4.5423639348999998E-4</v>
      </c>
      <c r="Q39" s="11">
        <v>0.13500000000000001</v>
      </c>
      <c r="R39" s="11">
        <v>0.13450000000000001</v>
      </c>
      <c r="S39" s="10">
        <v>37267597.009999998</v>
      </c>
      <c r="T39" s="11">
        <v>3.3572117590999998E-4</v>
      </c>
      <c r="U39" s="11">
        <v>0.13500000000000001</v>
      </c>
      <c r="V39" s="11">
        <v>0.13469999999999999</v>
      </c>
      <c r="W39" s="10" t="s">
        <v>26</v>
      </c>
      <c r="X39" s="11" t="s">
        <v>26</v>
      </c>
      <c r="Y39" s="11" t="s">
        <v>26</v>
      </c>
      <c r="Z39" s="11" t="s">
        <v>26</v>
      </c>
      <c r="AA39" s="10" t="s">
        <v>26</v>
      </c>
      <c r="AB39" s="11" t="s">
        <v>26</v>
      </c>
      <c r="AC39" s="11" t="s">
        <v>26</v>
      </c>
      <c r="AD39" s="11" t="s">
        <v>26</v>
      </c>
      <c r="AE39" s="10">
        <v>139087748.43000001</v>
      </c>
      <c r="AF39" s="11">
        <v>2.1758976324E-4</v>
      </c>
      <c r="AG39" s="11">
        <v>0.13500000000000001</v>
      </c>
      <c r="AH39" s="11">
        <v>0.1348</v>
      </c>
      <c r="AI39" s="10">
        <v>29303896.390000001</v>
      </c>
      <c r="AJ39" s="11">
        <v>1.7154867973699999E-3</v>
      </c>
      <c r="AK39" s="11">
        <v>0.13500000000000001</v>
      </c>
      <c r="AL39" s="11">
        <v>0.1333</v>
      </c>
      <c r="AM39" s="10" t="s">
        <v>26</v>
      </c>
      <c r="AN39" s="11" t="s">
        <v>26</v>
      </c>
      <c r="AO39" s="11" t="s">
        <v>26</v>
      </c>
      <c r="AP39" s="11" t="s">
        <v>26</v>
      </c>
      <c r="AQ39" s="10">
        <v>29303896.390000001</v>
      </c>
      <c r="AR39" s="11">
        <v>7.1615319981000001E-4</v>
      </c>
      <c r="AS39" s="11">
        <v>0.13500000000000001</v>
      </c>
      <c r="AT39" s="11">
        <v>0.1343</v>
      </c>
      <c r="AU39" s="10">
        <v>115435380.44</v>
      </c>
      <c r="AV39" s="11">
        <v>2.5627006897600002E-3</v>
      </c>
      <c r="AW39" s="11">
        <v>0.13500000000000001</v>
      </c>
      <c r="AX39" s="11">
        <v>0.13239999999999999</v>
      </c>
      <c r="AY39" s="10">
        <v>283827025.25999999</v>
      </c>
      <c r="AZ39" s="11">
        <v>3.9138676511999999E-4</v>
      </c>
      <c r="BA39" s="11">
        <v>0.13500000000000001</v>
      </c>
      <c r="BB39" s="11">
        <v>0.1346</v>
      </c>
    </row>
    <row r="40" spans="1:54" s="7" customFormat="1">
      <c r="A40" s="3" t="s">
        <v>38</v>
      </c>
      <c r="B40" s="31" t="s">
        <v>43</v>
      </c>
      <c r="C40" s="10" t="s">
        <v>26</v>
      </c>
      <c r="D40" s="11" t="s">
        <v>26</v>
      </c>
      <c r="E40" s="10" t="s">
        <v>26</v>
      </c>
      <c r="F40" s="11" t="s">
        <v>26</v>
      </c>
      <c r="G40" s="10" t="s">
        <v>26</v>
      </c>
      <c r="H40" s="11" t="s">
        <v>26</v>
      </c>
      <c r="I40" s="11" t="s">
        <v>26</v>
      </c>
      <c r="J40" s="11" t="s">
        <v>26</v>
      </c>
      <c r="K40" s="10" t="s">
        <v>26</v>
      </c>
      <c r="L40" s="11" t="s">
        <v>26</v>
      </c>
      <c r="M40" s="11" t="s">
        <v>26</v>
      </c>
      <c r="N40" s="11" t="s">
        <v>26</v>
      </c>
      <c r="O40" s="2">
        <v>101820151.42</v>
      </c>
      <c r="P40" s="1">
        <v>1</v>
      </c>
      <c r="Q40" s="11" t="s">
        <v>26</v>
      </c>
      <c r="R40" s="11" t="s">
        <v>26</v>
      </c>
      <c r="S40" s="2">
        <v>37267597.009999998</v>
      </c>
      <c r="T40" s="1">
        <v>1</v>
      </c>
      <c r="U40" s="11" t="s">
        <v>26</v>
      </c>
      <c r="V40" s="11" t="s">
        <v>26</v>
      </c>
      <c r="W40" s="10" t="s">
        <v>26</v>
      </c>
      <c r="X40" s="11" t="s">
        <v>26</v>
      </c>
      <c r="Y40" s="11" t="s">
        <v>26</v>
      </c>
      <c r="Z40" s="11" t="s">
        <v>26</v>
      </c>
      <c r="AA40" s="10" t="s">
        <v>26</v>
      </c>
      <c r="AB40" s="11" t="s">
        <v>26</v>
      </c>
      <c r="AC40" s="11" t="s">
        <v>26</v>
      </c>
      <c r="AD40" s="11" t="s">
        <v>26</v>
      </c>
      <c r="AE40" s="2">
        <v>139087748.43000001</v>
      </c>
      <c r="AF40" s="1">
        <v>1</v>
      </c>
      <c r="AG40" s="11" t="s">
        <v>26</v>
      </c>
      <c r="AH40" s="11" t="s">
        <v>26</v>
      </c>
      <c r="AI40" s="2">
        <v>29303896.390000001</v>
      </c>
      <c r="AJ40" s="1">
        <v>1</v>
      </c>
      <c r="AK40" s="11" t="s">
        <v>26</v>
      </c>
      <c r="AL40" s="11" t="s">
        <v>26</v>
      </c>
      <c r="AM40" s="10" t="s">
        <v>26</v>
      </c>
      <c r="AN40" s="11" t="s">
        <v>26</v>
      </c>
      <c r="AO40" s="11" t="s">
        <v>26</v>
      </c>
      <c r="AP40" s="11" t="s">
        <v>26</v>
      </c>
      <c r="AQ40" s="2">
        <v>29303896.390000001</v>
      </c>
      <c r="AR40" s="1">
        <v>1</v>
      </c>
      <c r="AS40" s="11" t="s">
        <v>26</v>
      </c>
      <c r="AT40" s="11" t="s">
        <v>26</v>
      </c>
      <c r="AU40" s="2">
        <v>115435380.44</v>
      </c>
      <c r="AV40" s="1">
        <v>1</v>
      </c>
      <c r="AW40" s="11" t="s">
        <v>26</v>
      </c>
      <c r="AX40" s="11" t="s">
        <v>26</v>
      </c>
      <c r="AY40" s="2">
        <v>283827025.25999999</v>
      </c>
      <c r="AZ40" s="1">
        <v>1</v>
      </c>
      <c r="BA40" s="11" t="s">
        <v>26</v>
      </c>
      <c r="BB40" s="11" t="s">
        <v>26</v>
      </c>
    </row>
    <row r="41" spans="1:54" s="7" customFormat="1">
      <c r="A41" s="5" t="s">
        <v>51</v>
      </c>
      <c r="B41" s="24" t="s">
        <v>25</v>
      </c>
      <c r="C41" s="10">
        <v>24642879.530000001</v>
      </c>
      <c r="D41" s="11">
        <v>3.9076940696099998E-3</v>
      </c>
      <c r="E41" s="11">
        <v>0.13500000000000001</v>
      </c>
      <c r="F41" s="11">
        <v>0.13109999999999999</v>
      </c>
      <c r="G41" s="10">
        <v>2704374241</v>
      </c>
      <c r="H41" s="11">
        <v>1.7981797780559999E-2</v>
      </c>
      <c r="I41" s="11">
        <v>0.13500000000000001</v>
      </c>
      <c r="J41" s="11">
        <v>0.11700000000000001</v>
      </c>
      <c r="K41" s="10" t="s">
        <v>26</v>
      </c>
      <c r="L41" s="11" t="s">
        <v>26</v>
      </c>
      <c r="M41" s="11" t="s">
        <v>26</v>
      </c>
      <c r="N41" s="11" t="s">
        <v>26</v>
      </c>
      <c r="O41" s="10">
        <v>4766524778.3500004</v>
      </c>
      <c r="P41" s="11">
        <v>2.1264248722969999E-2</v>
      </c>
      <c r="Q41" s="11">
        <v>0.05</v>
      </c>
      <c r="R41" s="11">
        <v>2.87E-2</v>
      </c>
      <c r="S41" s="10">
        <v>5204183708.9499998</v>
      </c>
      <c r="T41" s="11">
        <v>4.6881334311609998E-2</v>
      </c>
      <c r="U41" s="11">
        <v>0.14380000000000001</v>
      </c>
      <c r="V41" s="11">
        <v>9.69E-2</v>
      </c>
      <c r="W41" s="10">
        <v>610969497.29999995</v>
      </c>
      <c r="X41" s="11">
        <v>9.8827554657960004E-2</v>
      </c>
      <c r="Y41" s="11">
        <v>0.15</v>
      </c>
      <c r="Z41" s="11">
        <v>5.1200000000000002E-2</v>
      </c>
      <c r="AA41" s="10">
        <v>3954894240</v>
      </c>
      <c r="AB41" s="11">
        <v>2.860772911498E-2</v>
      </c>
      <c r="AC41" s="11">
        <v>0.13500000000000001</v>
      </c>
      <c r="AD41" s="11">
        <v>0.10639999999999999</v>
      </c>
      <c r="AE41" s="10">
        <v>17265589345.130001</v>
      </c>
      <c r="AF41" s="11">
        <v>2.7010398401470001E-2</v>
      </c>
      <c r="AG41" s="11">
        <v>0.13819999999999999</v>
      </c>
      <c r="AH41" s="11">
        <v>0.11119999999999999</v>
      </c>
      <c r="AI41" s="10">
        <v>669250416.05999994</v>
      </c>
      <c r="AJ41" s="11">
        <v>3.9178757582399998E-2</v>
      </c>
      <c r="AK41" s="11">
        <v>0.14460000000000001</v>
      </c>
      <c r="AL41" s="11">
        <v>0.10539999999999999</v>
      </c>
      <c r="AM41" s="10">
        <v>15725497.550000001</v>
      </c>
      <c r="AN41" s="11">
        <v>6.5972334644999995E-4</v>
      </c>
      <c r="AO41" s="11">
        <v>0.15</v>
      </c>
      <c r="AP41" s="11">
        <v>0.14929999999999999</v>
      </c>
      <c r="AQ41" s="10">
        <v>684975913.61000001</v>
      </c>
      <c r="AR41" s="11">
        <v>1.6740015928190001E-2</v>
      </c>
      <c r="AS41" s="11">
        <v>0.1447</v>
      </c>
      <c r="AT41" s="11">
        <v>0.128</v>
      </c>
      <c r="AU41" s="10">
        <v>3406330939.8200002</v>
      </c>
      <c r="AV41" s="11">
        <v>7.5621586863040005E-2</v>
      </c>
      <c r="AW41" s="11">
        <v>0.14510000000000001</v>
      </c>
      <c r="AX41" s="11">
        <v>6.9500000000000006E-2</v>
      </c>
      <c r="AY41" s="10">
        <v>21356896198.560001</v>
      </c>
      <c r="AZ41" s="11">
        <v>2.9450354519260001E-2</v>
      </c>
      <c r="BA41" s="11">
        <v>0.13950000000000001</v>
      </c>
      <c r="BB41" s="11">
        <v>0.11</v>
      </c>
    </row>
    <row r="42" spans="1:54" s="7" customFormat="1">
      <c r="A42" s="3" t="s">
        <v>36</v>
      </c>
      <c r="B42" s="31" t="s">
        <v>37</v>
      </c>
      <c r="C42" s="2">
        <v>24642879.530000001</v>
      </c>
      <c r="D42" s="1">
        <v>1</v>
      </c>
      <c r="E42" s="10" t="s">
        <v>26</v>
      </c>
      <c r="F42" s="11" t="s">
        <v>26</v>
      </c>
      <c r="G42" s="2">
        <v>2704374241</v>
      </c>
      <c r="H42" s="1">
        <v>1</v>
      </c>
      <c r="I42" s="11" t="s">
        <v>26</v>
      </c>
      <c r="J42" s="11" t="s">
        <v>26</v>
      </c>
      <c r="K42" s="10" t="s">
        <v>26</v>
      </c>
      <c r="L42" s="11" t="s">
        <v>26</v>
      </c>
      <c r="M42" s="11" t="s">
        <v>26</v>
      </c>
      <c r="N42" s="11" t="s">
        <v>26</v>
      </c>
      <c r="O42" s="2">
        <v>4698379164.6700001</v>
      </c>
      <c r="P42" s="1">
        <v>0.98570329184283001</v>
      </c>
      <c r="Q42" s="11" t="s">
        <v>26</v>
      </c>
      <c r="R42" s="11" t="s">
        <v>26</v>
      </c>
      <c r="S42" s="2">
        <v>2163994452</v>
      </c>
      <c r="T42" s="1">
        <v>0.41581822876052998</v>
      </c>
      <c r="U42" s="11" t="s">
        <v>26</v>
      </c>
      <c r="V42" s="11" t="s">
        <v>26</v>
      </c>
      <c r="W42" s="10" t="s">
        <v>26</v>
      </c>
      <c r="X42" s="11" t="s">
        <v>26</v>
      </c>
      <c r="Y42" s="11" t="s">
        <v>26</v>
      </c>
      <c r="Z42" s="11" t="s">
        <v>26</v>
      </c>
      <c r="AA42" s="2">
        <v>3954894240</v>
      </c>
      <c r="AB42" s="1">
        <v>1</v>
      </c>
      <c r="AC42" s="11" t="s">
        <v>26</v>
      </c>
      <c r="AD42" s="11" t="s">
        <v>26</v>
      </c>
      <c r="AE42" s="2">
        <v>13546284977.200001</v>
      </c>
      <c r="AF42" s="1">
        <v>0.78458283157423003</v>
      </c>
      <c r="AG42" s="11" t="s">
        <v>26</v>
      </c>
      <c r="AH42" s="11" t="s">
        <v>26</v>
      </c>
      <c r="AI42" s="2">
        <v>240062418</v>
      </c>
      <c r="AJ42" s="1">
        <v>0.35870342735576999</v>
      </c>
      <c r="AK42" s="11" t="s">
        <v>26</v>
      </c>
      <c r="AL42" s="11" t="s">
        <v>26</v>
      </c>
      <c r="AM42" s="10" t="s">
        <v>26</v>
      </c>
      <c r="AN42" s="11" t="s">
        <v>26</v>
      </c>
      <c r="AO42" s="11" t="s">
        <v>26</v>
      </c>
      <c r="AP42" s="11" t="s">
        <v>26</v>
      </c>
      <c r="AQ42" s="2">
        <v>240062418</v>
      </c>
      <c r="AR42" s="1">
        <v>0.35046840805658003</v>
      </c>
      <c r="AS42" s="11" t="s">
        <v>26</v>
      </c>
      <c r="AT42" s="11" t="s">
        <v>26</v>
      </c>
      <c r="AU42" s="2">
        <v>1109989366</v>
      </c>
      <c r="AV42" s="1">
        <v>0.32586069457439998</v>
      </c>
      <c r="AW42" s="11" t="s">
        <v>26</v>
      </c>
      <c r="AX42" s="11" t="s">
        <v>26</v>
      </c>
      <c r="AY42" s="2">
        <v>14896336761.200001</v>
      </c>
      <c r="AZ42" s="1">
        <v>0.69749539552494999</v>
      </c>
      <c r="BA42" s="11" t="s">
        <v>26</v>
      </c>
      <c r="BB42" s="11" t="s">
        <v>26</v>
      </c>
    </row>
    <row r="43" spans="1:54" s="7" customFormat="1">
      <c r="A43" s="3" t="s">
        <v>38</v>
      </c>
      <c r="B43" s="31" t="s">
        <v>39</v>
      </c>
      <c r="C43" s="10" t="s">
        <v>26</v>
      </c>
      <c r="D43" s="11" t="s">
        <v>26</v>
      </c>
      <c r="E43" s="10" t="s">
        <v>26</v>
      </c>
      <c r="F43" s="11" t="s">
        <v>26</v>
      </c>
      <c r="G43" s="10" t="s">
        <v>26</v>
      </c>
      <c r="H43" s="11" t="s">
        <v>26</v>
      </c>
      <c r="I43" s="11" t="s">
        <v>26</v>
      </c>
      <c r="J43" s="11" t="s">
        <v>26</v>
      </c>
      <c r="K43" s="10" t="s">
        <v>26</v>
      </c>
      <c r="L43" s="11" t="s">
        <v>26</v>
      </c>
      <c r="M43" s="11" t="s">
        <v>26</v>
      </c>
      <c r="N43" s="11" t="s">
        <v>26</v>
      </c>
      <c r="O43" s="2">
        <v>68145613.680000007</v>
      </c>
      <c r="P43" s="1">
        <v>1.4296708157169999E-2</v>
      </c>
      <c r="Q43" s="11" t="s">
        <v>26</v>
      </c>
      <c r="R43" s="11" t="s">
        <v>26</v>
      </c>
      <c r="S43" s="2">
        <v>3040189256.9499998</v>
      </c>
      <c r="T43" s="1">
        <v>0.58418177123947002</v>
      </c>
      <c r="U43" s="11" t="s">
        <v>26</v>
      </c>
      <c r="V43" s="11" t="s">
        <v>26</v>
      </c>
      <c r="W43" s="2">
        <v>610969497.29999995</v>
      </c>
      <c r="X43" s="1">
        <v>1</v>
      </c>
      <c r="Y43" s="11" t="s">
        <v>25</v>
      </c>
      <c r="Z43" s="11" t="s">
        <v>25</v>
      </c>
      <c r="AA43" s="10" t="s">
        <v>26</v>
      </c>
      <c r="AB43" s="11" t="s">
        <v>26</v>
      </c>
      <c r="AC43" s="11" t="s">
        <v>26</v>
      </c>
      <c r="AD43" s="11" t="s">
        <v>26</v>
      </c>
      <c r="AE43" s="2">
        <v>3719304367.9299998</v>
      </c>
      <c r="AF43" s="1">
        <v>0.21541716842576999</v>
      </c>
      <c r="AG43" s="11" t="s">
        <v>26</v>
      </c>
      <c r="AH43" s="11" t="s">
        <v>26</v>
      </c>
      <c r="AI43" s="2">
        <v>429187998.06</v>
      </c>
      <c r="AJ43" s="1">
        <v>0.64129657264423001</v>
      </c>
      <c r="AK43" s="11" t="s">
        <v>26</v>
      </c>
      <c r="AL43" s="11" t="s">
        <v>26</v>
      </c>
      <c r="AM43" s="2">
        <v>15725497.550000001</v>
      </c>
      <c r="AN43" s="1">
        <v>1</v>
      </c>
      <c r="AO43" s="11" t="s">
        <v>26</v>
      </c>
      <c r="AP43" s="11" t="s">
        <v>26</v>
      </c>
      <c r="AQ43" s="2">
        <v>444913495.61000001</v>
      </c>
      <c r="AR43" s="1">
        <v>0.64953159194342003</v>
      </c>
      <c r="AS43" s="11" t="s">
        <v>26</v>
      </c>
      <c r="AT43" s="11" t="s">
        <v>26</v>
      </c>
      <c r="AU43" s="2">
        <v>2296341573.8200002</v>
      </c>
      <c r="AV43" s="1">
        <v>0.67413930542559997</v>
      </c>
      <c r="AW43" s="11" t="s">
        <v>26</v>
      </c>
      <c r="AX43" s="11" t="s">
        <v>26</v>
      </c>
      <c r="AY43" s="2">
        <v>6460559437.3599997</v>
      </c>
      <c r="AZ43" s="1">
        <v>0.30250460447505001</v>
      </c>
      <c r="BA43" s="11" t="s">
        <v>26</v>
      </c>
      <c r="BB43" s="11" t="s">
        <v>26</v>
      </c>
    </row>
    <row r="44" spans="1:54" s="7" customFormat="1">
      <c r="A44" s="5" t="s">
        <v>52</v>
      </c>
      <c r="B44" s="24" t="s">
        <v>25</v>
      </c>
      <c r="C44" s="10" t="s">
        <v>26</v>
      </c>
      <c r="D44" s="11" t="s">
        <v>26</v>
      </c>
      <c r="E44" s="10" t="s">
        <v>26</v>
      </c>
      <c r="F44" s="11" t="s">
        <v>26</v>
      </c>
      <c r="G44" s="10">
        <v>25008324.399999999</v>
      </c>
      <c r="H44" s="11">
        <v>1.6628417227999999E-4</v>
      </c>
      <c r="I44" s="11">
        <v>0.15</v>
      </c>
      <c r="J44" s="11">
        <v>0.14979999999999999</v>
      </c>
      <c r="K44" s="10">
        <v>164620917.40000001</v>
      </c>
      <c r="L44" s="11">
        <v>5.6250166231650002E-2</v>
      </c>
      <c r="M44" s="11">
        <v>0.15</v>
      </c>
      <c r="N44" s="11">
        <v>9.3700000000000006E-2</v>
      </c>
      <c r="O44" s="10" t="s">
        <v>26</v>
      </c>
      <c r="P44" s="11" t="s">
        <v>26</v>
      </c>
      <c r="Q44" s="11" t="s">
        <v>26</v>
      </c>
      <c r="R44" s="11" t="s">
        <v>26</v>
      </c>
      <c r="S44" s="10" t="s">
        <v>26</v>
      </c>
      <c r="T44" s="11" t="s">
        <v>26</v>
      </c>
      <c r="U44" s="11" t="s">
        <v>26</v>
      </c>
      <c r="V44" s="11" t="s">
        <v>26</v>
      </c>
      <c r="W44" s="10" t="s">
        <v>26</v>
      </c>
      <c r="X44" s="11" t="s">
        <v>26</v>
      </c>
      <c r="Y44" s="11" t="s">
        <v>26</v>
      </c>
      <c r="Z44" s="11" t="s">
        <v>26</v>
      </c>
      <c r="AA44" s="10">
        <v>89624305.180000007</v>
      </c>
      <c r="AB44" s="11">
        <v>6.4829744845999997E-4</v>
      </c>
      <c r="AC44" s="11">
        <v>0.15</v>
      </c>
      <c r="AD44" s="11">
        <v>0.14940000000000001</v>
      </c>
      <c r="AE44" s="10">
        <v>279253546.98000002</v>
      </c>
      <c r="AF44" s="11">
        <v>4.3686603498999999E-4</v>
      </c>
      <c r="AG44" s="11">
        <v>0.15</v>
      </c>
      <c r="AH44" s="11">
        <v>0.14960000000000001</v>
      </c>
      <c r="AI44" s="10" t="s">
        <v>26</v>
      </c>
      <c r="AJ44" s="11" t="s">
        <v>26</v>
      </c>
      <c r="AK44" s="11" t="s">
        <v>26</v>
      </c>
      <c r="AL44" s="11" t="s">
        <v>26</v>
      </c>
      <c r="AM44" s="10">
        <v>287014733.31999999</v>
      </c>
      <c r="AN44" s="11">
        <v>1.2040974839990001E-2</v>
      </c>
      <c r="AO44" s="11">
        <v>0.15</v>
      </c>
      <c r="AP44" s="11">
        <v>0.13800000000000001</v>
      </c>
      <c r="AQ44" s="10">
        <v>287014733.31999999</v>
      </c>
      <c r="AR44" s="11">
        <v>7.0143067981499998E-3</v>
      </c>
      <c r="AS44" s="11">
        <v>0.15</v>
      </c>
      <c r="AT44" s="11">
        <v>0.14299999999999999</v>
      </c>
      <c r="AU44" s="10" t="s">
        <v>26</v>
      </c>
      <c r="AV44" s="11" t="s">
        <v>26</v>
      </c>
      <c r="AW44" s="11" t="s">
        <v>26</v>
      </c>
      <c r="AX44" s="11" t="s">
        <v>26</v>
      </c>
      <c r="AY44" s="10">
        <v>566268280.29999995</v>
      </c>
      <c r="AZ44" s="11">
        <v>7.8086260534999995E-4</v>
      </c>
      <c r="BA44" s="11">
        <v>0.15</v>
      </c>
      <c r="BB44" s="11">
        <v>0.1492</v>
      </c>
    </row>
    <row r="45" spans="1:54" s="7" customFormat="1">
      <c r="A45" s="3" t="s">
        <v>38</v>
      </c>
      <c r="B45" s="31" t="s">
        <v>39</v>
      </c>
      <c r="C45" s="10" t="s">
        <v>26</v>
      </c>
      <c r="D45" s="11" t="s">
        <v>26</v>
      </c>
      <c r="E45" s="10" t="s">
        <v>26</v>
      </c>
      <c r="F45" s="11" t="s">
        <v>26</v>
      </c>
      <c r="G45" s="35">
        <v>25008324.399999999</v>
      </c>
      <c r="H45" s="59">
        <v>1</v>
      </c>
      <c r="I45" s="11" t="s">
        <v>26</v>
      </c>
      <c r="J45" s="11" t="s">
        <v>26</v>
      </c>
      <c r="K45" s="2">
        <v>164620917.40000001</v>
      </c>
      <c r="L45" s="1">
        <v>1</v>
      </c>
      <c r="M45" s="11" t="s">
        <v>26</v>
      </c>
      <c r="N45" s="11" t="s">
        <v>26</v>
      </c>
      <c r="O45" s="10" t="s">
        <v>26</v>
      </c>
      <c r="P45" s="11" t="s">
        <v>26</v>
      </c>
      <c r="Q45" s="11" t="s">
        <v>26</v>
      </c>
      <c r="R45" s="11" t="s">
        <v>26</v>
      </c>
      <c r="S45" s="10" t="s">
        <v>26</v>
      </c>
      <c r="T45" s="11" t="s">
        <v>26</v>
      </c>
      <c r="U45" s="11" t="s">
        <v>26</v>
      </c>
      <c r="V45" s="11" t="s">
        <v>26</v>
      </c>
      <c r="W45" s="10" t="s">
        <v>26</v>
      </c>
      <c r="X45" s="11" t="s">
        <v>26</v>
      </c>
      <c r="Y45" s="11" t="s">
        <v>26</v>
      </c>
      <c r="Z45" s="11" t="s">
        <v>26</v>
      </c>
      <c r="AA45" s="2">
        <v>89624305.180000007</v>
      </c>
      <c r="AB45" s="1">
        <v>1</v>
      </c>
      <c r="AC45" s="11" t="s">
        <v>26</v>
      </c>
      <c r="AD45" s="11" t="s">
        <v>26</v>
      </c>
      <c r="AE45" s="2">
        <v>279253546.98000002</v>
      </c>
      <c r="AF45" s="1">
        <v>1</v>
      </c>
      <c r="AG45" s="11" t="s">
        <v>26</v>
      </c>
      <c r="AH45" s="11" t="s">
        <v>26</v>
      </c>
      <c r="AI45" s="10" t="s">
        <v>26</v>
      </c>
      <c r="AJ45" s="11" t="s">
        <v>26</v>
      </c>
      <c r="AK45" s="11" t="s">
        <v>26</v>
      </c>
      <c r="AL45" s="11" t="s">
        <v>26</v>
      </c>
      <c r="AM45" s="2">
        <v>287014733.31999999</v>
      </c>
      <c r="AN45" s="1">
        <v>1</v>
      </c>
      <c r="AO45" s="11" t="s">
        <v>26</v>
      </c>
      <c r="AP45" s="11" t="s">
        <v>26</v>
      </c>
      <c r="AQ45" s="2">
        <v>287014733.31999999</v>
      </c>
      <c r="AR45" s="1">
        <v>1</v>
      </c>
      <c r="AS45" s="11" t="s">
        <v>26</v>
      </c>
      <c r="AT45" s="11" t="s">
        <v>26</v>
      </c>
      <c r="AU45" s="10" t="s">
        <v>26</v>
      </c>
      <c r="AV45" s="11" t="s">
        <v>26</v>
      </c>
      <c r="AW45" s="11" t="s">
        <v>26</v>
      </c>
      <c r="AX45" s="11" t="s">
        <v>26</v>
      </c>
      <c r="AY45" s="2">
        <v>566268280.29999995</v>
      </c>
      <c r="AZ45" s="1">
        <v>1</v>
      </c>
      <c r="BA45" s="11" t="s">
        <v>26</v>
      </c>
      <c r="BB45" s="11" t="s">
        <v>26</v>
      </c>
    </row>
    <row r="46" spans="1:54" s="7" customFormat="1">
      <c r="A46" s="5" t="s">
        <v>53</v>
      </c>
      <c r="B46" s="24" t="s">
        <v>25</v>
      </c>
      <c r="C46" s="10" t="s">
        <v>26</v>
      </c>
      <c r="D46" s="11" t="s">
        <v>26</v>
      </c>
      <c r="E46" s="10" t="s">
        <v>26</v>
      </c>
      <c r="F46" s="11" t="s">
        <v>26</v>
      </c>
      <c r="G46" s="10" t="s">
        <v>26</v>
      </c>
      <c r="H46" s="11" t="s">
        <v>26</v>
      </c>
      <c r="I46" s="11" t="s">
        <v>26</v>
      </c>
      <c r="J46" s="11" t="s">
        <v>26</v>
      </c>
      <c r="K46" s="10" t="s">
        <v>26</v>
      </c>
      <c r="L46" s="11" t="s">
        <v>26</v>
      </c>
      <c r="M46" s="11" t="s">
        <v>26</v>
      </c>
      <c r="N46" s="11" t="s">
        <v>26</v>
      </c>
      <c r="O46" s="10">
        <v>1860818828.1400001</v>
      </c>
      <c r="P46" s="11">
        <v>8.3014179575199992E-3</v>
      </c>
      <c r="Q46" s="11">
        <v>0.15</v>
      </c>
      <c r="R46" s="11">
        <v>0.14169999999999999</v>
      </c>
      <c r="S46" s="10">
        <v>162010051.86000001</v>
      </c>
      <c r="T46" s="11">
        <v>1.4594502861300001E-3</v>
      </c>
      <c r="U46" s="11">
        <v>0.15</v>
      </c>
      <c r="V46" s="11">
        <v>0.14849999999999999</v>
      </c>
      <c r="W46" s="10" t="s">
        <v>26</v>
      </c>
      <c r="X46" s="11" t="s">
        <v>26</v>
      </c>
      <c r="Y46" s="11" t="s">
        <v>26</v>
      </c>
      <c r="Z46" s="11" t="s">
        <v>26</v>
      </c>
      <c r="AA46" s="10" t="s">
        <v>26</v>
      </c>
      <c r="AB46" s="11" t="s">
        <v>26</v>
      </c>
      <c r="AC46" s="11" t="s">
        <v>26</v>
      </c>
      <c r="AD46" s="11" t="s">
        <v>26</v>
      </c>
      <c r="AE46" s="10">
        <v>2022828880</v>
      </c>
      <c r="AF46" s="11">
        <v>3.1645264378000002E-3</v>
      </c>
      <c r="AG46" s="11">
        <v>0.15</v>
      </c>
      <c r="AH46" s="11">
        <v>0.14680000000000001</v>
      </c>
      <c r="AI46" s="10">
        <v>319343595.41000003</v>
      </c>
      <c r="AJ46" s="11">
        <v>1.869477404843E-2</v>
      </c>
      <c r="AK46" s="11">
        <v>0.15</v>
      </c>
      <c r="AL46" s="11">
        <v>0.1313</v>
      </c>
      <c r="AM46" s="10" t="s">
        <v>26</v>
      </c>
      <c r="AN46" s="11" t="s">
        <v>26</v>
      </c>
      <c r="AO46" s="11" t="s">
        <v>26</v>
      </c>
      <c r="AP46" s="11" t="s">
        <v>26</v>
      </c>
      <c r="AQ46" s="10">
        <v>319343595.41000003</v>
      </c>
      <c r="AR46" s="11">
        <v>7.8043866470500003E-3</v>
      </c>
      <c r="AS46" s="11">
        <v>0.15</v>
      </c>
      <c r="AT46" s="11">
        <v>0.14219999999999999</v>
      </c>
      <c r="AU46" s="10">
        <v>397098323</v>
      </c>
      <c r="AV46" s="11">
        <v>8.8157040100999996E-3</v>
      </c>
      <c r="AW46" s="11">
        <v>0.15</v>
      </c>
      <c r="AX46" s="11">
        <v>0.14119999999999999</v>
      </c>
      <c r="AY46" s="10">
        <v>2739270798.4099998</v>
      </c>
      <c r="AZ46" s="11">
        <v>3.7773511369499999E-3</v>
      </c>
      <c r="BA46" s="11">
        <v>0.15</v>
      </c>
      <c r="BB46" s="11">
        <v>0.1462</v>
      </c>
    </row>
    <row r="47" spans="1:54" s="7" customFormat="1">
      <c r="A47" s="3" t="s">
        <v>38</v>
      </c>
      <c r="B47" s="31" t="s">
        <v>39</v>
      </c>
      <c r="C47" s="10" t="s">
        <v>26</v>
      </c>
      <c r="D47" s="11" t="s">
        <v>26</v>
      </c>
      <c r="E47" s="10" t="s">
        <v>26</v>
      </c>
      <c r="F47" s="11" t="s">
        <v>26</v>
      </c>
      <c r="G47" s="10" t="s">
        <v>26</v>
      </c>
      <c r="H47" s="11" t="s">
        <v>26</v>
      </c>
      <c r="I47" s="11" t="s">
        <v>26</v>
      </c>
      <c r="J47" s="11" t="s">
        <v>26</v>
      </c>
      <c r="K47" s="10" t="s">
        <v>26</v>
      </c>
      <c r="L47" s="11" t="s">
        <v>26</v>
      </c>
      <c r="M47" s="11" t="s">
        <v>26</v>
      </c>
      <c r="N47" s="11" t="s">
        <v>26</v>
      </c>
      <c r="O47" s="2">
        <v>1860818828.1400001</v>
      </c>
      <c r="P47" s="1">
        <v>1</v>
      </c>
      <c r="Q47" s="11" t="s">
        <v>26</v>
      </c>
      <c r="R47" s="11" t="s">
        <v>26</v>
      </c>
      <c r="S47" s="2">
        <v>162010051.86000001</v>
      </c>
      <c r="T47" s="1">
        <v>1</v>
      </c>
      <c r="U47" s="11" t="s">
        <v>26</v>
      </c>
      <c r="V47" s="11" t="s">
        <v>26</v>
      </c>
      <c r="W47" s="10" t="s">
        <v>26</v>
      </c>
      <c r="X47" s="11" t="s">
        <v>26</v>
      </c>
      <c r="Y47" s="11" t="s">
        <v>26</v>
      </c>
      <c r="Z47" s="11" t="s">
        <v>26</v>
      </c>
      <c r="AA47" s="10" t="s">
        <v>26</v>
      </c>
      <c r="AB47" s="11" t="s">
        <v>26</v>
      </c>
      <c r="AC47" s="11" t="s">
        <v>26</v>
      </c>
      <c r="AD47" s="11" t="s">
        <v>26</v>
      </c>
      <c r="AE47" s="2">
        <v>2022828880</v>
      </c>
      <c r="AF47" s="1">
        <v>1</v>
      </c>
      <c r="AG47" s="11" t="s">
        <v>26</v>
      </c>
      <c r="AH47" s="11" t="s">
        <v>26</v>
      </c>
      <c r="AI47" s="2">
        <v>319343595.41000003</v>
      </c>
      <c r="AJ47" s="1">
        <v>1</v>
      </c>
      <c r="AK47" s="11" t="s">
        <v>26</v>
      </c>
      <c r="AL47" s="11" t="s">
        <v>26</v>
      </c>
      <c r="AM47" s="10" t="s">
        <v>26</v>
      </c>
      <c r="AN47" s="11" t="s">
        <v>26</v>
      </c>
      <c r="AO47" s="11" t="s">
        <v>26</v>
      </c>
      <c r="AP47" s="11" t="s">
        <v>26</v>
      </c>
      <c r="AQ47" s="2">
        <v>319343595.41000003</v>
      </c>
      <c r="AR47" s="1">
        <v>1</v>
      </c>
      <c r="AS47" s="11" t="s">
        <v>26</v>
      </c>
      <c r="AT47" s="11" t="s">
        <v>26</v>
      </c>
      <c r="AU47" s="2">
        <v>397098323</v>
      </c>
      <c r="AV47" s="1">
        <v>1</v>
      </c>
      <c r="AW47" s="11" t="s">
        <v>26</v>
      </c>
      <c r="AX47" s="11" t="s">
        <v>26</v>
      </c>
      <c r="AY47" s="2">
        <v>2739270798.4099998</v>
      </c>
      <c r="AZ47" s="1">
        <v>1</v>
      </c>
      <c r="BA47" s="11" t="s">
        <v>26</v>
      </c>
      <c r="BB47" s="11" t="s">
        <v>26</v>
      </c>
    </row>
    <row r="48" spans="1:54" s="7" customFormat="1">
      <c r="A48" s="13" t="s">
        <v>54</v>
      </c>
      <c r="B48" s="25" t="s">
        <v>25</v>
      </c>
      <c r="C48" s="55">
        <v>72990691.230000004</v>
      </c>
      <c r="D48" s="56">
        <v>1.157434913029E-2</v>
      </c>
      <c r="E48" s="56" t="s">
        <v>26</v>
      </c>
      <c r="F48" s="56" t="s">
        <v>26</v>
      </c>
      <c r="G48" s="55">
        <v>305830776</v>
      </c>
      <c r="H48" s="56">
        <v>2.0335155858700001E-3</v>
      </c>
      <c r="I48" s="56" t="s">
        <v>26</v>
      </c>
      <c r="J48" s="56" t="s">
        <v>26</v>
      </c>
      <c r="K48" s="55">
        <v>96750281.959999993</v>
      </c>
      <c r="L48" s="56">
        <v>3.3059100442170003E-2</v>
      </c>
      <c r="M48" s="56" t="s">
        <v>26</v>
      </c>
      <c r="N48" s="56" t="s">
        <v>26</v>
      </c>
      <c r="O48" s="55">
        <v>3557633978.1399999</v>
      </c>
      <c r="P48" s="56">
        <v>1.587118861105E-2</v>
      </c>
      <c r="Q48" s="56" t="s">
        <v>26</v>
      </c>
      <c r="R48" s="56" t="s">
        <v>26</v>
      </c>
      <c r="S48" s="55">
        <v>1348380731.78</v>
      </c>
      <c r="T48" s="56">
        <v>1.214674411997E-2</v>
      </c>
      <c r="U48" s="56" t="s">
        <v>26</v>
      </c>
      <c r="V48" s="56" t="s">
        <v>26</v>
      </c>
      <c r="W48" s="55">
        <v>68668126.609999999</v>
      </c>
      <c r="X48" s="56">
        <v>1.110743345748E-2</v>
      </c>
      <c r="Y48" s="56" t="s">
        <v>25</v>
      </c>
      <c r="Z48" s="56" t="s">
        <v>25</v>
      </c>
      <c r="AA48" s="55">
        <v>2481276366.7399998</v>
      </c>
      <c r="AB48" s="56">
        <v>1.7948313621430002E-2</v>
      </c>
      <c r="AC48" s="56" t="s">
        <v>26</v>
      </c>
      <c r="AD48" s="56" t="s">
        <v>26</v>
      </c>
      <c r="AE48" s="55">
        <v>7931530952.46</v>
      </c>
      <c r="AF48" s="56">
        <v>1.240813775175E-2</v>
      </c>
      <c r="AG48" s="56" t="s">
        <v>26</v>
      </c>
      <c r="AH48" s="56" t="s">
        <v>26</v>
      </c>
      <c r="AI48" s="55">
        <v>324032823.19</v>
      </c>
      <c r="AJ48" s="56">
        <v>1.8969287315859999E-2</v>
      </c>
      <c r="AK48" s="56" t="s">
        <v>26</v>
      </c>
      <c r="AL48" s="56" t="s">
        <v>26</v>
      </c>
      <c r="AM48" s="55">
        <v>269033220.14999998</v>
      </c>
      <c r="AN48" s="56">
        <v>1.128660608282E-2</v>
      </c>
      <c r="AO48" s="56" t="s">
        <v>26</v>
      </c>
      <c r="AP48" s="56" t="s">
        <v>26</v>
      </c>
      <c r="AQ48" s="55">
        <v>593066043.34000003</v>
      </c>
      <c r="AR48" s="56">
        <v>1.44938454254E-2</v>
      </c>
      <c r="AS48" s="56" t="s">
        <v>26</v>
      </c>
      <c r="AT48" s="56" t="s">
        <v>26</v>
      </c>
      <c r="AU48" s="55">
        <v>704164004.94000006</v>
      </c>
      <c r="AV48" s="56">
        <v>1.5632655900490001E-2</v>
      </c>
      <c r="AW48" s="56" t="s">
        <v>26</v>
      </c>
      <c r="AX48" s="56" t="s">
        <v>26</v>
      </c>
      <c r="AY48" s="55">
        <v>9228761000.7399998</v>
      </c>
      <c r="AZ48" s="56">
        <v>1.2726113416409999E-2</v>
      </c>
      <c r="BA48" s="56" t="s">
        <v>26</v>
      </c>
      <c r="BB48" s="56" t="s">
        <v>26</v>
      </c>
    </row>
    <row r="49" spans="1:54" s="7" customFormat="1">
      <c r="A49" s="5" t="s">
        <v>55</v>
      </c>
      <c r="B49" s="24" t="s">
        <v>25</v>
      </c>
      <c r="C49" s="10">
        <v>35146635.649999999</v>
      </c>
      <c r="D49" s="11">
        <v>5.5733056491599998E-3</v>
      </c>
      <c r="E49" s="11">
        <v>0.12</v>
      </c>
      <c r="F49" s="11">
        <v>0.1144</v>
      </c>
      <c r="G49" s="10" t="s">
        <v>26</v>
      </c>
      <c r="H49" s="11" t="s">
        <v>26</v>
      </c>
      <c r="I49" s="11" t="s">
        <v>26</v>
      </c>
      <c r="J49" s="11" t="s">
        <v>26</v>
      </c>
      <c r="K49" s="10">
        <v>30125687.699999999</v>
      </c>
      <c r="L49" s="11">
        <v>1.0293800859160001E-2</v>
      </c>
      <c r="M49" s="11">
        <v>0.12</v>
      </c>
      <c r="N49" s="11">
        <v>0.10970000000000001</v>
      </c>
      <c r="O49" s="10">
        <v>806364240.76999998</v>
      </c>
      <c r="P49" s="11">
        <v>3.5973231178700001E-3</v>
      </c>
      <c r="Q49" s="11">
        <v>0.12</v>
      </c>
      <c r="R49" s="11">
        <v>0.1164</v>
      </c>
      <c r="S49" s="10">
        <v>301256877</v>
      </c>
      <c r="T49" s="11">
        <v>2.7138404703199999E-3</v>
      </c>
      <c r="U49" s="11">
        <v>0.12</v>
      </c>
      <c r="V49" s="11">
        <v>0.1173</v>
      </c>
      <c r="W49" s="10" t="s">
        <v>26</v>
      </c>
      <c r="X49" s="11" t="s">
        <v>26</v>
      </c>
      <c r="Y49" s="11" t="s">
        <v>26</v>
      </c>
      <c r="Z49" s="11" t="s">
        <v>26</v>
      </c>
      <c r="AA49" s="10">
        <v>883686839.20000005</v>
      </c>
      <c r="AB49" s="11">
        <v>6.3921491155499999E-3</v>
      </c>
      <c r="AC49" s="11">
        <v>0.12</v>
      </c>
      <c r="AD49" s="11">
        <v>0.11360000000000001</v>
      </c>
      <c r="AE49" s="10">
        <v>2056580280.3199999</v>
      </c>
      <c r="AF49" s="11">
        <v>3.2173273443300001E-3</v>
      </c>
      <c r="AG49" s="11">
        <v>0.12</v>
      </c>
      <c r="AH49" s="11">
        <v>0.1168</v>
      </c>
      <c r="AI49" s="10" t="s">
        <v>26</v>
      </c>
      <c r="AJ49" s="11" t="s">
        <v>26</v>
      </c>
      <c r="AK49" s="11" t="s">
        <v>26</v>
      </c>
      <c r="AL49" s="11" t="s">
        <v>26</v>
      </c>
      <c r="AM49" s="10" t="s">
        <v>26</v>
      </c>
      <c r="AN49" s="11" t="s">
        <v>26</v>
      </c>
      <c r="AO49" s="11" t="s">
        <v>26</v>
      </c>
      <c r="AP49" s="11" t="s">
        <v>26</v>
      </c>
      <c r="AQ49" s="10" t="s">
        <v>26</v>
      </c>
      <c r="AR49" s="11" t="s">
        <v>26</v>
      </c>
      <c r="AS49" s="11" t="s">
        <v>26</v>
      </c>
      <c r="AT49" s="11" t="s">
        <v>26</v>
      </c>
      <c r="AU49" s="10">
        <v>200837918</v>
      </c>
      <c r="AV49" s="11">
        <v>4.4586630981400003E-3</v>
      </c>
      <c r="AW49" s="11">
        <v>0.12</v>
      </c>
      <c r="AX49" s="11">
        <v>0.11550000000000001</v>
      </c>
      <c r="AY49" s="10">
        <v>2257418198.3200002</v>
      </c>
      <c r="AZ49" s="11">
        <v>3.1128945714100002E-3</v>
      </c>
      <c r="BA49" s="11">
        <v>0.12</v>
      </c>
      <c r="BB49" s="11">
        <v>0.1169</v>
      </c>
    </row>
    <row r="50" spans="1:54" s="7" customFormat="1">
      <c r="A50" s="3" t="s">
        <v>36</v>
      </c>
      <c r="B50" s="31" t="s">
        <v>56</v>
      </c>
      <c r="C50" s="2">
        <v>35146635.649999999</v>
      </c>
      <c r="D50" s="1">
        <v>1</v>
      </c>
      <c r="E50" s="10" t="s">
        <v>26</v>
      </c>
      <c r="F50" s="11" t="s">
        <v>26</v>
      </c>
      <c r="G50" s="10" t="s">
        <v>26</v>
      </c>
      <c r="H50" s="11" t="s">
        <v>26</v>
      </c>
      <c r="I50" s="11" t="s">
        <v>26</v>
      </c>
      <c r="J50" s="11" t="s">
        <v>26</v>
      </c>
      <c r="K50" s="2">
        <v>30125687.699999999</v>
      </c>
      <c r="L50" s="1">
        <v>1</v>
      </c>
      <c r="M50" s="11" t="s">
        <v>26</v>
      </c>
      <c r="N50" s="11" t="s">
        <v>26</v>
      </c>
      <c r="O50" s="2">
        <v>806364240.76999998</v>
      </c>
      <c r="P50" s="1">
        <v>1</v>
      </c>
      <c r="Q50" s="11" t="s">
        <v>26</v>
      </c>
      <c r="R50" s="11" t="s">
        <v>26</v>
      </c>
      <c r="S50" s="2">
        <v>301256877</v>
      </c>
      <c r="T50" s="1">
        <v>1</v>
      </c>
      <c r="U50" s="11" t="s">
        <v>26</v>
      </c>
      <c r="V50" s="11" t="s">
        <v>26</v>
      </c>
      <c r="W50" s="10" t="s">
        <v>26</v>
      </c>
      <c r="X50" s="11" t="s">
        <v>26</v>
      </c>
      <c r="Y50" s="11" t="s">
        <v>26</v>
      </c>
      <c r="Z50" s="11" t="s">
        <v>26</v>
      </c>
      <c r="AA50" s="2">
        <v>883686839.20000005</v>
      </c>
      <c r="AB50" s="1">
        <v>1</v>
      </c>
      <c r="AC50" s="11" t="s">
        <v>26</v>
      </c>
      <c r="AD50" s="11" t="s">
        <v>26</v>
      </c>
      <c r="AE50" s="2">
        <v>2056580280.3199999</v>
      </c>
      <c r="AF50" s="1">
        <v>1</v>
      </c>
      <c r="AG50" s="11" t="s">
        <v>26</v>
      </c>
      <c r="AH50" s="11" t="s">
        <v>26</v>
      </c>
      <c r="AI50" s="10" t="s">
        <v>26</v>
      </c>
      <c r="AJ50" s="11" t="s">
        <v>26</v>
      </c>
      <c r="AK50" s="11" t="s">
        <v>26</v>
      </c>
      <c r="AL50" s="11" t="s">
        <v>26</v>
      </c>
      <c r="AM50" s="10" t="s">
        <v>26</v>
      </c>
      <c r="AN50" s="11" t="s">
        <v>26</v>
      </c>
      <c r="AO50" s="11" t="s">
        <v>26</v>
      </c>
      <c r="AP50" s="11" t="s">
        <v>26</v>
      </c>
      <c r="AQ50" s="10" t="s">
        <v>26</v>
      </c>
      <c r="AR50" s="11" t="s">
        <v>26</v>
      </c>
      <c r="AS50" s="11" t="s">
        <v>26</v>
      </c>
      <c r="AT50" s="11" t="s">
        <v>26</v>
      </c>
      <c r="AU50" s="2">
        <v>200837918</v>
      </c>
      <c r="AV50" s="1">
        <v>1</v>
      </c>
      <c r="AW50" s="11" t="s">
        <v>26</v>
      </c>
      <c r="AX50" s="11" t="s">
        <v>26</v>
      </c>
      <c r="AY50" s="2">
        <v>2257418198.3200002</v>
      </c>
      <c r="AZ50" s="1">
        <v>1</v>
      </c>
      <c r="BA50" s="11" t="s">
        <v>26</v>
      </c>
      <c r="BB50" s="11" t="s">
        <v>26</v>
      </c>
    </row>
    <row r="51" spans="1:54" s="7" customFormat="1">
      <c r="A51" s="5" t="s">
        <v>57</v>
      </c>
      <c r="B51" s="24" t="s">
        <v>25</v>
      </c>
      <c r="C51" s="10">
        <v>32836422.98</v>
      </c>
      <c r="D51" s="11">
        <v>5.2069684141299996E-3</v>
      </c>
      <c r="E51" s="11">
        <v>0.09</v>
      </c>
      <c r="F51" s="11">
        <v>8.48E-2</v>
      </c>
      <c r="G51" s="10" t="s">
        <v>26</v>
      </c>
      <c r="H51" s="11" t="s">
        <v>26</v>
      </c>
      <c r="I51" s="11" t="s">
        <v>26</v>
      </c>
      <c r="J51" s="11" t="s">
        <v>26</v>
      </c>
      <c r="K51" s="10">
        <v>16289060.76</v>
      </c>
      <c r="L51" s="11">
        <v>5.5658927794799999E-3</v>
      </c>
      <c r="M51" s="11">
        <v>0.09</v>
      </c>
      <c r="N51" s="11">
        <v>8.4400000000000003E-2</v>
      </c>
      <c r="O51" s="10">
        <v>379976491.81</v>
      </c>
      <c r="P51" s="11">
        <v>1.6951374442500001E-3</v>
      </c>
      <c r="Q51" s="11">
        <v>0.09</v>
      </c>
      <c r="R51" s="11">
        <v>8.8300000000000003E-2</v>
      </c>
      <c r="S51" s="10">
        <v>287627577.61000001</v>
      </c>
      <c r="T51" s="11">
        <v>2.5910623792899999E-3</v>
      </c>
      <c r="U51" s="11">
        <v>0.09</v>
      </c>
      <c r="V51" s="11">
        <v>8.7400000000000005E-2</v>
      </c>
      <c r="W51" s="10" t="s">
        <v>26</v>
      </c>
      <c r="X51" s="11" t="s">
        <v>26</v>
      </c>
      <c r="Y51" s="11" t="s">
        <v>26</v>
      </c>
      <c r="Z51" s="11" t="s">
        <v>26</v>
      </c>
      <c r="AA51" s="10">
        <v>103922500.88</v>
      </c>
      <c r="AB51" s="11">
        <v>7.5172345295000003E-4</v>
      </c>
      <c r="AC51" s="11">
        <v>0.09</v>
      </c>
      <c r="AD51" s="11">
        <v>8.9200000000000002E-2</v>
      </c>
      <c r="AE51" s="10">
        <v>820652054.03999996</v>
      </c>
      <c r="AF51" s="11">
        <v>1.28383332219E-3</v>
      </c>
      <c r="AG51" s="11">
        <v>0.09</v>
      </c>
      <c r="AH51" s="11">
        <v>8.8700000000000001E-2</v>
      </c>
      <c r="AI51" s="10" t="s">
        <v>26</v>
      </c>
      <c r="AJ51" s="11" t="s">
        <v>26</v>
      </c>
      <c r="AK51" s="11" t="s">
        <v>26</v>
      </c>
      <c r="AL51" s="11" t="s">
        <v>26</v>
      </c>
      <c r="AM51" s="10" t="s">
        <v>26</v>
      </c>
      <c r="AN51" s="11" t="s">
        <v>26</v>
      </c>
      <c r="AO51" s="11" t="s">
        <v>26</v>
      </c>
      <c r="AP51" s="11" t="s">
        <v>26</v>
      </c>
      <c r="AQ51" s="10" t="s">
        <v>26</v>
      </c>
      <c r="AR51" s="11" t="s">
        <v>26</v>
      </c>
      <c r="AS51" s="11" t="s">
        <v>26</v>
      </c>
      <c r="AT51" s="11" t="s">
        <v>26</v>
      </c>
      <c r="AU51" s="10" t="s">
        <v>26</v>
      </c>
      <c r="AV51" s="11" t="s">
        <v>26</v>
      </c>
      <c r="AW51" s="11" t="s">
        <v>26</v>
      </c>
      <c r="AX51" s="11" t="s">
        <v>26</v>
      </c>
      <c r="AY51" s="10">
        <v>820652054.03999996</v>
      </c>
      <c r="AZ51" s="11">
        <v>1.1316482368900001E-3</v>
      </c>
      <c r="BA51" s="11">
        <v>0.09</v>
      </c>
      <c r="BB51" s="11">
        <v>8.8900000000000007E-2</v>
      </c>
    </row>
    <row r="52" spans="1:54" s="7" customFormat="1">
      <c r="A52" s="3" t="s">
        <v>36</v>
      </c>
      <c r="B52" s="31" t="s">
        <v>46</v>
      </c>
      <c r="C52" s="2">
        <v>32836422.98</v>
      </c>
      <c r="D52" s="1">
        <v>1</v>
      </c>
      <c r="E52" s="10" t="s">
        <v>26</v>
      </c>
      <c r="F52" s="11" t="s">
        <v>26</v>
      </c>
      <c r="G52" s="10" t="s">
        <v>26</v>
      </c>
      <c r="H52" s="11" t="s">
        <v>26</v>
      </c>
      <c r="I52" s="11" t="s">
        <v>26</v>
      </c>
      <c r="J52" s="11" t="s">
        <v>26</v>
      </c>
      <c r="K52" s="2">
        <v>16289060.76</v>
      </c>
      <c r="L52" s="1">
        <v>1</v>
      </c>
      <c r="M52" s="11" t="s">
        <v>26</v>
      </c>
      <c r="N52" s="11" t="s">
        <v>26</v>
      </c>
      <c r="O52" s="2">
        <v>379976491.81</v>
      </c>
      <c r="P52" s="1">
        <v>1</v>
      </c>
      <c r="Q52" s="11" t="s">
        <v>26</v>
      </c>
      <c r="R52" s="11" t="s">
        <v>26</v>
      </c>
      <c r="S52" s="2">
        <v>287627577.61000001</v>
      </c>
      <c r="T52" s="1">
        <v>1</v>
      </c>
      <c r="U52" s="11" t="s">
        <v>26</v>
      </c>
      <c r="V52" s="11" t="s">
        <v>26</v>
      </c>
      <c r="W52" s="10" t="s">
        <v>26</v>
      </c>
      <c r="X52" s="11" t="s">
        <v>26</v>
      </c>
      <c r="Y52" s="11" t="s">
        <v>26</v>
      </c>
      <c r="Z52" s="11" t="s">
        <v>26</v>
      </c>
      <c r="AA52" s="2">
        <v>103922500.88</v>
      </c>
      <c r="AB52" s="1">
        <v>1</v>
      </c>
      <c r="AC52" s="11" t="s">
        <v>26</v>
      </c>
      <c r="AD52" s="11" t="s">
        <v>26</v>
      </c>
      <c r="AE52" s="2">
        <v>820652054.03999996</v>
      </c>
      <c r="AF52" s="1">
        <v>1</v>
      </c>
      <c r="AG52" s="11" t="s">
        <v>26</v>
      </c>
      <c r="AH52" s="11" t="s">
        <v>26</v>
      </c>
      <c r="AI52" s="10" t="s">
        <v>26</v>
      </c>
      <c r="AJ52" s="11" t="s">
        <v>26</v>
      </c>
      <c r="AK52" s="11" t="s">
        <v>26</v>
      </c>
      <c r="AL52" s="11" t="s">
        <v>26</v>
      </c>
      <c r="AM52" s="10" t="s">
        <v>26</v>
      </c>
      <c r="AN52" s="11" t="s">
        <v>26</v>
      </c>
      <c r="AO52" s="11" t="s">
        <v>26</v>
      </c>
      <c r="AP52" s="11" t="s">
        <v>26</v>
      </c>
      <c r="AQ52" s="10" t="s">
        <v>26</v>
      </c>
      <c r="AR52" s="11" t="s">
        <v>26</v>
      </c>
      <c r="AS52" s="11" t="s">
        <v>26</v>
      </c>
      <c r="AT52" s="11" t="s">
        <v>26</v>
      </c>
      <c r="AU52" s="10" t="s">
        <v>26</v>
      </c>
      <c r="AV52" s="11" t="s">
        <v>26</v>
      </c>
      <c r="AW52" s="11" t="s">
        <v>26</v>
      </c>
      <c r="AX52" s="11" t="s">
        <v>26</v>
      </c>
      <c r="AY52" s="2">
        <v>820652054.03999996</v>
      </c>
      <c r="AZ52" s="1">
        <v>1</v>
      </c>
      <c r="BA52" s="11" t="s">
        <v>26</v>
      </c>
      <c r="BB52" s="11" t="s">
        <v>26</v>
      </c>
    </row>
    <row r="53" spans="1:54" s="7" customFormat="1">
      <c r="A53" s="5" t="s">
        <v>58</v>
      </c>
      <c r="B53" s="24" t="s">
        <v>25</v>
      </c>
      <c r="C53" s="10">
        <v>5007632.5999999996</v>
      </c>
      <c r="D53" s="11">
        <v>7.9407506700000005E-4</v>
      </c>
      <c r="E53" s="11">
        <v>0.12</v>
      </c>
      <c r="F53" s="11">
        <v>0.1192</v>
      </c>
      <c r="G53" s="10" t="s">
        <v>26</v>
      </c>
      <c r="H53" s="11" t="s">
        <v>26</v>
      </c>
      <c r="I53" s="11" t="s">
        <v>26</v>
      </c>
      <c r="J53" s="11" t="s">
        <v>26</v>
      </c>
      <c r="K53" s="10" t="s">
        <v>26</v>
      </c>
      <c r="L53" s="11" t="s">
        <v>26</v>
      </c>
      <c r="M53" s="11" t="s">
        <v>26</v>
      </c>
      <c r="N53" s="11" t="s">
        <v>26</v>
      </c>
      <c r="O53" s="10">
        <v>142310743.56</v>
      </c>
      <c r="P53" s="11">
        <v>6.3487156528999999E-4</v>
      </c>
      <c r="Q53" s="11">
        <v>0.13500000000000001</v>
      </c>
      <c r="R53" s="11">
        <v>0.13439999999999999</v>
      </c>
      <c r="S53" s="10">
        <v>139666920.34</v>
      </c>
      <c r="T53" s="11">
        <v>1.2581745670299999E-3</v>
      </c>
      <c r="U53" s="11">
        <v>0.12909999999999999</v>
      </c>
      <c r="V53" s="11">
        <v>0.1278</v>
      </c>
      <c r="W53" s="10" t="s">
        <v>26</v>
      </c>
      <c r="X53" s="11" t="s">
        <v>26</v>
      </c>
      <c r="Y53" s="11" t="s">
        <v>26</v>
      </c>
      <c r="Z53" s="11" t="s">
        <v>26</v>
      </c>
      <c r="AA53" s="10">
        <v>50076326</v>
      </c>
      <c r="AB53" s="11">
        <v>3.6222712475999998E-4</v>
      </c>
      <c r="AC53" s="11">
        <v>0.12</v>
      </c>
      <c r="AD53" s="11">
        <v>0.1196</v>
      </c>
      <c r="AE53" s="10">
        <v>337061622.5</v>
      </c>
      <c r="AF53" s="11">
        <v>5.2730135806999996E-4</v>
      </c>
      <c r="AG53" s="11">
        <v>0.13009999999999999</v>
      </c>
      <c r="AH53" s="11">
        <v>0.12959999999999999</v>
      </c>
      <c r="AI53" s="10" t="s">
        <v>26</v>
      </c>
      <c r="AJ53" s="11" t="s">
        <v>26</v>
      </c>
      <c r="AK53" s="11" t="s">
        <v>26</v>
      </c>
      <c r="AL53" s="11" t="s">
        <v>26</v>
      </c>
      <c r="AM53" s="10" t="s">
        <v>26</v>
      </c>
      <c r="AN53" s="11" t="s">
        <v>26</v>
      </c>
      <c r="AO53" s="11" t="s">
        <v>26</v>
      </c>
      <c r="AP53" s="11" t="s">
        <v>26</v>
      </c>
      <c r="AQ53" s="10" t="s">
        <v>26</v>
      </c>
      <c r="AR53" s="11" t="s">
        <v>26</v>
      </c>
      <c r="AS53" s="11" t="s">
        <v>26</v>
      </c>
      <c r="AT53" s="11" t="s">
        <v>26</v>
      </c>
      <c r="AU53" s="10" t="s">
        <v>26</v>
      </c>
      <c r="AV53" s="11" t="s">
        <v>26</v>
      </c>
      <c r="AW53" s="11" t="s">
        <v>26</v>
      </c>
      <c r="AX53" s="11" t="s">
        <v>26</v>
      </c>
      <c r="AY53" s="10">
        <v>337061622.5</v>
      </c>
      <c r="AZ53" s="11">
        <v>4.6479526730999998E-4</v>
      </c>
      <c r="BA53" s="11">
        <v>0.13009999999999999</v>
      </c>
      <c r="BB53" s="11">
        <v>0.12959999999999999</v>
      </c>
    </row>
    <row r="54" spans="1:54" s="7" customFormat="1">
      <c r="A54" s="3" t="s">
        <v>36</v>
      </c>
      <c r="B54" s="31" t="s">
        <v>56</v>
      </c>
      <c r="C54" s="2">
        <v>5007632.5999999996</v>
      </c>
      <c r="D54" s="1">
        <v>1</v>
      </c>
      <c r="E54" s="10" t="s">
        <v>26</v>
      </c>
      <c r="F54" s="11" t="s">
        <v>26</v>
      </c>
      <c r="G54" s="10" t="s">
        <v>26</v>
      </c>
      <c r="H54" s="11" t="s">
        <v>26</v>
      </c>
      <c r="I54" s="11" t="s">
        <v>26</v>
      </c>
      <c r="J54" s="11" t="s">
        <v>26</v>
      </c>
      <c r="K54" s="10" t="s">
        <v>26</v>
      </c>
      <c r="L54" s="11" t="s">
        <v>26</v>
      </c>
      <c r="M54" s="11" t="s">
        <v>26</v>
      </c>
      <c r="N54" s="11" t="s">
        <v>26</v>
      </c>
      <c r="O54" s="10" t="s">
        <v>26</v>
      </c>
      <c r="P54" s="11" t="s">
        <v>26</v>
      </c>
      <c r="Q54" s="11" t="s">
        <v>26</v>
      </c>
      <c r="R54" s="11" t="s">
        <v>26</v>
      </c>
      <c r="S54" s="2">
        <v>55083958.600000001</v>
      </c>
      <c r="T54" s="1">
        <v>0.39439516863339003</v>
      </c>
      <c r="U54" s="11" t="s">
        <v>26</v>
      </c>
      <c r="V54" s="11" t="s">
        <v>26</v>
      </c>
      <c r="W54" s="10" t="s">
        <v>26</v>
      </c>
      <c r="X54" s="11" t="s">
        <v>26</v>
      </c>
      <c r="Y54" s="11" t="s">
        <v>26</v>
      </c>
      <c r="Z54" s="11" t="s">
        <v>26</v>
      </c>
      <c r="AA54" s="2">
        <v>50076326</v>
      </c>
      <c r="AB54" s="1">
        <v>1</v>
      </c>
      <c r="AC54" s="11" t="s">
        <v>26</v>
      </c>
      <c r="AD54" s="11" t="s">
        <v>26</v>
      </c>
      <c r="AE54" s="2">
        <v>110167917.2</v>
      </c>
      <c r="AF54" s="1">
        <v>0.32684800002705999</v>
      </c>
      <c r="AG54" s="11" t="s">
        <v>26</v>
      </c>
      <c r="AH54" s="11" t="s">
        <v>26</v>
      </c>
      <c r="AI54" s="10" t="s">
        <v>26</v>
      </c>
      <c r="AJ54" s="11" t="s">
        <v>26</v>
      </c>
      <c r="AK54" s="11" t="s">
        <v>26</v>
      </c>
      <c r="AL54" s="11" t="s">
        <v>26</v>
      </c>
      <c r="AM54" s="10" t="s">
        <v>26</v>
      </c>
      <c r="AN54" s="11" t="s">
        <v>26</v>
      </c>
      <c r="AO54" s="11" t="s">
        <v>26</v>
      </c>
      <c r="AP54" s="11" t="s">
        <v>26</v>
      </c>
      <c r="AQ54" s="10" t="s">
        <v>26</v>
      </c>
      <c r="AR54" s="11" t="s">
        <v>26</v>
      </c>
      <c r="AS54" s="11" t="s">
        <v>26</v>
      </c>
      <c r="AT54" s="11" t="s">
        <v>26</v>
      </c>
      <c r="AU54" s="10" t="s">
        <v>26</v>
      </c>
      <c r="AV54" s="11" t="s">
        <v>26</v>
      </c>
      <c r="AW54" s="11" t="s">
        <v>26</v>
      </c>
      <c r="AX54" s="11" t="s">
        <v>26</v>
      </c>
      <c r="AY54" s="2">
        <v>110167917.2</v>
      </c>
      <c r="AZ54" s="1">
        <v>0.32684800002705999</v>
      </c>
      <c r="BA54" s="11" t="s">
        <v>26</v>
      </c>
      <c r="BB54" s="11" t="s">
        <v>26</v>
      </c>
    </row>
    <row r="55" spans="1:54" s="7" customFormat="1">
      <c r="A55" s="3" t="s">
        <v>38</v>
      </c>
      <c r="B55" s="31" t="s">
        <v>43</v>
      </c>
      <c r="C55" s="10" t="s">
        <v>26</v>
      </c>
      <c r="D55" s="11" t="s">
        <v>26</v>
      </c>
      <c r="E55" s="10" t="s">
        <v>26</v>
      </c>
      <c r="F55" s="11" t="s">
        <v>26</v>
      </c>
      <c r="G55" s="10" t="s">
        <v>26</v>
      </c>
      <c r="H55" s="11" t="s">
        <v>26</v>
      </c>
      <c r="I55" s="11" t="s">
        <v>26</v>
      </c>
      <c r="J55" s="11" t="s">
        <v>26</v>
      </c>
      <c r="K55" s="10" t="s">
        <v>26</v>
      </c>
      <c r="L55" s="11" t="s">
        <v>26</v>
      </c>
      <c r="M55" s="11" t="s">
        <v>26</v>
      </c>
      <c r="N55" s="11" t="s">
        <v>26</v>
      </c>
      <c r="O55" s="2">
        <v>142310743.56</v>
      </c>
      <c r="P55" s="1">
        <v>1</v>
      </c>
      <c r="Q55" s="11" t="s">
        <v>26</v>
      </c>
      <c r="R55" s="11" t="s">
        <v>26</v>
      </c>
      <c r="S55" s="2">
        <v>84582961.739999995</v>
      </c>
      <c r="T55" s="1">
        <v>0.60560483136661003</v>
      </c>
      <c r="U55" s="11" t="s">
        <v>26</v>
      </c>
      <c r="V55" s="11" t="s">
        <v>26</v>
      </c>
      <c r="W55" s="10" t="s">
        <v>26</v>
      </c>
      <c r="X55" s="11" t="s">
        <v>26</v>
      </c>
      <c r="Y55" s="11" t="s">
        <v>26</v>
      </c>
      <c r="Z55" s="11" t="s">
        <v>26</v>
      </c>
      <c r="AA55" s="10" t="s">
        <v>26</v>
      </c>
      <c r="AB55" s="11" t="s">
        <v>26</v>
      </c>
      <c r="AC55" s="11" t="s">
        <v>26</v>
      </c>
      <c r="AD55" s="11" t="s">
        <v>26</v>
      </c>
      <c r="AE55" s="2">
        <v>226893705.30000001</v>
      </c>
      <c r="AF55" s="1">
        <v>0.67315199997293995</v>
      </c>
      <c r="AG55" s="11" t="s">
        <v>26</v>
      </c>
      <c r="AH55" s="11" t="s">
        <v>26</v>
      </c>
      <c r="AI55" s="10" t="s">
        <v>26</v>
      </c>
      <c r="AJ55" s="11" t="s">
        <v>26</v>
      </c>
      <c r="AK55" s="11" t="s">
        <v>26</v>
      </c>
      <c r="AL55" s="11" t="s">
        <v>26</v>
      </c>
      <c r="AM55" s="10" t="s">
        <v>26</v>
      </c>
      <c r="AN55" s="11" t="s">
        <v>26</v>
      </c>
      <c r="AO55" s="11" t="s">
        <v>26</v>
      </c>
      <c r="AP55" s="11" t="s">
        <v>26</v>
      </c>
      <c r="AQ55" s="10" t="s">
        <v>26</v>
      </c>
      <c r="AR55" s="11" t="s">
        <v>26</v>
      </c>
      <c r="AS55" s="11" t="s">
        <v>26</v>
      </c>
      <c r="AT55" s="11" t="s">
        <v>26</v>
      </c>
      <c r="AU55" s="10" t="s">
        <v>26</v>
      </c>
      <c r="AV55" s="11" t="s">
        <v>26</v>
      </c>
      <c r="AW55" s="11" t="s">
        <v>26</v>
      </c>
      <c r="AX55" s="11" t="s">
        <v>26</v>
      </c>
      <c r="AY55" s="2">
        <v>226893705.30000001</v>
      </c>
      <c r="AZ55" s="1">
        <v>0.67315199997293995</v>
      </c>
      <c r="BA55" s="11" t="s">
        <v>26</v>
      </c>
      <c r="BB55" s="11" t="s">
        <v>26</v>
      </c>
    </row>
    <row r="56" spans="1:54" s="7" customFormat="1">
      <c r="A56" s="5" t="s">
        <v>59</v>
      </c>
      <c r="B56" s="24" t="s">
        <v>25</v>
      </c>
      <c r="C56" s="10" t="s">
        <v>26</v>
      </c>
      <c r="D56" s="11" t="s">
        <v>26</v>
      </c>
      <c r="E56" s="10" t="s">
        <v>26</v>
      </c>
      <c r="F56" s="11" t="s">
        <v>26</v>
      </c>
      <c r="G56" s="10">
        <v>305830776</v>
      </c>
      <c r="H56" s="11">
        <v>2.0335155858700001E-3</v>
      </c>
      <c r="I56" s="11">
        <v>0.12</v>
      </c>
      <c r="J56" s="11">
        <v>0.11799999999999999</v>
      </c>
      <c r="K56" s="10">
        <v>50335533.5</v>
      </c>
      <c r="L56" s="11">
        <v>1.7199406803539999E-2</v>
      </c>
      <c r="M56" s="11">
        <v>0.12</v>
      </c>
      <c r="N56" s="11">
        <v>0.1028</v>
      </c>
      <c r="O56" s="10">
        <v>2228982502</v>
      </c>
      <c r="P56" s="11">
        <v>9.9438564836499994E-3</v>
      </c>
      <c r="Q56" s="11">
        <v>0.12</v>
      </c>
      <c r="R56" s="11">
        <v>0.1101</v>
      </c>
      <c r="S56" s="10">
        <v>619829356.83000004</v>
      </c>
      <c r="T56" s="11">
        <v>5.5836667033300003E-3</v>
      </c>
      <c r="U56" s="11">
        <v>0.1237</v>
      </c>
      <c r="V56" s="11">
        <v>0.1181</v>
      </c>
      <c r="W56" s="10">
        <v>68668126.609999999</v>
      </c>
      <c r="X56" s="11">
        <v>1.110743345748E-2</v>
      </c>
      <c r="Y56" s="11">
        <v>0.1295</v>
      </c>
      <c r="Z56" s="11">
        <v>0.11840000000000001</v>
      </c>
      <c r="AA56" s="10">
        <v>1443590700.6600001</v>
      </c>
      <c r="AB56" s="11">
        <v>1.044221392817E-2</v>
      </c>
      <c r="AC56" s="11">
        <v>0.12</v>
      </c>
      <c r="AD56" s="11">
        <v>0.1096</v>
      </c>
      <c r="AE56" s="10">
        <v>4717236995.6000004</v>
      </c>
      <c r="AF56" s="11">
        <v>7.3796757271600002E-3</v>
      </c>
      <c r="AG56" s="11">
        <v>0.1206</v>
      </c>
      <c r="AH56" s="11">
        <v>0.1132</v>
      </c>
      <c r="AI56" s="10">
        <v>324032823.19</v>
      </c>
      <c r="AJ56" s="11">
        <v>1.8969287315859999E-2</v>
      </c>
      <c r="AK56" s="11">
        <v>0.13139999999999999</v>
      </c>
      <c r="AL56" s="11">
        <v>0.1124</v>
      </c>
      <c r="AM56" s="10">
        <v>269033220.14999998</v>
      </c>
      <c r="AN56" s="11">
        <v>1.128660608282E-2</v>
      </c>
      <c r="AO56" s="11">
        <v>0.12570000000000001</v>
      </c>
      <c r="AP56" s="11">
        <v>0.1144</v>
      </c>
      <c r="AQ56" s="10">
        <v>593066043.34000003</v>
      </c>
      <c r="AR56" s="11">
        <v>1.44938454254E-2</v>
      </c>
      <c r="AS56" s="11">
        <v>0.1288</v>
      </c>
      <c r="AT56" s="11">
        <v>0.1143</v>
      </c>
      <c r="AU56" s="10">
        <v>503326086.94</v>
      </c>
      <c r="AV56" s="11">
        <v>1.117399280235E-2</v>
      </c>
      <c r="AW56" s="11">
        <v>0.13200000000000001</v>
      </c>
      <c r="AX56" s="11">
        <v>0.1208</v>
      </c>
      <c r="AY56" s="10">
        <v>5813629125.8800001</v>
      </c>
      <c r="AZ56" s="11">
        <v>8.0167753407999996E-3</v>
      </c>
      <c r="BA56" s="11">
        <v>0.12239999999999999</v>
      </c>
      <c r="BB56" s="11">
        <v>0.1144</v>
      </c>
    </row>
    <row r="57" spans="1:54" s="7" customFormat="1">
      <c r="A57" s="3" t="s">
        <v>36</v>
      </c>
      <c r="B57" s="31" t="s">
        <v>56</v>
      </c>
      <c r="C57" s="10" t="s">
        <v>26</v>
      </c>
      <c r="D57" s="11" t="s">
        <v>26</v>
      </c>
      <c r="E57" s="10" t="s">
        <v>26</v>
      </c>
      <c r="F57" s="11" t="s">
        <v>26</v>
      </c>
      <c r="G57" s="2">
        <v>305830776</v>
      </c>
      <c r="H57" s="1">
        <v>1</v>
      </c>
      <c r="I57" s="11" t="s">
        <v>26</v>
      </c>
      <c r="J57" s="11" t="s">
        <v>26</v>
      </c>
      <c r="K57" s="2">
        <v>50335533.5</v>
      </c>
      <c r="L57" s="1">
        <v>1</v>
      </c>
      <c r="M57" s="11" t="s">
        <v>26</v>
      </c>
      <c r="N57" s="11" t="s">
        <v>26</v>
      </c>
      <c r="O57" s="2">
        <v>2228982502</v>
      </c>
      <c r="P57" s="1">
        <v>1</v>
      </c>
      <c r="Q57" s="11" t="s">
        <v>26</v>
      </c>
      <c r="R57" s="11" t="s">
        <v>26</v>
      </c>
      <c r="S57" s="2">
        <v>543623761.79999995</v>
      </c>
      <c r="T57" s="1">
        <v>0.87705391138661004</v>
      </c>
      <c r="U57" s="11" t="s">
        <v>26</v>
      </c>
      <c r="V57" s="11" t="s">
        <v>26</v>
      </c>
      <c r="W57" s="2">
        <v>46919918.219999999</v>
      </c>
      <c r="X57" s="1">
        <v>0.68328525236287996</v>
      </c>
      <c r="Y57" s="11" t="s">
        <v>25</v>
      </c>
      <c r="Z57" s="11" t="s">
        <v>25</v>
      </c>
      <c r="AA57" s="2">
        <v>1443590700.6600001</v>
      </c>
      <c r="AB57" s="1">
        <v>1</v>
      </c>
      <c r="AC57" s="11" t="s">
        <v>26</v>
      </c>
      <c r="AD57" s="11" t="s">
        <v>26</v>
      </c>
      <c r="AE57" s="2">
        <v>4619283192.1800003</v>
      </c>
      <c r="AF57" s="1">
        <v>0.97923492003658996</v>
      </c>
      <c r="AG57" s="11" t="s">
        <v>26</v>
      </c>
      <c r="AH57" s="11" t="s">
        <v>26</v>
      </c>
      <c r="AI57" s="2">
        <v>201342134</v>
      </c>
      <c r="AJ57" s="1">
        <v>0.62136339157820997</v>
      </c>
      <c r="AK57" s="11" t="s">
        <v>26</v>
      </c>
      <c r="AL57" s="11" t="s">
        <v>26</v>
      </c>
      <c r="AM57" s="2">
        <v>218154202.19</v>
      </c>
      <c r="AN57" s="1">
        <v>0.81088202441456003</v>
      </c>
      <c r="AO57" s="11" t="s">
        <v>26</v>
      </c>
      <c r="AP57" s="11" t="s">
        <v>26</v>
      </c>
      <c r="AQ57" s="2">
        <v>419496336.19</v>
      </c>
      <c r="AR57" s="1">
        <v>0.70733494338589997</v>
      </c>
      <c r="AS57" s="11" t="s">
        <v>26</v>
      </c>
      <c r="AT57" s="11" t="s">
        <v>26</v>
      </c>
      <c r="AU57" s="2">
        <v>302013201</v>
      </c>
      <c r="AV57" s="1">
        <v>0.60003486573903997</v>
      </c>
      <c r="AW57" s="11" t="s">
        <v>26</v>
      </c>
      <c r="AX57" s="11" t="s">
        <v>26</v>
      </c>
      <c r="AY57" s="2">
        <v>5340792729.3699999</v>
      </c>
      <c r="AZ57" s="1">
        <v>0.91866760223745003</v>
      </c>
      <c r="BA57" s="11" t="s">
        <v>26</v>
      </c>
      <c r="BB57" s="11" t="s">
        <v>26</v>
      </c>
    </row>
    <row r="58" spans="1:54" s="7" customFormat="1">
      <c r="A58" s="3" t="s">
        <v>38</v>
      </c>
      <c r="B58" s="31" t="s">
        <v>39</v>
      </c>
      <c r="C58" s="10" t="s">
        <v>26</v>
      </c>
      <c r="D58" s="11" t="s">
        <v>26</v>
      </c>
      <c r="E58" s="10" t="s">
        <v>26</v>
      </c>
      <c r="F58" s="11" t="s">
        <v>26</v>
      </c>
      <c r="G58" s="10" t="s">
        <v>26</v>
      </c>
      <c r="H58" s="11" t="s">
        <v>26</v>
      </c>
      <c r="I58" s="11" t="s">
        <v>26</v>
      </c>
      <c r="J58" s="11" t="s">
        <v>26</v>
      </c>
      <c r="K58" s="10" t="s">
        <v>26</v>
      </c>
      <c r="L58" s="11" t="s">
        <v>26</v>
      </c>
      <c r="M58" s="11" t="s">
        <v>26</v>
      </c>
      <c r="N58" s="11" t="s">
        <v>26</v>
      </c>
      <c r="O58" s="10" t="s">
        <v>26</v>
      </c>
      <c r="P58" s="11" t="s">
        <v>26</v>
      </c>
      <c r="Q58" s="11" t="s">
        <v>26</v>
      </c>
      <c r="R58" s="11" t="s">
        <v>26</v>
      </c>
      <c r="S58" s="2">
        <v>76205595.030000001</v>
      </c>
      <c r="T58" s="1">
        <v>0.12294608861339</v>
      </c>
      <c r="U58" s="11" t="s">
        <v>26</v>
      </c>
      <c r="V58" s="11" t="s">
        <v>26</v>
      </c>
      <c r="W58" s="2">
        <v>21748208.390000001</v>
      </c>
      <c r="X58" s="1">
        <v>0.31671474763711999</v>
      </c>
      <c r="Y58" s="11" t="s">
        <v>25</v>
      </c>
      <c r="Z58" s="11" t="s">
        <v>25</v>
      </c>
      <c r="AA58" s="10" t="s">
        <v>26</v>
      </c>
      <c r="AB58" s="11" t="s">
        <v>26</v>
      </c>
      <c r="AC58" s="11" t="s">
        <v>26</v>
      </c>
      <c r="AD58" s="11" t="s">
        <v>26</v>
      </c>
      <c r="AE58" s="2">
        <v>97953803.420000002</v>
      </c>
      <c r="AF58" s="1">
        <v>2.076507996341E-2</v>
      </c>
      <c r="AG58" s="11" t="s">
        <v>26</v>
      </c>
      <c r="AH58" s="11" t="s">
        <v>26</v>
      </c>
      <c r="AI58" s="2">
        <v>122690689.19</v>
      </c>
      <c r="AJ58" s="1">
        <v>0.37863660842178998</v>
      </c>
      <c r="AK58" s="11" t="s">
        <v>26</v>
      </c>
      <c r="AL58" s="11" t="s">
        <v>26</v>
      </c>
      <c r="AM58" s="2">
        <v>50879017.960000001</v>
      </c>
      <c r="AN58" s="1">
        <v>0.18911797558544</v>
      </c>
      <c r="AO58" s="11" t="s">
        <v>26</v>
      </c>
      <c r="AP58" s="11" t="s">
        <v>26</v>
      </c>
      <c r="AQ58" s="2">
        <v>173569707.15000001</v>
      </c>
      <c r="AR58" s="1">
        <v>0.29266505661410003</v>
      </c>
      <c r="AS58" s="11" t="s">
        <v>26</v>
      </c>
      <c r="AT58" s="11" t="s">
        <v>26</v>
      </c>
      <c r="AU58" s="2">
        <v>201312885.94</v>
      </c>
      <c r="AV58" s="1">
        <v>0.39996513426095998</v>
      </c>
      <c r="AW58" s="11" t="s">
        <v>26</v>
      </c>
      <c r="AX58" s="11" t="s">
        <v>26</v>
      </c>
      <c r="AY58" s="2">
        <v>472836396.50999999</v>
      </c>
      <c r="AZ58" s="1">
        <v>8.1332397762549996E-2</v>
      </c>
      <c r="BA58" s="11" t="s">
        <v>26</v>
      </c>
      <c r="BB58" s="11" t="s">
        <v>26</v>
      </c>
    </row>
    <row r="59" spans="1:54" s="7" customFormat="1">
      <c r="A59" s="13" t="s">
        <v>60</v>
      </c>
      <c r="B59" s="25" t="s">
        <v>25</v>
      </c>
      <c r="C59" s="55">
        <v>89210520.390000001</v>
      </c>
      <c r="D59" s="56">
        <v>1.414637526634E-2</v>
      </c>
      <c r="E59" s="56" t="s">
        <v>26</v>
      </c>
      <c r="F59" s="56" t="s">
        <v>26</v>
      </c>
      <c r="G59" s="56" t="s">
        <v>26</v>
      </c>
      <c r="H59" s="56" t="s">
        <v>26</v>
      </c>
      <c r="I59" s="56" t="s">
        <v>26</v>
      </c>
      <c r="J59" s="56" t="s">
        <v>26</v>
      </c>
      <c r="K59" s="55">
        <v>9344521.4900000002</v>
      </c>
      <c r="L59" s="56">
        <v>3.1929775114200002E-3</v>
      </c>
      <c r="M59" s="56" t="s">
        <v>26</v>
      </c>
      <c r="N59" s="56" t="s">
        <v>26</v>
      </c>
      <c r="O59" s="55">
        <v>72503121.379999995</v>
      </c>
      <c r="P59" s="56">
        <v>3.2344831463E-4</v>
      </c>
      <c r="Q59" s="56" t="s">
        <v>26</v>
      </c>
      <c r="R59" s="56" t="s">
        <v>26</v>
      </c>
      <c r="S59" s="55">
        <v>41592314.369999997</v>
      </c>
      <c r="T59" s="56">
        <v>3.7467993134000002E-4</v>
      </c>
      <c r="U59" s="56" t="s">
        <v>26</v>
      </c>
      <c r="V59" s="56" t="s">
        <v>26</v>
      </c>
      <c r="W59" s="56" t="s">
        <v>26</v>
      </c>
      <c r="X59" s="56" t="s">
        <v>26</v>
      </c>
      <c r="Y59" s="56" t="s">
        <v>26</v>
      </c>
      <c r="Z59" s="56" t="s">
        <v>26</v>
      </c>
      <c r="AA59" s="55">
        <v>127061939.14</v>
      </c>
      <c r="AB59" s="56">
        <v>9.1910258914000001E-4</v>
      </c>
      <c r="AC59" s="56" t="s">
        <v>26</v>
      </c>
      <c r="AD59" s="56" t="s">
        <v>26</v>
      </c>
      <c r="AE59" s="55">
        <v>339712416.76999998</v>
      </c>
      <c r="AF59" s="56">
        <v>5.3144827758000001E-4</v>
      </c>
      <c r="AG59" s="56" t="s">
        <v>26</v>
      </c>
      <c r="AH59" s="56" t="s">
        <v>26</v>
      </c>
      <c r="AI59" s="56" t="s">
        <v>26</v>
      </c>
      <c r="AJ59" s="56" t="s">
        <v>26</v>
      </c>
      <c r="AK59" s="56" t="s">
        <v>26</v>
      </c>
      <c r="AL59" s="56" t="s">
        <v>26</v>
      </c>
      <c r="AM59" s="56" t="s">
        <v>26</v>
      </c>
      <c r="AN59" s="56" t="s">
        <v>26</v>
      </c>
      <c r="AO59" s="56" t="s">
        <v>26</v>
      </c>
      <c r="AP59" s="56" t="s">
        <v>26</v>
      </c>
      <c r="AQ59" s="56" t="s">
        <v>26</v>
      </c>
      <c r="AR59" s="56" t="s">
        <v>26</v>
      </c>
      <c r="AS59" s="56" t="s">
        <v>26</v>
      </c>
      <c r="AT59" s="56" t="s">
        <v>26</v>
      </c>
      <c r="AU59" s="55">
        <v>62571775.939999998</v>
      </c>
      <c r="AV59" s="56">
        <v>1.38911252988E-3</v>
      </c>
      <c r="AW59" s="56" t="s">
        <v>26</v>
      </c>
      <c r="AX59" s="56" t="s">
        <v>26</v>
      </c>
      <c r="AY59" s="55">
        <v>402284192.70999998</v>
      </c>
      <c r="AZ59" s="56">
        <v>5.5473473217999998E-4</v>
      </c>
      <c r="BA59" s="56" t="s">
        <v>26</v>
      </c>
      <c r="BB59" s="56" t="s">
        <v>26</v>
      </c>
    </row>
    <row r="60" spans="1:54" s="7" customFormat="1">
      <c r="A60" s="5" t="s">
        <v>61</v>
      </c>
      <c r="B60" s="24" t="s">
        <v>25</v>
      </c>
      <c r="C60" s="10">
        <v>49272949.049999997</v>
      </c>
      <c r="D60" s="11">
        <v>7.8133568181499996E-3</v>
      </c>
      <c r="E60" s="11">
        <v>0.09</v>
      </c>
      <c r="F60" s="11">
        <v>8.2199999999999995E-2</v>
      </c>
      <c r="G60" s="10" t="s">
        <v>26</v>
      </c>
      <c r="H60" s="11" t="s">
        <v>26</v>
      </c>
      <c r="I60" s="11" t="s">
        <v>26</v>
      </c>
      <c r="J60" s="11" t="s">
        <v>26</v>
      </c>
      <c r="K60" s="10" t="s">
        <v>26</v>
      </c>
      <c r="L60" s="11" t="s">
        <v>26</v>
      </c>
      <c r="M60" s="11" t="s">
        <v>26</v>
      </c>
      <c r="N60" s="11" t="s">
        <v>26</v>
      </c>
      <c r="O60" s="10" t="s">
        <v>26</v>
      </c>
      <c r="P60" s="11" t="s">
        <v>26</v>
      </c>
      <c r="Q60" s="11" t="s">
        <v>26</v>
      </c>
      <c r="R60" s="11" t="s">
        <v>26</v>
      </c>
      <c r="S60" s="10" t="s">
        <v>26</v>
      </c>
      <c r="T60" s="11" t="s">
        <v>26</v>
      </c>
      <c r="U60" s="11" t="s">
        <v>26</v>
      </c>
      <c r="V60" s="11" t="s">
        <v>26</v>
      </c>
      <c r="W60" s="10" t="s">
        <v>26</v>
      </c>
      <c r="X60" s="11" t="s">
        <v>26</v>
      </c>
      <c r="Y60" s="11" t="s">
        <v>26</v>
      </c>
      <c r="Z60" s="11" t="s">
        <v>26</v>
      </c>
      <c r="AA60" s="10" t="s">
        <v>26</v>
      </c>
      <c r="AB60" s="11" t="s">
        <v>26</v>
      </c>
      <c r="AC60" s="11" t="s">
        <v>26</v>
      </c>
      <c r="AD60" s="11" t="s">
        <v>26</v>
      </c>
      <c r="AE60" s="10">
        <v>49272949.049999997</v>
      </c>
      <c r="AF60" s="11">
        <v>7.7082916640000006E-5</v>
      </c>
      <c r="AG60" s="11">
        <v>0.09</v>
      </c>
      <c r="AH60" s="11">
        <v>8.9899999999999994E-2</v>
      </c>
      <c r="AI60" s="10" t="s">
        <v>26</v>
      </c>
      <c r="AJ60" s="11" t="s">
        <v>26</v>
      </c>
      <c r="AK60" s="11" t="s">
        <v>26</v>
      </c>
      <c r="AL60" s="11" t="s">
        <v>26</v>
      </c>
      <c r="AM60" s="10" t="s">
        <v>26</v>
      </c>
      <c r="AN60" s="11" t="s">
        <v>26</v>
      </c>
      <c r="AO60" s="11" t="s">
        <v>26</v>
      </c>
      <c r="AP60" s="11" t="s">
        <v>26</v>
      </c>
      <c r="AQ60" s="10" t="s">
        <v>26</v>
      </c>
      <c r="AR60" s="11" t="s">
        <v>26</v>
      </c>
      <c r="AS60" s="11" t="s">
        <v>26</v>
      </c>
      <c r="AT60" s="11" t="s">
        <v>26</v>
      </c>
      <c r="AU60" s="10" t="s">
        <v>26</v>
      </c>
      <c r="AV60" s="11" t="s">
        <v>26</v>
      </c>
      <c r="AW60" s="11" t="s">
        <v>26</v>
      </c>
      <c r="AX60" s="11" t="s">
        <v>26</v>
      </c>
      <c r="AY60" s="10">
        <v>49272949.049999997</v>
      </c>
      <c r="AZ60" s="11">
        <v>6.7945538729999997E-5</v>
      </c>
      <c r="BA60" s="11">
        <v>0.09</v>
      </c>
      <c r="BB60" s="11">
        <v>8.9899999999999994E-2</v>
      </c>
    </row>
    <row r="61" spans="1:54" s="7" customFormat="1">
      <c r="A61" s="3" t="s">
        <v>36</v>
      </c>
      <c r="B61" s="31" t="s">
        <v>46</v>
      </c>
      <c r="C61" s="2">
        <v>49272949.049999997</v>
      </c>
      <c r="D61" s="1">
        <v>1</v>
      </c>
      <c r="E61" s="10" t="s">
        <v>26</v>
      </c>
      <c r="F61" s="11" t="s">
        <v>26</v>
      </c>
      <c r="G61" s="10" t="s">
        <v>26</v>
      </c>
      <c r="H61" s="11" t="s">
        <v>26</v>
      </c>
      <c r="I61" s="11" t="s">
        <v>26</v>
      </c>
      <c r="J61" s="11" t="s">
        <v>26</v>
      </c>
      <c r="K61" s="10" t="s">
        <v>26</v>
      </c>
      <c r="L61" s="11" t="s">
        <v>26</v>
      </c>
      <c r="M61" s="11" t="s">
        <v>26</v>
      </c>
      <c r="N61" s="11" t="s">
        <v>26</v>
      </c>
      <c r="O61" s="10" t="s">
        <v>26</v>
      </c>
      <c r="P61" s="11" t="s">
        <v>26</v>
      </c>
      <c r="Q61" s="11" t="s">
        <v>26</v>
      </c>
      <c r="R61" s="11" t="s">
        <v>26</v>
      </c>
      <c r="S61" s="10" t="s">
        <v>26</v>
      </c>
      <c r="T61" s="11" t="s">
        <v>26</v>
      </c>
      <c r="U61" s="11" t="s">
        <v>26</v>
      </c>
      <c r="V61" s="11" t="s">
        <v>26</v>
      </c>
      <c r="W61" s="10" t="s">
        <v>26</v>
      </c>
      <c r="X61" s="11" t="s">
        <v>26</v>
      </c>
      <c r="Y61" s="11" t="s">
        <v>26</v>
      </c>
      <c r="Z61" s="11" t="s">
        <v>26</v>
      </c>
      <c r="AA61" s="10" t="s">
        <v>26</v>
      </c>
      <c r="AB61" s="11" t="s">
        <v>26</v>
      </c>
      <c r="AC61" s="11" t="s">
        <v>26</v>
      </c>
      <c r="AD61" s="11" t="s">
        <v>26</v>
      </c>
      <c r="AE61" s="2">
        <v>49272949.049999997</v>
      </c>
      <c r="AF61" s="1">
        <v>1</v>
      </c>
      <c r="AG61" s="11" t="s">
        <v>26</v>
      </c>
      <c r="AH61" s="11" t="s">
        <v>26</v>
      </c>
      <c r="AI61" s="10" t="s">
        <v>26</v>
      </c>
      <c r="AJ61" s="11" t="s">
        <v>26</v>
      </c>
      <c r="AK61" s="11" t="s">
        <v>26</v>
      </c>
      <c r="AL61" s="11" t="s">
        <v>26</v>
      </c>
      <c r="AM61" s="10" t="s">
        <v>26</v>
      </c>
      <c r="AN61" s="11" t="s">
        <v>26</v>
      </c>
      <c r="AO61" s="11" t="s">
        <v>26</v>
      </c>
      <c r="AP61" s="11" t="s">
        <v>26</v>
      </c>
      <c r="AQ61" s="10" t="s">
        <v>26</v>
      </c>
      <c r="AR61" s="11" t="s">
        <v>26</v>
      </c>
      <c r="AS61" s="11" t="s">
        <v>26</v>
      </c>
      <c r="AT61" s="11" t="s">
        <v>26</v>
      </c>
      <c r="AU61" s="10" t="s">
        <v>26</v>
      </c>
      <c r="AV61" s="11" t="s">
        <v>26</v>
      </c>
      <c r="AW61" s="11" t="s">
        <v>26</v>
      </c>
      <c r="AX61" s="11" t="s">
        <v>26</v>
      </c>
      <c r="AY61" s="2">
        <v>49272949.049999997</v>
      </c>
      <c r="AZ61" s="1">
        <v>1</v>
      </c>
      <c r="BA61" s="11" t="s">
        <v>26</v>
      </c>
      <c r="BB61" s="11" t="s">
        <v>26</v>
      </c>
    </row>
    <row r="62" spans="1:54" s="7" customFormat="1">
      <c r="A62" s="5" t="s">
        <v>62</v>
      </c>
      <c r="B62" s="24" t="s">
        <v>25</v>
      </c>
      <c r="C62" s="10">
        <v>17863085.940000001</v>
      </c>
      <c r="D62" s="11">
        <v>2.8326022089899998E-3</v>
      </c>
      <c r="E62" s="11">
        <v>0.12</v>
      </c>
      <c r="F62" s="11">
        <v>0.1172</v>
      </c>
      <c r="G62" s="10" t="s">
        <v>26</v>
      </c>
      <c r="H62" s="11" t="s">
        <v>26</v>
      </c>
      <c r="I62" s="11" t="s">
        <v>26</v>
      </c>
      <c r="J62" s="11" t="s">
        <v>26</v>
      </c>
      <c r="K62" s="10" t="s">
        <v>26</v>
      </c>
      <c r="L62" s="11" t="s">
        <v>26</v>
      </c>
      <c r="M62" s="11" t="s">
        <v>26</v>
      </c>
      <c r="N62" s="11" t="s">
        <v>26</v>
      </c>
      <c r="O62" s="10" t="s">
        <v>26</v>
      </c>
      <c r="P62" s="11" t="s">
        <v>26</v>
      </c>
      <c r="Q62" s="11" t="s">
        <v>26</v>
      </c>
      <c r="R62" s="11" t="s">
        <v>26</v>
      </c>
      <c r="S62" s="10" t="s">
        <v>26</v>
      </c>
      <c r="T62" s="11" t="s">
        <v>26</v>
      </c>
      <c r="U62" s="11" t="s">
        <v>26</v>
      </c>
      <c r="V62" s="11" t="s">
        <v>26</v>
      </c>
      <c r="W62" s="10" t="s">
        <v>26</v>
      </c>
      <c r="X62" s="11" t="s">
        <v>26</v>
      </c>
      <c r="Y62" s="11" t="s">
        <v>26</v>
      </c>
      <c r="Z62" s="11" t="s">
        <v>26</v>
      </c>
      <c r="AA62" s="10">
        <v>91933644.269999996</v>
      </c>
      <c r="AB62" s="11">
        <v>6.6500205371999995E-4</v>
      </c>
      <c r="AC62" s="11">
        <v>0.13500000000000001</v>
      </c>
      <c r="AD62" s="11">
        <v>0.1343</v>
      </c>
      <c r="AE62" s="10">
        <v>109796730.20999999</v>
      </c>
      <c r="AF62" s="11">
        <v>1.71766707E-4</v>
      </c>
      <c r="AG62" s="11">
        <v>0.1326</v>
      </c>
      <c r="AH62" s="11">
        <v>0.13239999999999999</v>
      </c>
      <c r="AI62" s="10" t="s">
        <v>26</v>
      </c>
      <c r="AJ62" s="11" t="s">
        <v>26</v>
      </c>
      <c r="AK62" s="11" t="s">
        <v>26</v>
      </c>
      <c r="AL62" s="11" t="s">
        <v>26</v>
      </c>
      <c r="AM62" s="10" t="s">
        <v>26</v>
      </c>
      <c r="AN62" s="11" t="s">
        <v>26</v>
      </c>
      <c r="AO62" s="11" t="s">
        <v>26</v>
      </c>
      <c r="AP62" s="11" t="s">
        <v>26</v>
      </c>
      <c r="AQ62" s="10" t="s">
        <v>26</v>
      </c>
      <c r="AR62" s="11" t="s">
        <v>26</v>
      </c>
      <c r="AS62" s="11" t="s">
        <v>26</v>
      </c>
      <c r="AT62" s="11" t="s">
        <v>26</v>
      </c>
      <c r="AU62" s="10" t="s">
        <v>26</v>
      </c>
      <c r="AV62" s="11" t="s">
        <v>26</v>
      </c>
      <c r="AW62" s="11" t="s">
        <v>26</v>
      </c>
      <c r="AX62" s="11" t="s">
        <v>26</v>
      </c>
      <c r="AY62" s="10">
        <v>109796730.20999999</v>
      </c>
      <c r="AZ62" s="11">
        <v>1.5140555067999999E-4</v>
      </c>
      <c r="BA62" s="11">
        <v>0.1326</v>
      </c>
      <c r="BB62" s="11">
        <v>0.13239999999999999</v>
      </c>
    </row>
    <row r="63" spans="1:54" s="7" customFormat="1">
      <c r="A63" s="3" t="s">
        <v>36</v>
      </c>
      <c r="B63" s="31" t="s">
        <v>56</v>
      </c>
      <c r="C63" s="2">
        <v>17863085.940000001</v>
      </c>
      <c r="D63" s="1">
        <v>1</v>
      </c>
      <c r="E63" s="10" t="s">
        <v>26</v>
      </c>
      <c r="F63" s="11" t="s">
        <v>26</v>
      </c>
      <c r="G63" s="10" t="s">
        <v>26</v>
      </c>
      <c r="H63" s="11" t="s">
        <v>26</v>
      </c>
      <c r="I63" s="11" t="s">
        <v>26</v>
      </c>
      <c r="J63" s="11" t="s">
        <v>26</v>
      </c>
      <c r="K63" s="10" t="s">
        <v>26</v>
      </c>
      <c r="L63" s="11" t="s">
        <v>26</v>
      </c>
      <c r="M63" s="11" t="s">
        <v>26</v>
      </c>
      <c r="N63" s="11" t="s">
        <v>26</v>
      </c>
      <c r="O63" s="10" t="s">
        <v>26</v>
      </c>
      <c r="P63" s="11" t="s">
        <v>26</v>
      </c>
      <c r="Q63" s="11" t="s">
        <v>26</v>
      </c>
      <c r="R63" s="11" t="s">
        <v>26</v>
      </c>
      <c r="S63" s="10" t="s">
        <v>26</v>
      </c>
      <c r="T63" s="11" t="s">
        <v>26</v>
      </c>
      <c r="U63" s="11" t="s">
        <v>26</v>
      </c>
      <c r="V63" s="11" t="s">
        <v>26</v>
      </c>
      <c r="W63" s="10" t="s">
        <v>26</v>
      </c>
      <c r="X63" s="11" t="s">
        <v>26</v>
      </c>
      <c r="Y63" s="11" t="s">
        <v>26</v>
      </c>
      <c r="Z63" s="11" t="s">
        <v>26</v>
      </c>
      <c r="AA63" s="10" t="s">
        <v>26</v>
      </c>
      <c r="AB63" s="11" t="s">
        <v>26</v>
      </c>
      <c r="AC63" s="11" t="s">
        <v>26</v>
      </c>
      <c r="AD63" s="11" t="s">
        <v>26</v>
      </c>
      <c r="AE63" s="2">
        <v>17863085.940000001</v>
      </c>
      <c r="AF63" s="1">
        <v>0.16269233068995001</v>
      </c>
      <c r="AG63" s="11" t="s">
        <v>26</v>
      </c>
      <c r="AH63" s="11" t="s">
        <v>26</v>
      </c>
      <c r="AI63" s="10" t="s">
        <v>26</v>
      </c>
      <c r="AJ63" s="11" t="s">
        <v>26</v>
      </c>
      <c r="AK63" s="11" t="s">
        <v>26</v>
      </c>
      <c r="AL63" s="11" t="s">
        <v>26</v>
      </c>
      <c r="AM63" s="10" t="s">
        <v>26</v>
      </c>
      <c r="AN63" s="11" t="s">
        <v>26</v>
      </c>
      <c r="AO63" s="11" t="s">
        <v>26</v>
      </c>
      <c r="AP63" s="11" t="s">
        <v>26</v>
      </c>
      <c r="AQ63" s="10" t="s">
        <v>26</v>
      </c>
      <c r="AR63" s="11" t="s">
        <v>26</v>
      </c>
      <c r="AS63" s="11" t="s">
        <v>26</v>
      </c>
      <c r="AT63" s="11" t="s">
        <v>26</v>
      </c>
      <c r="AU63" s="10" t="s">
        <v>26</v>
      </c>
      <c r="AV63" s="11" t="s">
        <v>26</v>
      </c>
      <c r="AW63" s="11" t="s">
        <v>26</v>
      </c>
      <c r="AX63" s="11" t="s">
        <v>26</v>
      </c>
      <c r="AY63" s="2">
        <v>17863085.940000001</v>
      </c>
      <c r="AZ63" s="1">
        <v>0.16269233068995001</v>
      </c>
      <c r="BA63" s="11" t="s">
        <v>26</v>
      </c>
      <c r="BB63" s="11" t="s">
        <v>26</v>
      </c>
    </row>
    <row r="64" spans="1:54" s="7" customFormat="1">
      <c r="A64" s="3" t="s">
        <v>38</v>
      </c>
      <c r="B64" s="31" t="s">
        <v>43</v>
      </c>
      <c r="C64" s="10" t="s">
        <v>26</v>
      </c>
      <c r="D64" s="11" t="s">
        <v>26</v>
      </c>
      <c r="E64" s="10" t="s">
        <v>26</v>
      </c>
      <c r="F64" s="11" t="s">
        <v>26</v>
      </c>
      <c r="G64" s="10" t="s">
        <v>26</v>
      </c>
      <c r="H64" s="11" t="s">
        <v>26</v>
      </c>
      <c r="I64" s="11" t="s">
        <v>26</v>
      </c>
      <c r="J64" s="11" t="s">
        <v>26</v>
      </c>
      <c r="K64" s="10" t="s">
        <v>26</v>
      </c>
      <c r="L64" s="11" t="s">
        <v>26</v>
      </c>
      <c r="M64" s="11" t="s">
        <v>26</v>
      </c>
      <c r="N64" s="11" t="s">
        <v>26</v>
      </c>
      <c r="O64" s="10" t="s">
        <v>26</v>
      </c>
      <c r="P64" s="11" t="s">
        <v>26</v>
      </c>
      <c r="Q64" s="11" t="s">
        <v>26</v>
      </c>
      <c r="R64" s="11" t="s">
        <v>26</v>
      </c>
      <c r="S64" s="10" t="s">
        <v>26</v>
      </c>
      <c r="T64" s="11" t="s">
        <v>26</v>
      </c>
      <c r="U64" s="11" t="s">
        <v>26</v>
      </c>
      <c r="V64" s="11" t="s">
        <v>26</v>
      </c>
      <c r="W64" s="10" t="s">
        <v>26</v>
      </c>
      <c r="X64" s="11" t="s">
        <v>26</v>
      </c>
      <c r="Y64" s="11" t="s">
        <v>26</v>
      </c>
      <c r="Z64" s="11" t="s">
        <v>26</v>
      </c>
      <c r="AA64" s="2">
        <v>91933644.269999996</v>
      </c>
      <c r="AB64" s="1">
        <v>1</v>
      </c>
      <c r="AC64" s="11" t="s">
        <v>26</v>
      </c>
      <c r="AD64" s="11" t="s">
        <v>26</v>
      </c>
      <c r="AE64" s="2">
        <v>91933644.269999996</v>
      </c>
      <c r="AF64" s="1">
        <v>0.83730766931005995</v>
      </c>
      <c r="AG64" s="11" t="s">
        <v>26</v>
      </c>
      <c r="AH64" s="11" t="s">
        <v>26</v>
      </c>
      <c r="AI64" s="10" t="s">
        <v>26</v>
      </c>
      <c r="AJ64" s="11" t="s">
        <v>26</v>
      </c>
      <c r="AK64" s="11" t="s">
        <v>26</v>
      </c>
      <c r="AL64" s="11" t="s">
        <v>26</v>
      </c>
      <c r="AM64" s="10" t="s">
        <v>26</v>
      </c>
      <c r="AN64" s="11" t="s">
        <v>26</v>
      </c>
      <c r="AO64" s="11" t="s">
        <v>26</v>
      </c>
      <c r="AP64" s="11" t="s">
        <v>26</v>
      </c>
      <c r="AQ64" s="10" t="s">
        <v>26</v>
      </c>
      <c r="AR64" s="11" t="s">
        <v>26</v>
      </c>
      <c r="AS64" s="11" t="s">
        <v>26</v>
      </c>
      <c r="AT64" s="11" t="s">
        <v>26</v>
      </c>
      <c r="AU64" s="10" t="s">
        <v>26</v>
      </c>
      <c r="AV64" s="11" t="s">
        <v>26</v>
      </c>
      <c r="AW64" s="11" t="s">
        <v>26</v>
      </c>
      <c r="AX64" s="11" t="s">
        <v>26</v>
      </c>
      <c r="AY64" s="2">
        <v>91933644.269999996</v>
      </c>
      <c r="AZ64" s="1">
        <v>0.83730766931005995</v>
      </c>
      <c r="BA64" s="11" t="s">
        <v>26</v>
      </c>
      <c r="BB64" s="11" t="s">
        <v>26</v>
      </c>
    </row>
    <row r="65" spans="1:54" s="7" customFormat="1">
      <c r="A65" s="5" t="s">
        <v>63</v>
      </c>
      <c r="B65" s="24" t="s">
        <v>25</v>
      </c>
      <c r="C65" s="10">
        <v>22074485.399999999</v>
      </c>
      <c r="D65" s="11">
        <v>3.50041623919E-3</v>
      </c>
      <c r="E65" s="11">
        <v>0.12</v>
      </c>
      <c r="F65" s="11">
        <v>0.11650000000000001</v>
      </c>
      <c r="G65" s="10" t="s">
        <v>26</v>
      </c>
      <c r="H65" s="11" t="s">
        <v>26</v>
      </c>
      <c r="I65" s="11" t="s">
        <v>26</v>
      </c>
      <c r="J65" s="11" t="s">
        <v>26</v>
      </c>
      <c r="K65" s="10" t="s">
        <v>26</v>
      </c>
      <c r="L65" s="11" t="s">
        <v>26</v>
      </c>
      <c r="M65" s="11" t="s">
        <v>26</v>
      </c>
      <c r="N65" s="11" t="s">
        <v>26</v>
      </c>
      <c r="O65" s="10" t="s">
        <v>26</v>
      </c>
      <c r="P65" s="11" t="s">
        <v>26</v>
      </c>
      <c r="Q65" s="11" t="s">
        <v>26</v>
      </c>
      <c r="R65" s="11" t="s">
        <v>26</v>
      </c>
      <c r="S65" s="10" t="s">
        <v>26</v>
      </c>
      <c r="T65" s="11" t="s">
        <v>26</v>
      </c>
      <c r="U65" s="11" t="s">
        <v>26</v>
      </c>
      <c r="V65" s="11" t="s">
        <v>26</v>
      </c>
      <c r="W65" s="10" t="s">
        <v>26</v>
      </c>
      <c r="X65" s="11" t="s">
        <v>26</v>
      </c>
      <c r="Y65" s="11" t="s">
        <v>26</v>
      </c>
      <c r="Z65" s="11" t="s">
        <v>26</v>
      </c>
      <c r="AA65" s="10" t="s">
        <v>26</v>
      </c>
      <c r="AB65" s="11" t="s">
        <v>26</v>
      </c>
      <c r="AC65" s="11" t="s">
        <v>26</v>
      </c>
      <c r="AD65" s="11" t="s">
        <v>26</v>
      </c>
      <c r="AE65" s="10">
        <v>22074485.399999999</v>
      </c>
      <c r="AF65" s="11">
        <v>3.4533466149999998E-5</v>
      </c>
      <c r="AG65" s="11">
        <v>0.12</v>
      </c>
      <c r="AH65" s="11">
        <v>0.12</v>
      </c>
      <c r="AI65" s="10" t="s">
        <v>26</v>
      </c>
      <c r="AJ65" s="11" t="s">
        <v>26</v>
      </c>
      <c r="AK65" s="11" t="s">
        <v>26</v>
      </c>
      <c r="AL65" s="11" t="s">
        <v>26</v>
      </c>
      <c r="AM65" s="10" t="s">
        <v>26</v>
      </c>
      <c r="AN65" s="11" t="s">
        <v>26</v>
      </c>
      <c r="AO65" s="11" t="s">
        <v>26</v>
      </c>
      <c r="AP65" s="11" t="s">
        <v>26</v>
      </c>
      <c r="AQ65" s="10" t="s">
        <v>26</v>
      </c>
      <c r="AR65" s="11" t="s">
        <v>26</v>
      </c>
      <c r="AS65" s="11" t="s">
        <v>26</v>
      </c>
      <c r="AT65" s="11" t="s">
        <v>26</v>
      </c>
      <c r="AU65" s="10" t="s">
        <v>26</v>
      </c>
      <c r="AV65" s="11" t="s">
        <v>26</v>
      </c>
      <c r="AW65" s="11" t="s">
        <v>26</v>
      </c>
      <c r="AX65" s="11" t="s">
        <v>26</v>
      </c>
      <c r="AY65" s="10">
        <v>22074485.399999999</v>
      </c>
      <c r="AZ65" s="11">
        <v>3.043988297E-5</v>
      </c>
      <c r="BA65" s="11">
        <v>0.12</v>
      </c>
      <c r="BB65" s="11">
        <v>0.12</v>
      </c>
    </row>
    <row r="66" spans="1:54" s="7" customFormat="1">
      <c r="A66" s="3" t="s">
        <v>36</v>
      </c>
      <c r="B66" s="31" t="s">
        <v>56</v>
      </c>
      <c r="C66" s="2">
        <v>22074485.399999999</v>
      </c>
      <c r="D66" s="1">
        <v>1</v>
      </c>
      <c r="E66" s="10" t="s">
        <v>26</v>
      </c>
      <c r="F66" s="11" t="s">
        <v>26</v>
      </c>
      <c r="G66" s="10" t="s">
        <v>26</v>
      </c>
      <c r="H66" s="11" t="s">
        <v>26</v>
      </c>
      <c r="I66" s="11" t="s">
        <v>26</v>
      </c>
      <c r="J66" s="11" t="s">
        <v>26</v>
      </c>
      <c r="K66" s="10" t="s">
        <v>26</v>
      </c>
      <c r="L66" s="11" t="s">
        <v>26</v>
      </c>
      <c r="M66" s="11" t="s">
        <v>26</v>
      </c>
      <c r="N66" s="11" t="s">
        <v>26</v>
      </c>
      <c r="O66" s="10" t="s">
        <v>26</v>
      </c>
      <c r="P66" s="11" t="s">
        <v>26</v>
      </c>
      <c r="Q66" s="11" t="s">
        <v>26</v>
      </c>
      <c r="R66" s="11" t="s">
        <v>26</v>
      </c>
      <c r="S66" s="10" t="s">
        <v>26</v>
      </c>
      <c r="T66" s="11" t="s">
        <v>26</v>
      </c>
      <c r="U66" s="11" t="s">
        <v>26</v>
      </c>
      <c r="V66" s="11" t="s">
        <v>26</v>
      </c>
      <c r="W66" s="10" t="s">
        <v>26</v>
      </c>
      <c r="X66" s="11" t="s">
        <v>26</v>
      </c>
      <c r="Y66" s="11" t="s">
        <v>26</v>
      </c>
      <c r="Z66" s="11" t="s">
        <v>26</v>
      </c>
      <c r="AA66" s="10" t="s">
        <v>26</v>
      </c>
      <c r="AB66" s="11" t="s">
        <v>26</v>
      </c>
      <c r="AC66" s="11" t="s">
        <v>26</v>
      </c>
      <c r="AD66" s="11" t="s">
        <v>26</v>
      </c>
      <c r="AE66" s="2">
        <v>22074485.399999999</v>
      </c>
      <c r="AF66" s="1">
        <v>1</v>
      </c>
      <c r="AG66" s="11" t="s">
        <v>26</v>
      </c>
      <c r="AH66" s="11" t="s">
        <v>26</v>
      </c>
      <c r="AI66" s="10" t="s">
        <v>26</v>
      </c>
      <c r="AJ66" s="11" t="s">
        <v>26</v>
      </c>
      <c r="AK66" s="11" t="s">
        <v>26</v>
      </c>
      <c r="AL66" s="11" t="s">
        <v>26</v>
      </c>
      <c r="AM66" s="10" t="s">
        <v>26</v>
      </c>
      <c r="AN66" s="11" t="s">
        <v>26</v>
      </c>
      <c r="AO66" s="11" t="s">
        <v>26</v>
      </c>
      <c r="AP66" s="11" t="s">
        <v>26</v>
      </c>
      <c r="AQ66" s="10" t="s">
        <v>26</v>
      </c>
      <c r="AR66" s="11" t="s">
        <v>26</v>
      </c>
      <c r="AS66" s="11" t="s">
        <v>26</v>
      </c>
      <c r="AT66" s="11" t="s">
        <v>26</v>
      </c>
      <c r="AU66" s="10" t="s">
        <v>26</v>
      </c>
      <c r="AV66" s="11" t="s">
        <v>26</v>
      </c>
      <c r="AW66" s="11" t="s">
        <v>26</v>
      </c>
      <c r="AX66" s="11" t="s">
        <v>26</v>
      </c>
      <c r="AY66" s="2">
        <v>22074485.399999999</v>
      </c>
      <c r="AZ66" s="1">
        <v>1</v>
      </c>
      <c r="BA66" s="11" t="s">
        <v>26</v>
      </c>
      <c r="BB66" s="11" t="s">
        <v>26</v>
      </c>
    </row>
    <row r="67" spans="1:54" s="7" customFormat="1">
      <c r="A67" s="5" t="s">
        <v>64</v>
      </c>
      <c r="B67" s="24" t="s">
        <v>25</v>
      </c>
      <c r="C67" s="10" t="s">
        <v>26</v>
      </c>
      <c r="D67" s="11" t="s">
        <v>26</v>
      </c>
      <c r="E67" s="10" t="s">
        <v>26</v>
      </c>
      <c r="F67" s="11" t="s">
        <v>26</v>
      </c>
      <c r="G67" s="10" t="s">
        <v>26</v>
      </c>
      <c r="H67" s="11" t="s">
        <v>26</v>
      </c>
      <c r="I67" s="11" t="s">
        <v>26</v>
      </c>
      <c r="J67" s="11" t="s">
        <v>26</v>
      </c>
      <c r="K67" s="10">
        <v>9344521.4900000002</v>
      </c>
      <c r="L67" s="11">
        <v>3.1929775114200002E-3</v>
      </c>
      <c r="M67" s="11">
        <v>0.13500000000000001</v>
      </c>
      <c r="N67" s="11">
        <v>0.1318</v>
      </c>
      <c r="O67" s="10">
        <v>72503121.379999995</v>
      </c>
      <c r="P67" s="11">
        <v>3.2344831463E-4</v>
      </c>
      <c r="Q67" s="11">
        <v>0.13500000000000001</v>
      </c>
      <c r="R67" s="11">
        <v>0.13469999999999999</v>
      </c>
      <c r="S67" s="10">
        <v>41592314.369999997</v>
      </c>
      <c r="T67" s="11">
        <v>3.7467993134000002E-4</v>
      </c>
      <c r="U67" s="11">
        <v>0.13500000000000001</v>
      </c>
      <c r="V67" s="11">
        <v>0.1346</v>
      </c>
      <c r="W67" s="10" t="s">
        <v>26</v>
      </c>
      <c r="X67" s="11" t="s">
        <v>26</v>
      </c>
      <c r="Y67" s="11" t="s">
        <v>26</v>
      </c>
      <c r="Z67" s="11" t="s">
        <v>26</v>
      </c>
      <c r="AA67" s="10">
        <v>35128294.869999997</v>
      </c>
      <c r="AB67" s="11">
        <v>2.5410053542E-4</v>
      </c>
      <c r="AC67" s="11">
        <v>0.13500000000000001</v>
      </c>
      <c r="AD67" s="11">
        <v>0.13469999999999999</v>
      </c>
      <c r="AE67" s="10">
        <v>158568252.11000001</v>
      </c>
      <c r="AF67" s="11">
        <v>2.480651878E-4</v>
      </c>
      <c r="AG67" s="11">
        <v>0.13500000000000001</v>
      </c>
      <c r="AH67" s="11">
        <v>0.1348</v>
      </c>
      <c r="AI67" s="10" t="s">
        <v>26</v>
      </c>
      <c r="AJ67" s="11" t="s">
        <v>26</v>
      </c>
      <c r="AK67" s="11" t="s">
        <v>26</v>
      </c>
      <c r="AL67" s="11" t="s">
        <v>26</v>
      </c>
      <c r="AM67" s="10" t="s">
        <v>26</v>
      </c>
      <c r="AN67" s="11" t="s">
        <v>26</v>
      </c>
      <c r="AO67" s="11" t="s">
        <v>26</v>
      </c>
      <c r="AP67" s="11" t="s">
        <v>26</v>
      </c>
      <c r="AQ67" s="10" t="s">
        <v>26</v>
      </c>
      <c r="AR67" s="11" t="s">
        <v>26</v>
      </c>
      <c r="AS67" s="11" t="s">
        <v>26</v>
      </c>
      <c r="AT67" s="11" t="s">
        <v>26</v>
      </c>
      <c r="AU67" s="10">
        <v>62571775.939999998</v>
      </c>
      <c r="AV67" s="11">
        <v>1.38911252988E-3</v>
      </c>
      <c r="AW67" s="11">
        <v>0.13500000000000001</v>
      </c>
      <c r="AX67" s="11">
        <v>0.1336</v>
      </c>
      <c r="AY67" s="10">
        <v>221140028.05000001</v>
      </c>
      <c r="AZ67" s="11">
        <v>3.049437598E-4</v>
      </c>
      <c r="BA67" s="11">
        <v>0.13500000000000001</v>
      </c>
      <c r="BB67" s="11">
        <v>0.13469999999999999</v>
      </c>
    </row>
    <row r="68" spans="1:54" s="7" customFormat="1">
      <c r="A68" s="3" t="s">
        <v>38</v>
      </c>
      <c r="B68" s="31" t="s">
        <v>43</v>
      </c>
      <c r="C68" s="10" t="s">
        <v>26</v>
      </c>
      <c r="D68" s="11" t="s">
        <v>26</v>
      </c>
      <c r="E68" s="10" t="s">
        <v>26</v>
      </c>
      <c r="F68" s="11" t="s">
        <v>26</v>
      </c>
      <c r="G68" s="10" t="s">
        <v>26</v>
      </c>
      <c r="H68" s="11" t="s">
        <v>26</v>
      </c>
      <c r="I68" s="11" t="s">
        <v>26</v>
      </c>
      <c r="J68" s="11" t="s">
        <v>26</v>
      </c>
      <c r="K68" s="2">
        <v>9344521.4900000002</v>
      </c>
      <c r="L68" s="1">
        <v>1</v>
      </c>
      <c r="M68" s="11" t="s">
        <v>26</v>
      </c>
      <c r="N68" s="11" t="s">
        <v>26</v>
      </c>
      <c r="O68" s="2">
        <v>72503121.379999995</v>
      </c>
      <c r="P68" s="1">
        <v>1</v>
      </c>
      <c r="Q68" s="11" t="s">
        <v>26</v>
      </c>
      <c r="R68" s="11" t="s">
        <v>26</v>
      </c>
      <c r="S68" s="2">
        <v>41592314.369999997</v>
      </c>
      <c r="T68" s="1">
        <v>1</v>
      </c>
      <c r="U68" s="11" t="s">
        <v>26</v>
      </c>
      <c r="V68" s="11" t="s">
        <v>26</v>
      </c>
      <c r="W68" s="10" t="s">
        <v>26</v>
      </c>
      <c r="X68" s="11" t="s">
        <v>26</v>
      </c>
      <c r="Y68" s="11" t="s">
        <v>26</v>
      </c>
      <c r="Z68" s="11" t="s">
        <v>26</v>
      </c>
      <c r="AA68" s="2">
        <v>35128294.869999997</v>
      </c>
      <c r="AB68" s="1">
        <v>1</v>
      </c>
      <c r="AC68" s="11" t="s">
        <v>26</v>
      </c>
      <c r="AD68" s="11" t="s">
        <v>26</v>
      </c>
      <c r="AE68" s="2">
        <v>158568252.11000001</v>
      </c>
      <c r="AF68" s="1">
        <v>1</v>
      </c>
      <c r="AG68" s="11" t="s">
        <v>26</v>
      </c>
      <c r="AH68" s="11" t="s">
        <v>26</v>
      </c>
      <c r="AI68" s="10" t="s">
        <v>26</v>
      </c>
      <c r="AJ68" s="11" t="s">
        <v>26</v>
      </c>
      <c r="AK68" s="11" t="s">
        <v>26</v>
      </c>
      <c r="AL68" s="11" t="s">
        <v>26</v>
      </c>
      <c r="AM68" s="10" t="s">
        <v>26</v>
      </c>
      <c r="AN68" s="11" t="s">
        <v>26</v>
      </c>
      <c r="AO68" s="11" t="s">
        <v>26</v>
      </c>
      <c r="AP68" s="11" t="s">
        <v>26</v>
      </c>
      <c r="AQ68" s="10" t="s">
        <v>26</v>
      </c>
      <c r="AR68" s="11" t="s">
        <v>26</v>
      </c>
      <c r="AS68" s="11" t="s">
        <v>26</v>
      </c>
      <c r="AT68" s="11" t="s">
        <v>26</v>
      </c>
      <c r="AU68" s="2">
        <v>62571775.939999998</v>
      </c>
      <c r="AV68" s="1">
        <v>1</v>
      </c>
      <c r="AW68" s="11" t="s">
        <v>26</v>
      </c>
      <c r="AX68" s="11" t="s">
        <v>26</v>
      </c>
      <c r="AY68" s="2">
        <v>221140028.05000001</v>
      </c>
      <c r="AZ68" s="1">
        <v>1</v>
      </c>
      <c r="BA68" s="11" t="s">
        <v>26</v>
      </c>
      <c r="BB68" s="11" t="s">
        <v>26</v>
      </c>
    </row>
    <row r="69" spans="1:54" s="7" customFormat="1">
      <c r="A69" s="13" t="s">
        <v>65</v>
      </c>
      <c r="B69" s="25" t="s">
        <v>25</v>
      </c>
      <c r="C69" s="55">
        <v>1045653527.54</v>
      </c>
      <c r="D69" s="56">
        <v>0.16581236309889999</v>
      </c>
      <c r="E69" s="56" t="s">
        <v>26</v>
      </c>
      <c r="F69" s="56" t="s">
        <v>26</v>
      </c>
      <c r="G69" s="55">
        <v>7048688619.21</v>
      </c>
      <c r="H69" s="56">
        <v>4.6867808251990002E-2</v>
      </c>
      <c r="I69" s="56" t="s">
        <v>26</v>
      </c>
      <c r="J69" s="56" t="s">
        <v>26</v>
      </c>
      <c r="K69" s="55">
        <v>733128034.66999996</v>
      </c>
      <c r="L69" s="56">
        <v>0.25050628116151002</v>
      </c>
      <c r="M69" s="56" t="s">
        <v>26</v>
      </c>
      <c r="N69" s="56" t="s">
        <v>26</v>
      </c>
      <c r="O69" s="55">
        <v>10948436265.120001</v>
      </c>
      <c r="P69" s="56">
        <v>4.8842769668699999E-2</v>
      </c>
      <c r="Q69" s="56" t="s">
        <v>26</v>
      </c>
      <c r="R69" s="56" t="s">
        <v>26</v>
      </c>
      <c r="S69" s="55">
        <v>6321820702.1800003</v>
      </c>
      <c r="T69" s="56">
        <v>5.694944805412E-2</v>
      </c>
      <c r="U69" s="56" t="s">
        <v>26</v>
      </c>
      <c r="V69" s="56" t="s">
        <v>26</v>
      </c>
      <c r="W69" s="56" t="s">
        <v>26</v>
      </c>
      <c r="X69" s="56" t="s">
        <v>26</v>
      </c>
      <c r="Y69" s="56" t="s">
        <v>26</v>
      </c>
      <c r="Z69" s="56" t="s">
        <v>26</v>
      </c>
      <c r="AA69" s="55">
        <v>5397400989.0699997</v>
      </c>
      <c r="AB69" s="56">
        <v>3.9042102278879998E-2</v>
      </c>
      <c r="AC69" s="56" t="s">
        <v>26</v>
      </c>
      <c r="AD69" s="56" t="s">
        <v>26</v>
      </c>
      <c r="AE69" s="55">
        <v>31495128137.790001</v>
      </c>
      <c r="AF69" s="56">
        <v>4.9271179900210002E-2</v>
      </c>
      <c r="AG69" s="56" t="s">
        <v>26</v>
      </c>
      <c r="AH69" s="56" t="s">
        <v>26</v>
      </c>
      <c r="AI69" s="55">
        <v>1079088808.03</v>
      </c>
      <c r="AJ69" s="56">
        <v>6.3171210364859995E-2</v>
      </c>
      <c r="AK69" s="56" t="s">
        <v>26</v>
      </c>
      <c r="AL69" s="56" t="s">
        <v>26</v>
      </c>
      <c r="AM69" s="55">
        <v>2197597047.9000001</v>
      </c>
      <c r="AN69" s="56">
        <v>9.2194607768449996E-2</v>
      </c>
      <c r="AO69" s="56" t="s">
        <v>26</v>
      </c>
      <c r="AP69" s="56" t="s">
        <v>26</v>
      </c>
      <c r="AQ69" s="55">
        <v>3276685855.9299998</v>
      </c>
      <c r="AR69" s="56">
        <v>8.0078397400679999E-2</v>
      </c>
      <c r="AS69" s="56" t="s">
        <v>26</v>
      </c>
      <c r="AT69" s="56" t="s">
        <v>26</v>
      </c>
      <c r="AU69" s="55">
        <v>1492859390.1800001</v>
      </c>
      <c r="AV69" s="56">
        <v>3.314193425222E-2</v>
      </c>
      <c r="AW69" s="56" t="s">
        <v>26</v>
      </c>
      <c r="AX69" s="56" t="s">
        <v>26</v>
      </c>
      <c r="AY69" s="55">
        <v>36264673383.900002</v>
      </c>
      <c r="AZ69" s="56">
        <v>5.0007617106509999E-2</v>
      </c>
      <c r="BA69" s="56" t="s">
        <v>26</v>
      </c>
      <c r="BB69" s="56" t="s">
        <v>26</v>
      </c>
    </row>
    <row r="70" spans="1:54" s="7" customFormat="1">
      <c r="A70" s="5" t="s">
        <v>105</v>
      </c>
      <c r="B70" s="24" t="s">
        <v>25</v>
      </c>
      <c r="C70" s="10">
        <v>219123642.06</v>
      </c>
      <c r="D70" s="11">
        <v>3.474708203422E-2</v>
      </c>
      <c r="E70" s="11">
        <v>0.08</v>
      </c>
      <c r="F70" s="11">
        <v>4.53E-2</v>
      </c>
      <c r="G70" s="10" t="s">
        <v>26</v>
      </c>
      <c r="H70" s="11" t="s">
        <v>26</v>
      </c>
      <c r="I70" s="11" t="s">
        <v>26</v>
      </c>
      <c r="J70" s="11" t="s">
        <v>26</v>
      </c>
      <c r="K70" s="10">
        <v>189241675.63999999</v>
      </c>
      <c r="L70" s="11">
        <v>6.4662959487950006E-2</v>
      </c>
      <c r="M70" s="11">
        <v>0.08</v>
      </c>
      <c r="N70" s="11">
        <v>1.5299999999999999E-2</v>
      </c>
      <c r="O70" s="10" t="s">
        <v>26</v>
      </c>
      <c r="P70" s="11" t="s">
        <v>26</v>
      </c>
      <c r="Q70" s="11" t="s">
        <v>26</v>
      </c>
      <c r="R70" s="11" t="s">
        <v>26</v>
      </c>
      <c r="S70" s="10">
        <v>435806878.89999998</v>
      </c>
      <c r="T70" s="11">
        <v>3.9259198229099996E-3</v>
      </c>
      <c r="U70" s="11">
        <v>0.08</v>
      </c>
      <c r="V70" s="11">
        <v>7.6100000000000001E-2</v>
      </c>
      <c r="W70" s="10" t="s">
        <v>26</v>
      </c>
      <c r="X70" s="11" t="s">
        <v>26</v>
      </c>
      <c r="Y70" s="11" t="s">
        <v>26</v>
      </c>
      <c r="Z70" s="11" t="s">
        <v>26</v>
      </c>
      <c r="AA70" s="10" t="s">
        <v>26</v>
      </c>
      <c r="AB70" s="11" t="s">
        <v>26</v>
      </c>
      <c r="AC70" s="11" t="s">
        <v>26</v>
      </c>
      <c r="AD70" s="11" t="s">
        <v>26</v>
      </c>
      <c r="AE70" s="10">
        <v>844172196.60000002</v>
      </c>
      <c r="AF70" s="11">
        <v>1.3206283836499999E-3</v>
      </c>
      <c r="AG70" s="11">
        <v>0.08</v>
      </c>
      <c r="AH70" s="11">
        <v>7.8700000000000006E-2</v>
      </c>
      <c r="AI70" s="10" t="s">
        <v>26</v>
      </c>
      <c r="AJ70" s="11" t="s">
        <v>26</v>
      </c>
      <c r="AK70" s="11" t="s">
        <v>26</v>
      </c>
      <c r="AL70" s="11" t="s">
        <v>26</v>
      </c>
      <c r="AM70" s="10" t="s">
        <v>26</v>
      </c>
      <c r="AN70" s="11" t="s">
        <v>26</v>
      </c>
      <c r="AO70" s="11" t="s">
        <v>26</v>
      </c>
      <c r="AP70" s="11" t="s">
        <v>26</v>
      </c>
      <c r="AQ70" s="10" t="s">
        <v>26</v>
      </c>
      <c r="AR70" s="11" t="s">
        <v>26</v>
      </c>
      <c r="AS70" s="11" t="s">
        <v>26</v>
      </c>
      <c r="AT70" s="11" t="s">
        <v>26</v>
      </c>
      <c r="AU70" s="10" t="s">
        <v>26</v>
      </c>
      <c r="AV70" s="11" t="s">
        <v>26</v>
      </c>
      <c r="AW70" s="11" t="s">
        <v>26</v>
      </c>
      <c r="AX70" s="11" t="s">
        <v>26</v>
      </c>
      <c r="AY70" s="10">
        <v>844172196.60000002</v>
      </c>
      <c r="AZ70" s="11">
        <v>1.16408162656E-3</v>
      </c>
      <c r="BA70" s="11">
        <v>0.08</v>
      </c>
      <c r="BB70" s="11">
        <v>7.8799999999999995E-2</v>
      </c>
    </row>
    <row r="71" spans="1:54" s="7" customFormat="1">
      <c r="A71" s="3" t="s">
        <v>67</v>
      </c>
      <c r="B71" s="31" t="s">
        <v>56</v>
      </c>
      <c r="C71" s="2">
        <v>219123642.06</v>
      </c>
      <c r="D71" s="1">
        <v>1</v>
      </c>
      <c r="E71" s="10" t="s">
        <v>26</v>
      </c>
      <c r="F71" s="11" t="s">
        <v>26</v>
      </c>
      <c r="G71" s="10" t="s">
        <v>26</v>
      </c>
      <c r="H71" s="11" t="s">
        <v>26</v>
      </c>
      <c r="I71" s="11" t="s">
        <v>26</v>
      </c>
      <c r="J71" s="11" t="s">
        <v>26</v>
      </c>
      <c r="K71" s="2">
        <v>189241675.63999999</v>
      </c>
      <c r="L71" s="1">
        <v>1</v>
      </c>
      <c r="M71" s="11" t="s">
        <v>26</v>
      </c>
      <c r="N71" s="11" t="s">
        <v>26</v>
      </c>
      <c r="O71" s="10" t="s">
        <v>26</v>
      </c>
      <c r="P71" s="11" t="s">
        <v>26</v>
      </c>
      <c r="Q71" s="11" t="s">
        <v>26</v>
      </c>
      <c r="R71" s="11" t="s">
        <v>26</v>
      </c>
      <c r="S71" s="2">
        <v>435806878.89999998</v>
      </c>
      <c r="T71" s="1">
        <v>1</v>
      </c>
      <c r="U71" s="11" t="s">
        <v>26</v>
      </c>
      <c r="V71" s="11" t="s">
        <v>26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 t="s">
        <v>26</v>
      </c>
      <c r="AB71" s="11" t="s">
        <v>26</v>
      </c>
      <c r="AC71" s="11" t="s">
        <v>26</v>
      </c>
      <c r="AD71" s="11" t="s">
        <v>26</v>
      </c>
      <c r="AE71" s="2">
        <v>844172196.60000002</v>
      </c>
      <c r="AF71" s="1">
        <v>1</v>
      </c>
      <c r="AG71" s="11" t="s">
        <v>26</v>
      </c>
      <c r="AH71" s="11" t="s">
        <v>26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2">
        <v>844172196.60000002</v>
      </c>
      <c r="AZ71" s="1">
        <v>1</v>
      </c>
      <c r="BA71" s="11" t="s">
        <v>26</v>
      </c>
      <c r="BB71" s="11" t="s">
        <v>26</v>
      </c>
    </row>
    <row r="72" spans="1:54" s="7" customFormat="1">
      <c r="A72" s="5" t="s">
        <v>66</v>
      </c>
      <c r="B72" s="24" t="s">
        <v>25</v>
      </c>
      <c r="C72" s="11" t="s">
        <v>26</v>
      </c>
      <c r="D72" s="11" t="s">
        <v>26</v>
      </c>
      <c r="E72" s="11" t="s">
        <v>26</v>
      </c>
      <c r="F72" s="11" t="s">
        <v>26</v>
      </c>
      <c r="G72" s="10">
        <v>608648804.83000004</v>
      </c>
      <c r="H72" s="11">
        <v>4.0469989552100001E-3</v>
      </c>
      <c r="I72" s="11">
        <v>0.08</v>
      </c>
      <c r="J72" s="11">
        <v>7.5999999999999998E-2</v>
      </c>
      <c r="K72" s="10">
        <v>83142767.890000001</v>
      </c>
      <c r="L72" s="11">
        <v>2.8409479115030001E-2</v>
      </c>
      <c r="M72" s="11">
        <v>0.08</v>
      </c>
      <c r="N72" s="11">
        <v>5.16E-2</v>
      </c>
      <c r="O72" s="10">
        <v>460846661.33999997</v>
      </c>
      <c r="P72" s="11">
        <f>+O72/O135</f>
        <v>2.0559125328361953E-3</v>
      </c>
      <c r="Q72" s="11">
        <v>0.08</v>
      </c>
      <c r="R72" s="11">
        <f>+Q72-P72</f>
        <v>7.7944087467163803E-2</v>
      </c>
      <c r="S72" s="10">
        <v>101374874</v>
      </c>
      <c r="T72" s="11">
        <v>9.1322474850999999E-4</v>
      </c>
      <c r="U72" s="11">
        <v>0.08</v>
      </c>
      <c r="V72" s="11">
        <v>7.9100000000000004E-2</v>
      </c>
      <c r="W72" s="10" t="s">
        <v>26</v>
      </c>
      <c r="X72" s="11" t="s">
        <v>26</v>
      </c>
      <c r="Y72" s="11" t="s">
        <v>26</v>
      </c>
      <c r="Z72" s="11" t="s">
        <v>26</v>
      </c>
      <c r="AA72" s="10">
        <v>42915065.759999998</v>
      </c>
      <c r="AB72" s="11">
        <v>3.1042614586000001E-4</v>
      </c>
      <c r="AC72" s="11">
        <v>0.08</v>
      </c>
      <c r="AD72" s="11">
        <v>7.9699999999999993E-2</v>
      </c>
      <c r="AE72" s="10">
        <v>1296928173.8199999</v>
      </c>
      <c r="AF72" s="11">
        <v>2.0289227302200002E-3</v>
      </c>
      <c r="AG72" s="11">
        <v>6.1800000000000001E-2</v>
      </c>
      <c r="AH72" s="11">
        <v>5.9799999999999999E-2</v>
      </c>
      <c r="AI72" s="10" t="s">
        <v>26</v>
      </c>
      <c r="AJ72" s="11" t="s">
        <v>26</v>
      </c>
      <c r="AK72" s="11" t="s">
        <v>26</v>
      </c>
      <c r="AL72" s="11" t="s">
        <v>26</v>
      </c>
      <c r="AM72" s="10" t="s">
        <v>26</v>
      </c>
      <c r="AN72" s="11" t="s">
        <v>26</v>
      </c>
      <c r="AO72" s="11" t="s">
        <v>26</v>
      </c>
      <c r="AP72" s="11" t="s">
        <v>26</v>
      </c>
      <c r="AQ72" s="10" t="s">
        <v>26</v>
      </c>
      <c r="AR72" s="11" t="s">
        <v>26</v>
      </c>
      <c r="AS72" s="11" t="s">
        <v>26</v>
      </c>
      <c r="AT72" s="11" t="s">
        <v>26</v>
      </c>
      <c r="AU72" s="10">
        <v>101374874</v>
      </c>
      <c r="AV72" s="11">
        <v>2.2505531539200002E-3</v>
      </c>
      <c r="AW72" s="11">
        <v>0.08</v>
      </c>
      <c r="AX72" s="11">
        <v>7.7700000000000005E-2</v>
      </c>
      <c r="AY72" s="10">
        <v>1398303047.8199999</v>
      </c>
      <c r="AZ72" s="11">
        <v>1.9282071749E-3</v>
      </c>
      <c r="BA72" s="11">
        <v>6.3100000000000003E-2</v>
      </c>
      <c r="BB72" s="11">
        <v>6.1199999999999997E-2</v>
      </c>
    </row>
    <row r="73" spans="1:54" s="7" customFormat="1">
      <c r="A73" s="3" t="s">
        <v>67</v>
      </c>
      <c r="B73" s="31" t="s">
        <v>56</v>
      </c>
      <c r="C73" s="11" t="s">
        <v>26</v>
      </c>
      <c r="D73" s="11" t="s">
        <v>26</v>
      </c>
      <c r="E73" s="11" t="s">
        <v>26</v>
      </c>
      <c r="F73" s="11" t="s">
        <v>26</v>
      </c>
      <c r="G73" s="2">
        <v>608648804.83000004</v>
      </c>
      <c r="H73" s="1">
        <v>1</v>
      </c>
      <c r="I73" s="11" t="s">
        <v>26</v>
      </c>
      <c r="J73" s="11" t="s">
        <v>26</v>
      </c>
      <c r="K73" s="2">
        <v>83142767.890000001</v>
      </c>
      <c r="L73" s="1">
        <v>1</v>
      </c>
      <c r="M73" s="11" t="s">
        <v>26</v>
      </c>
      <c r="N73" s="11" t="s">
        <v>26</v>
      </c>
      <c r="O73" s="2">
        <v>460846661.33999997</v>
      </c>
      <c r="P73" s="1">
        <v>1</v>
      </c>
      <c r="Q73" s="11" t="s">
        <v>26</v>
      </c>
      <c r="R73" s="11" t="s">
        <v>26</v>
      </c>
      <c r="S73" s="2">
        <v>101374874</v>
      </c>
      <c r="T73" s="1">
        <v>1</v>
      </c>
      <c r="U73" s="11" t="s">
        <v>26</v>
      </c>
      <c r="V73" s="11" t="s">
        <v>26</v>
      </c>
      <c r="W73" s="10" t="s">
        <v>26</v>
      </c>
      <c r="X73" s="11" t="s">
        <v>26</v>
      </c>
      <c r="Y73" s="11" t="s">
        <v>26</v>
      </c>
      <c r="Z73" s="11" t="s">
        <v>26</v>
      </c>
      <c r="AA73" s="2">
        <v>42915065.759999998</v>
      </c>
      <c r="AB73" s="1">
        <v>1</v>
      </c>
      <c r="AC73" s="11" t="s">
        <v>26</v>
      </c>
      <c r="AD73" s="11" t="s">
        <v>26</v>
      </c>
      <c r="AE73" s="2">
        <f>+G73+K73+O73+S73+AA73</f>
        <v>1296928173.8199999</v>
      </c>
      <c r="AF73" s="1">
        <v>1</v>
      </c>
      <c r="AG73" s="11" t="s">
        <v>26</v>
      </c>
      <c r="AH73" s="11" t="s">
        <v>26</v>
      </c>
      <c r="AI73" s="10" t="s">
        <v>26</v>
      </c>
      <c r="AJ73" s="11" t="s">
        <v>26</v>
      </c>
      <c r="AK73" s="11" t="s">
        <v>26</v>
      </c>
      <c r="AL73" s="11" t="s">
        <v>26</v>
      </c>
      <c r="AM73" s="10" t="s">
        <v>26</v>
      </c>
      <c r="AN73" s="11" t="s">
        <v>26</v>
      </c>
      <c r="AO73" s="11" t="s">
        <v>26</v>
      </c>
      <c r="AP73" s="11" t="s">
        <v>26</v>
      </c>
      <c r="AQ73" s="10" t="s">
        <v>26</v>
      </c>
      <c r="AR73" s="11" t="s">
        <v>26</v>
      </c>
      <c r="AS73" s="11" t="s">
        <v>26</v>
      </c>
      <c r="AT73" s="11" t="s">
        <v>26</v>
      </c>
      <c r="AU73" s="2">
        <v>101374874</v>
      </c>
      <c r="AV73" s="1">
        <v>1</v>
      </c>
      <c r="AW73" s="11" t="s">
        <v>26</v>
      </c>
      <c r="AX73" s="11" t="s">
        <v>26</v>
      </c>
      <c r="AY73" s="2">
        <f>+AE73+AU73</f>
        <v>1398303047.8199999</v>
      </c>
      <c r="AZ73" s="1">
        <v>1</v>
      </c>
      <c r="BA73" s="11" t="s">
        <v>26</v>
      </c>
      <c r="BB73" s="11" t="s">
        <v>26</v>
      </c>
    </row>
    <row r="74" spans="1:54" s="7" customFormat="1">
      <c r="A74" s="5" t="s">
        <v>68</v>
      </c>
      <c r="B74" s="24" t="s">
        <v>25</v>
      </c>
      <c r="C74" s="11" t="s">
        <v>26</v>
      </c>
      <c r="D74" s="11" t="s">
        <v>26</v>
      </c>
      <c r="E74" s="11" t="s">
        <v>26</v>
      </c>
      <c r="F74" s="11" t="s">
        <v>26</v>
      </c>
      <c r="G74" s="10">
        <v>525342710.5</v>
      </c>
      <c r="H74" s="11">
        <v>3.4930839979500001E-3</v>
      </c>
      <c r="I74" s="11">
        <v>0.09</v>
      </c>
      <c r="J74" s="11">
        <v>8.6499999999999994E-2</v>
      </c>
      <c r="K74" s="10" t="s">
        <v>26</v>
      </c>
      <c r="L74" s="11" t="s">
        <v>26</v>
      </c>
      <c r="M74" s="11" t="s">
        <v>26</v>
      </c>
      <c r="N74" s="11" t="s">
        <v>26</v>
      </c>
      <c r="O74" s="10">
        <v>1154460523.27</v>
      </c>
      <c r="P74" s="11">
        <v>5.1502377201899999E-3</v>
      </c>
      <c r="Q74" s="11">
        <v>0.09</v>
      </c>
      <c r="R74" s="11">
        <v>8.48E-2</v>
      </c>
      <c r="S74" s="10">
        <v>528745130.00999999</v>
      </c>
      <c r="T74" s="11">
        <v>4.7631441532300003E-3</v>
      </c>
      <c r="U74" s="11">
        <v>0.09</v>
      </c>
      <c r="V74" s="11">
        <v>8.5199999999999998E-2</v>
      </c>
      <c r="W74" s="10" t="s">
        <v>26</v>
      </c>
      <c r="X74" s="11" t="s">
        <v>26</v>
      </c>
      <c r="Y74" s="11" t="s">
        <v>26</v>
      </c>
      <c r="Z74" s="11" t="s">
        <v>26</v>
      </c>
      <c r="AA74" s="10">
        <v>1405156633.6099999</v>
      </c>
      <c r="AB74" s="11">
        <v>1.0164201088330001E-2</v>
      </c>
      <c r="AC74" s="11">
        <v>0.09</v>
      </c>
      <c r="AD74" s="11">
        <v>7.9799999999999996E-2</v>
      </c>
      <c r="AE74" s="10">
        <v>3613704997.3899999</v>
      </c>
      <c r="AF74" s="11">
        <v>5.6533032110100004E-3</v>
      </c>
      <c r="AG74" s="11">
        <v>0.09</v>
      </c>
      <c r="AH74" s="11">
        <v>8.43E-2</v>
      </c>
      <c r="AI74" s="10">
        <v>98033751.519999996</v>
      </c>
      <c r="AJ74" s="11">
        <v>5.7390185998099997E-3</v>
      </c>
      <c r="AK74" s="11">
        <v>0.09</v>
      </c>
      <c r="AL74" s="11">
        <v>8.43E-2</v>
      </c>
      <c r="AM74" s="10">
        <v>13780924.51</v>
      </c>
      <c r="AN74" s="11">
        <v>5.7814371888999998E-4</v>
      </c>
      <c r="AO74" s="11">
        <v>0.09</v>
      </c>
      <c r="AP74" s="11">
        <v>8.9399999999999993E-2</v>
      </c>
      <c r="AQ74" s="10">
        <v>111814676.03</v>
      </c>
      <c r="AR74" s="11">
        <v>2.73262084193E-3</v>
      </c>
      <c r="AS74" s="11">
        <v>0.09</v>
      </c>
      <c r="AT74" s="11">
        <v>8.7300000000000003E-2</v>
      </c>
      <c r="AU74" s="10">
        <v>190168372.53999999</v>
      </c>
      <c r="AV74" s="11">
        <v>4.2217959313699998E-3</v>
      </c>
      <c r="AW74" s="11">
        <v>0.09</v>
      </c>
      <c r="AX74" s="11">
        <v>8.5800000000000001E-2</v>
      </c>
      <c r="AY74" s="10">
        <v>3915688045.96</v>
      </c>
      <c r="AZ74" s="11">
        <v>5.3995861602799998E-3</v>
      </c>
      <c r="BA74" s="11">
        <v>0.09</v>
      </c>
      <c r="BB74" s="11">
        <v>8.4599999999999995E-2</v>
      </c>
    </row>
    <row r="75" spans="1:54" s="7" customFormat="1">
      <c r="A75" s="3" t="s">
        <v>67</v>
      </c>
      <c r="B75" s="31" t="s">
        <v>37</v>
      </c>
      <c r="C75" s="11" t="s">
        <v>26</v>
      </c>
      <c r="D75" s="11" t="s">
        <v>26</v>
      </c>
      <c r="E75" s="11" t="s">
        <v>26</v>
      </c>
      <c r="F75" s="11" t="s">
        <v>26</v>
      </c>
      <c r="G75" s="2">
        <v>525342710.5</v>
      </c>
      <c r="H75" s="1">
        <v>1</v>
      </c>
      <c r="I75" s="11" t="s">
        <v>26</v>
      </c>
      <c r="J75" s="11" t="s">
        <v>26</v>
      </c>
      <c r="K75" s="10" t="s">
        <v>26</v>
      </c>
      <c r="L75" s="11" t="s">
        <v>26</v>
      </c>
      <c r="M75" s="11" t="s">
        <v>26</v>
      </c>
      <c r="N75" s="11" t="s">
        <v>26</v>
      </c>
      <c r="O75" s="2">
        <v>1154460523.27</v>
      </c>
      <c r="P75" s="1">
        <v>1</v>
      </c>
      <c r="Q75" s="11" t="s">
        <v>26</v>
      </c>
      <c r="R75" s="11" t="s">
        <v>26</v>
      </c>
      <c r="S75" s="2">
        <v>528745130.00999999</v>
      </c>
      <c r="T75" s="1">
        <v>1</v>
      </c>
      <c r="U75" s="11" t="s">
        <v>26</v>
      </c>
      <c r="V75" s="11" t="s">
        <v>26</v>
      </c>
      <c r="W75" s="10" t="s">
        <v>26</v>
      </c>
      <c r="X75" s="11" t="s">
        <v>26</v>
      </c>
      <c r="Y75" s="11" t="s">
        <v>26</v>
      </c>
      <c r="Z75" s="11" t="s">
        <v>26</v>
      </c>
      <c r="AA75" s="2">
        <v>1405156633.6099999</v>
      </c>
      <c r="AB75" s="1">
        <v>1</v>
      </c>
      <c r="AC75" s="11" t="s">
        <v>26</v>
      </c>
      <c r="AD75" s="11" t="s">
        <v>26</v>
      </c>
      <c r="AE75" s="2">
        <v>3613704997.3899999</v>
      </c>
      <c r="AF75" s="1">
        <v>1</v>
      </c>
      <c r="AG75" s="11" t="s">
        <v>26</v>
      </c>
      <c r="AH75" s="11" t="s">
        <v>26</v>
      </c>
      <c r="AI75" s="2">
        <v>98033751.519999996</v>
      </c>
      <c r="AJ75" s="1">
        <v>1</v>
      </c>
      <c r="AK75" s="11" t="s">
        <v>26</v>
      </c>
      <c r="AL75" s="11" t="s">
        <v>26</v>
      </c>
      <c r="AM75" s="2">
        <v>13780924.51</v>
      </c>
      <c r="AN75" s="1">
        <v>1</v>
      </c>
      <c r="AO75" s="11" t="s">
        <v>26</v>
      </c>
      <c r="AP75" s="11" t="s">
        <v>26</v>
      </c>
      <c r="AQ75" s="2">
        <v>111814676.03</v>
      </c>
      <c r="AR75" s="1">
        <v>1</v>
      </c>
      <c r="AS75" s="11" t="s">
        <v>26</v>
      </c>
      <c r="AT75" s="11" t="s">
        <v>26</v>
      </c>
      <c r="AU75" s="2">
        <v>190168372.53999999</v>
      </c>
      <c r="AV75" s="1">
        <v>1</v>
      </c>
      <c r="AW75" s="11" t="s">
        <v>26</v>
      </c>
      <c r="AX75" s="11" t="s">
        <v>26</v>
      </c>
      <c r="AY75" s="2">
        <v>3915688045.96</v>
      </c>
      <c r="AZ75" s="1">
        <v>1</v>
      </c>
      <c r="BA75" s="11" t="s">
        <v>26</v>
      </c>
      <c r="BB75" s="11" t="s">
        <v>26</v>
      </c>
    </row>
    <row r="76" spans="1:54" s="7" customFormat="1">
      <c r="A76" s="5" t="s">
        <v>69</v>
      </c>
      <c r="B76" s="24" t="s">
        <v>25</v>
      </c>
      <c r="C76" s="10">
        <v>350889719.37</v>
      </c>
      <c r="D76" s="11">
        <v>5.5641617441610003E-2</v>
      </c>
      <c r="E76" s="11">
        <v>0.08</v>
      </c>
      <c r="F76" s="11">
        <v>2.4400000000000002E-2</v>
      </c>
      <c r="G76" s="10">
        <v>464625477.04000002</v>
      </c>
      <c r="H76" s="11">
        <v>3.0893658300600001E-3</v>
      </c>
      <c r="I76" s="11">
        <v>0.08</v>
      </c>
      <c r="J76" s="11">
        <v>7.6899999999999996E-2</v>
      </c>
      <c r="K76" s="10">
        <v>163990274.13</v>
      </c>
      <c r="L76" s="11">
        <v>5.603467849576E-2</v>
      </c>
      <c r="M76" s="11">
        <v>0.08</v>
      </c>
      <c r="N76" s="11">
        <v>2.4E-2</v>
      </c>
      <c r="O76" s="10">
        <v>1443985159.8699999</v>
      </c>
      <c r="P76" s="11">
        <v>6.44185460468E-3</v>
      </c>
      <c r="Q76" s="11">
        <v>0.08</v>
      </c>
      <c r="R76" s="11">
        <v>7.3599999999999999E-2</v>
      </c>
      <c r="S76" s="10">
        <v>315231303.06</v>
      </c>
      <c r="T76" s="11">
        <v>2.8397275981699999E-3</v>
      </c>
      <c r="U76" s="11">
        <v>0.08</v>
      </c>
      <c r="V76" s="11">
        <v>7.7200000000000005E-2</v>
      </c>
      <c r="W76" s="10" t="s">
        <v>26</v>
      </c>
      <c r="X76" s="11" t="s">
        <v>26</v>
      </c>
      <c r="Y76" s="11" t="s">
        <v>26</v>
      </c>
      <c r="Z76" s="11" t="s">
        <v>26</v>
      </c>
      <c r="AA76" s="10" t="s">
        <v>26</v>
      </c>
      <c r="AB76" s="11" t="s">
        <v>26</v>
      </c>
      <c r="AC76" s="11" t="s">
        <v>26</v>
      </c>
      <c r="AD76" s="11" t="s">
        <v>26</v>
      </c>
      <c r="AE76" s="10">
        <v>2738721933.4699998</v>
      </c>
      <c r="AF76" s="11">
        <v>4.2844741094699998E-3</v>
      </c>
      <c r="AG76" s="11">
        <v>0.08</v>
      </c>
      <c r="AH76" s="11">
        <v>7.5700000000000003E-2</v>
      </c>
      <c r="AI76" s="10" t="s">
        <v>26</v>
      </c>
      <c r="AJ76" s="11" t="s">
        <v>26</v>
      </c>
      <c r="AK76" s="11" t="s">
        <v>26</v>
      </c>
      <c r="AL76" s="11" t="s">
        <v>26</v>
      </c>
      <c r="AM76" s="10" t="s">
        <v>26</v>
      </c>
      <c r="AN76" s="11" t="s">
        <v>26</v>
      </c>
      <c r="AO76" s="11" t="s">
        <v>26</v>
      </c>
      <c r="AP76" s="11" t="s">
        <v>26</v>
      </c>
      <c r="AQ76" s="10" t="s">
        <v>26</v>
      </c>
      <c r="AR76" s="11" t="s">
        <v>26</v>
      </c>
      <c r="AS76" s="11" t="s">
        <v>26</v>
      </c>
      <c r="AT76" s="11" t="s">
        <v>26</v>
      </c>
      <c r="AU76" s="10" t="s">
        <v>26</v>
      </c>
      <c r="AV76" s="11" t="s">
        <v>26</v>
      </c>
      <c r="AW76" s="11" t="s">
        <v>26</v>
      </c>
      <c r="AX76" s="11" t="s">
        <v>26</v>
      </c>
      <c r="AY76" s="10">
        <v>2738721933.4699998</v>
      </c>
      <c r="AZ76" s="11">
        <v>3.7765942729000002E-3</v>
      </c>
      <c r="BA76" s="11">
        <v>0.08</v>
      </c>
      <c r="BB76" s="11">
        <v>7.6200000000000004E-2</v>
      </c>
    </row>
    <row r="77" spans="1:54" s="7" customFormat="1">
      <c r="A77" s="3" t="s">
        <v>67</v>
      </c>
      <c r="B77" s="31" t="s">
        <v>56</v>
      </c>
      <c r="C77" s="2">
        <v>350889719.37</v>
      </c>
      <c r="D77" s="1">
        <v>1</v>
      </c>
      <c r="E77" s="11" t="s">
        <v>26</v>
      </c>
      <c r="F77" s="11" t="s">
        <v>26</v>
      </c>
      <c r="G77" s="2">
        <v>464625477.04000002</v>
      </c>
      <c r="H77" s="1">
        <v>1</v>
      </c>
      <c r="I77" s="11" t="s">
        <v>26</v>
      </c>
      <c r="J77" s="11" t="s">
        <v>26</v>
      </c>
      <c r="K77" s="35">
        <v>163990274.13</v>
      </c>
      <c r="L77" s="59">
        <v>1</v>
      </c>
      <c r="M77" s="11" t="s">
        <v>26</v>
      </c>
      <c r="N77" s="11" t="s">
        <v>26</v>
      </c>
      <c r="O77" s="2">
        <v>1443985159.8699999</v>
      </c>
      <c r="P77" s="1">
        <v>1</v>
      </c>
      <c r="Q77" s="11" t="s">
        <v>26</v>
      </c>
      <c r="R77" s="11" t="s">
        <v>26</v>
      </c>
      <c r="S77" s="2">
        <v>315231303.06</v>
      </c>
      <c r="T77" s="1">
        <v>1</v>
      </c>
      <c r="U77" s="11" t="s">
        <v>26</v>
      </c>
      <c r="V77" s="11" t="s">
        <v>26</v>
      </c>
      <c r="W77" s="10" t="s">
        <v>26</v>
      </c>
      <c r="X77" s="11" t="s">
        <v>26</v>
      </c>
      <c r="Y77" s="11" t="s">
        <v>26</v>
      </c>
      <c r="Z77" s="11" t="s">
        <v>26</v>
      </c>
      <c r="AA77" s="10" t="s">
        <v>26</v>
      </c>
      <c r="AB77" s="11" t="s">
        <v>26</v>
      </c>
      <c r="AC77" s="11" t="s">
        <v>26</v>
      </c>
      <c r="AD77" s="11" t="s">
        <v>26</v>
      </c>
      <c r="AE77" s="2">
        <v>2738721933.4699998</v>
      </c>
      <c r="AF77" s="1">
        <v>1</v>
      </c>
      <c r="AG77" s="11" t="s">
        <v>26</v>
      </c>
      <c r="AH77" s="11" t="s">
        <v>26</v>
      </c>
      <c r="AI77" s="10" t="s">
        <v>26</v>
      </c>
      <c r="AJ77" s="11" t="s">
        <v>26</v>
      </c>
      <c r="AK77" s="11" t="s">
        <v>26</v>
      </c>
      <c r="AL77" s="11" t="s">
        <v>26</v>
      </c>
      <c r="AM77" s="10" t="s">
        <v>26</v>
      </c>
      <c r="AN77" s="11" t="s">
        <v>26</v>
      </c>
      <c r="AO77" s="11" t="s">
        <v>26</v>
      </c>
      <c r="AP77" s="11" t="s">
        <v>26</v>
      </c>
      <c r="AQ77" s="10" t="s">
        <v>26</v>
      </c>
      <c r="AR77" s="11" t="s">
        <v>26</v>
      </c>
      <c r="AS77" s="11" t="s">
        <v>26</v>
      </c>
      <c r="AT77" s="11" t="s">
        <v>26</v>
      </c>
      <c r="AU77" s="10" t="s">
        <v>26</v>
      </c>
      <c r="AV77" s="11" t="s">
        <v>26</v>
      </c>
      <c r="AW77" s="11" t="s">
        <v>26</v>
      </c>
      <c r="AX77" s="11" t="s">
        <v>26</v>
      </c>
      <c r="AY77" s="2">
        <v>2738721933.4699998</v>
      </c>
      <c r="AZ77" s="1">
        <v>1</v>
      </c>
      <c r="BA77" s="11" t="s">
        <v>26</v>
      </c>
      <c r="BB77" s="11" t="s">
        <v>26</v>
      </c>
    </row>
    <row r="78" spans="1:54" s="7" customFormat="1">
      <c r="A78" s="5" t="s">
        <v>70</v>
      </c>
      <c r="B78" s="24" t="s">
        <v>25</v>
      </c>
      <c r="C78" s="11" t="s">
        <v>26</v>
      </c>
      <c r="D78" s="11" t="s">
        <v>26</v>
      </c>
      <c r="E78" s="11" t="s">
        <v>26</v>
      </c>
      <c r="F78" s="11" t="s">
        <v>26</v>
      </c>
      <c r="G78" s="10">
        <v>2649590551.6599998</v>
      </c>
      <c r="H78" s="11">
        <v>1.7617532654660002E-2</v>
      </c>
      <c r="I78" s="11">
        <v>0.09</v>
      </c>
      <c r="J78" s="11">
        <v>7.2400000000000006E-2</v>
      </c>
      <c r="K78" s="10" t="s">
        <v>26</v>
      </c>
      <c r="L78" s="11" t="s">
        <v>26</v>
      </c>
      <c r="M78" s="11" t="s">
        <v>26</v>
      </c>
      <c r="N78" s="11" t="s">
        <v>26</v>
      </c>
      <c r="O78" s="10">
        <v>2243041725.7399998</v>
      </c>
      <c r="P78" s="11">
        <v>1.00065769864E-2</v>
      </c>
      <c r="Q78" s="11">
        <v>0.09</v>
      </c>
      <c r="R78" s="11">
        <v>0.08</v>
      </c>
      <c r="S78" s="10">
        <v>1401991276.4000001</v>
      </c>
      <c r="T78" s="11">
        <v>1.262968899769E-2</v>
      </c>
      <c r="U78" s="11">
        <v>0.09</v>
      </c>
      <c r="V78" s="11">
        <v>7.7399999999999997E-2</v>
      </c>
      <c r="W78" s="10" t="s">
        <v>26</v>
      </c>
      <c r="X78" s="11" t="s">
        <v>26</v>
      </c>
      <c r="Y78" s="11" t="s">
        <v>26</v>
      </c>
      <c r="Z78" s="11" t="s">
        <v>26</v>
      </c>
      <c r="AA78" s="10">
        <v>1863664010.0899999</v>
      </c>
      <c r="AB78" s="11">
        <v>1.348081438506E-2</v>
      </c>
      <c r="AC78" s="11">
        <v>0.09</v>
      </c>
      <c r="AD78" s="11">
        <v>7.6499999999999999E-2</v>
      </c>
      <c r="AE78" s="10">
        <v>8158287563.8900003</v>
      </c>
      <c r="AF78" s="11">
        <v>1.2762877245E-2</v>
      </c>
      <c r="AG78" s="11">
        <v>0.09</v>
      </c>
      <c r="AH78" s="11">
        <v>7.7200000000000005E-2</v>
      </c>
      <c r="AI78" s="10">
        <v>16515415.15</v>
      </c>
      <c r="AJ78" s="11">
        <v>9.6683308818999996E-4</v>
      </c>
      <c r="AK78" s="11">
        <v>0.09</v>
      </c>
      <c r="AL78" s="11">
        <v>8.8999999999999996E-2</v>
      </c>
      <c r="AM78" s="10">
        <v>118114982.78</v>
      </c>
      <c r="AN78" s="11">
        <v>4.9552143871800002E-3</v>
      </c>
      <c r="AO78" s="11">
        <v>0.09</v>
      </c>
      <c r="AP78" s="11">
        <v>8.5000000000000006E-2</v>
      </c>
      <c r="AQ78" s="10">
        <v>134630397.93000001</v>
      </c>
      <c r="AR78" s="11">
        <v>3.2902105913300002E-3</v>
      </c>
      <c r="AS78" s="11">
        <v>0.09</v>
      </c>
      <c r="AT78" s="11">
        <v>8.6699999999999999E-2</v>
      </c>
      <c r="AU78" s="10">
        <v>488729940.52999997</v>
      </c>
      <c r="AV78" s="11">
        <v>1.0849953895649999E-2</v>
      </c>
      <c r="AW78" s="11">
        <v>0.09</v>
      </c>
      <c r="AX78" s="11">
        <v>7.9200000000000007E-2</v>
      </c>
      <c r="AY78" s="10">
        <v>8781647902.3500004</v>
      </c>
      <c r="AZ78" s="11">
        <v>1.210956131373E-2</v>
      </c>
      <c r="BA78" s="11">
        <v>0.09</v>
      </c>
      <c r="BB78" s="11">
        <v>7.7899999999999997E-2</v>
      </c>
    </row>
    <row r="79" spans="1:54" s="7" customFormat="1">
      <c r="A79" s="3" t="s">
        <v>67</v>
      </c>
      <c r="B79" s="31" t="s">
        <v>37</v>
      </c>
      <c r="C79" s="11" t="s">
        <v>26</v>
      </c>
      <c r="D79" s="11" t="s">
        <v>26</v>
      </c>
      <c r="E79" s="11" t="s">
        <v>26</v>
      </c>
      <c r="F79" s="11" t="s">
        <v>26</v>
      </c>
      <c r="G79" s="2">
        <v>2649590551.6599998</v>
      </c>
      <c r="H79" s="1">
        <v>1</v>
      </c>
      <c r="I79" s="11" t="s">
        <v>26</v>
      </c>
      <c r="J79" s="11" t="s">
        <v>26</v>
      </c>
      <c r="K79" s="10" t="s">
        <v>26</v>
      </c>
      <c r="L79" s="11" t="s">
        <v>26</v>
      </c>
      <c r="M79" s="11" t="s">
        <v>26</v>
      </c>
      <c r="N79" s="11" t="s">
        <v>26</v>
      </c>
      <c r="O79" s="2">
        <v>2243041725.7399998</v>
      </c>
      <c r="P79" s="1">
        <v>1</v>
      </c>
      <c r="Q79" s="11" t="s">
        <v>26</v>
      </c>
      <c r="R79" s="11" t="s">
        <v>26</v>
      </c>
      <c r="S79" s="2">
        <v>1401991276.4000001</v>
      </c>
      <c r="T79" s="1">
        <v>1</v>
      </c>
      <c r="U79" s="11" t="s">
        <v>26</v>
      </c>
      <c r="V79" s="11" t="s">
        <v>26</v>
      </c>
      <c r="W79" s="10" t="s">
        <v>26</v>
      </c>
      <c r="X79" s="11" t="s">
        <v>26</v>
      </c>
      <c r="Y79" s="11" t="s">
        <v>26</v>
      </c>
      <c r="Z79" s="11" t="s">
        <v>26</v>
      </c>
      <c r="AA79" s="2">
        <v>1863664010.0899999</v>
      </c>
      <c r="AB79" s="1">
        <v>1</v>
      </c>
      <c r="AC79" s="11" t="s">
        <v>26</v>
      </c>
      <c r="AD79" s="11" t="s">
        <v>26</v>
      </c>
      <c r="AE79" s="2">
        <v>8158287563.8900003</v>
      </c>
      <c r="AF79" s="1">
        <v>1</v>
      </c>
      <c r="AG79" s="11" t="s">
        <v>26</v>
      </c>
      <c r="AH79" s="11" t="s">
        <v>26</v>
      </c>
      <c r="AI79" s="2">
        <v>16515415.15</v>
      </c>
      <c r="AJ79" s="1">
        <v>1</v>
      </c>
      <c r="AK79" s="11" t="s">
        <v>26</v>
      </c>
      <c r="AL79" s="11" t="s">
        <v>26</v>
      </c>
      <c r="AM79" s="2">
        <v>118114982.78</v>
      </c>
      <c r="AN79" s="1">
        <v>1</v>
      </c>
      <c r="AO79" s="11" t="s">
        <v>26</v>
      </c>
      <c r="AP79" s="11" t="s">
        <v>26</v>
      </c>
      <c r="AQ79" s="2">
        <v>134630397.93000001</v>
      </c>
      <c r="AR79" s="1">
        <v>1</v>
      </c>
      <c r="AS79" s="11" t="s">
        <v>26</v>
      </c>
      <c r="AT79" s="11" t="s">
        <v>26</v>
      </c>
      <c r="AU79" s="2">
        <v>488729940.52999997</v>
      </c>
      <c r="AV79" s="1">
        <v>1</v>
      </c>
      <c r="AW79" s="11" t="s">
        <v>26</v>
      </c>
      <c r="AX79" s="11" t="s">
        <v>26</v>
      </c>
      <c r="AY79" s="2">
        <v>8781647902.3500004</v>
      </c>
      <c r="AZ79" s="1">
        <v>1</v>
      </c>
      <c r="BA79" s="11" t="s">
        <v>26</v>
      </c>
      <c r="BB79" s="11" t="s">
        <v>26</v>
      </c>
    </row>
    <row r="80" spans="1:54" s="7" customFormat="1">
      <c r="A80" s="5" t="s">
        <v>71</v>
      </c>
      <c r="B80" s="24" t="s">
        <v>25</v>
      </c>
      <c r="C80" s="10">
        <v>87668166.340000004</v>
      </c>
      <c r="D80" s="11">
        <v>1.390179963681E-2</v>
      </c>
      <c r="E80" s="11">
        <v>0.08</v>
      </c>
      <c r="F80" s="11">
        <v>6.6100000000000006E-2</v>
      </c>
      <c r="G80" s="10">
        <v>222785333.83000001</v>
      </c>
      <c r="H80" s="11">
        <v>1.48133374467E-3</v>
      </c>
      <c r="I80" s="11">
        <v>0.08</v>
      </c>
      <c r="J80" s="11">
        <v>7.85E-2</v>
      </c>
      <c r="K80" s="10">
        <v>105515244.38</v>
      </c>
      <c r="L80" s="11">
        <v>3.605404544021E-2</v>
      </c>
      <c r="M80" s="11">
        <v>0.08</v>
      </c>
      <c r="N80" s="11">
        <v>4.3900000000000002E-2</v>
      </c>
      <c r="O80" s="10">
        <v>2747586430.25</v>
      </c>
      <c r="P80" s="11">
        <v>1.2257433656079999E-2</v>
      </c>
      <c r="Q80" s="11">
        <v>0.08</v>
      </c>
      <c r="R80" s="11">
        <v>6.7699999999999996E-2</v>
      </c>
      <c r="S80" s="10">
        <v>2897988732.23</v>
      </c>
      <c r="T80" s="11">
        <v>2.6106222644160001E-2</v>
      </c>
      <c r="U80" s="11">
        <v>0.08</v>
      </c>
      <c r="V80" s="11">
        <v>5.3900000000000003E-2</v>
      </c>
      <c r="W80" s="10" t="s">
        <v>26</v>
      </c>
      <c r="X80" s="11" t="s">
        <v>26</v>
      </c>
      <c r="Y80" s="11" t="s">
        <v>26</v>
      </c>
      <c r="Z80" s="11" t="s">
        <v>26</v>
      </c>
      <c r="AA80" s="10">
        <v>1889581626.4100001</v>
      </c>
      <c r="AB80" s="11">
        <v>1.3668289473389999E-2</v>
      </c>
      <c r="AC80" s="11">
        <v>0.08</v>
      </c>
      <c r="AD80" s="11">
        <v>6.6299999999999998E-2</v>
      </c>
      <c r="AE80" s="10">
        <v>7951125533.4399996</v>
      </c>
      <c r="AF80" s="11">
        <v>1.243879163956E-2</v>
      </c>
      <c r="AG80" s="11">
        <v>0.08</v>
      </c>
      <c r="AH80" s="11">
        <v>6.7599999999999993E-2</v>
      </c>
      <c r="AI80" s="10">
        <v>617127062.86000001</v>
      </c>
      <c r="AJ80" s="11">
        <v>3.612739120235E-2</v>
      </c>
      <c r="AK80" s="11">
        <v>0.08</v>
      </c>
      <c r="AL80" s="11">
        <v>4.3900000000000002E-2</v>
      </c>
      <c r="AM80" s="10">
        <v>1694463641.0999999</v>
      </c>
      <c r="AN80" s="11">
        <v>7.1086922381149997E-2</v>
      </c>
      <c r="AO80" s="11">
        <v>0.08</v>
      </c>
      <c r="AP80" s="11">
        <v>8.8999999999999999E-3</v>
      </c>
      <c r="AQ80" s="10">
        <v>2311590703.96</v>
      </c>
      <c r="AR80" s="11">
        <v>5.6492592564050002E-2</v>
      </c>
      <c r="AS80" s="11">
        <v>0.08</v>
      </c>
      <c r="AT80" s="11">
        <v>2.35E-2</v>
      </c>
      <c r="AU80" s="10">
        <v>712586203.11000001</v>
      </c>
      <c r="AV80" s="11">
        <v>1.5819631271279999E-2</v>
      </c>
      <c r="AW80" s="11">
        <v>0.08</v>
      </c>
      <c r="AX80" s="11">
        <v>6.4199999999999993E-2</v>
      </c>
      <c r="AY80" s="10">
        <v>10975302440.51</v>
      </c>
      <c r="AZ80" s="11">
        <v>1.513452820223E-2</v>
      </c>
      <c r="BA80" s="11">
        <v>0.08</v>
      </c>
      <c r="BB80" s="11">
        <v>6.4899999999999999E-2</v>
      </c>
    </row>
    <row r="81" spans="1:54" s="7" customFormat="1">
      <c r="A81" s="3" t="s">
        <v>67</v>
      </c>
      <c r="B81" s="31" t="s">
        <v>56</v>
      </c>
      <c r="C81" s="2">
        <v>87668166.340000004</v>
      </c>
      <c r="D81" s="1">
        <v>1</v>
      </c>
      <c r="E81" s="11" t="s">
        <v>26</v>
      </c>
      <c r="F81" s="11" t="s">
        <v>26</v>
      </c>
      <c r="G81" s="2">
        <v>222785333.83000001</v>
      </c>
      <c r="H81" s="1">
        <v>1</v>
      </c>
      <c r="I81" s="11" t="s">
        <v>26</v>
      </c>
      <c r="J81" s="11" t="s">
        <v>26</v>
      </c>
      <c r="K81" s="2">
        <v>105515244.38</v>
      </c>
      <c r="L81" s="1">
        <v>1</v>
      </c>
      <c r="M81" s="11" t="s">
        <v>26</v>
      </c>
      <c r="N81" s="11" t="s">
        <v>26</v>
      </c>
      <c r="O81" s="2">
        <v>2747586430.25</v>
      </c>
      <c r="P81" s="1">
        <v>1</v>
      </c>
      <c r="Q81" s="11" t="s">
        <v>26</v>
      </c>
      <c r="R81" s="11" t="s">
        <v>26</v>
      </c>
      <c r="S81" s="2">
        <v>2897988732.23</v>
      </c>
      <c r="T81" s="1">
        <v>1</v>
      </c>
      <c r="U81" s="11" t="s">
        <v>26</v>
      </c>
      <c r="V81" s="11" t="s">
        <v>26</v>
      </c>
      <c r="W81" s="10" t="s">
        <v>26</v>
      </c>
      <c r="X81" s="11" t="s">
        <v>26</v>
      </c>
      <c r="Y81" s="11" t="s">
        <v>26</v>
      </c>
      <c r="Z81" s="11" t="s">
        <v>26</v>
      </c>
      <c r="AA81" s="2">
        <v>1889581626.4100001</v>
      </c>
      <c r="AB81" s="1">
        <v>1</v>
      </c>
      <c r="AC81" s="11" t="s">
        <v>26</v>
      </c>
      <c r="AD81" s="11" t="s">
        <v>26</v>
      </c>
      <c r="AE81" s="2">
        <v>7951125533.4399996</v>
      </c>
      <c r="AF81" s="1">
        <v>1</v>
      </c>
      <c r="AG81" s="11" t="s">
        <v>26</v>
      </c>
      <c r="AH81" s="11" t="s">
        <v>26</v>
      </c>
      <c r="AI81" s="2">
        <v>617127062.86000001</v>
      </c>
      <c r="AJ81" s="1">
        <v>1</v>
      </c>
      <c r="AK81" s="11" t="s">
        <v>26</v>
      </c>
      <c r="AL81" s="11" t="s">
        <v>26</v>
      </c>
      <c r="AM81" s="2">
        <v>1694463641.0999999</v>
      </c>
      <c r="AN81" s="1">
        <v>1</v>
      </c>
      <c r="AO81" s="11" t="s">
        <v>26</v>
      </c>
      <c r="AP81" s="11" t="s">
        <v>26</v>
      </c>
      <c r="AQ81" s="2">
        <v>2311590703.96</v>
      </c>
      <c r="AR81" s="1">
        <v>1</v>
      </c>
      <c r="AS81" s="11" t="s">
        <v>26</v>
      </c>
      <c r="AT81" s="11" t="s">
        <v>26</v>
      </c>
      <c r="AU81" s="2">
        <v>712586203.11000001</v>
      </c>
      <c r="AV81" s="1">
        <v>1</v>
      </c>
      <c r="AW81" s="11" t="s">
        <v>26</v>
      </c>
      <c r="AX81" s="11" t="s">
        <v>26</v>
      </c>
      <c r="AY81" s="2">
        <v>10975302440.51</v>
      </c>
      <c r="AZ81" s="1">
        <v>1</v>
      </c>
      <c r="BA81" s="11" t="s">
        <v>26</v>
      </c>
      <c r="BB81" s="11" t="s">
        <v>26</v>
      </c>
    </row>
    <row r="82" spans="1:54" s="7" customFormat="1">
      <c r="A82" s="5" t="s">
        <v>72</v>
      </c>
      <c r="B82" s="24" t="s">
        <v>25</v>
      </c>
      <c r="C82" s="10">
        <v>256804668.93000001</v>
      </c>
      <c r="D82" s="11">
        <v>4.0722273572100003E-2</v>
      </c>
      <c r="E82" s="11">
        <v>0.08</v>
      </c>
      <c r="F82" s="11">
        <v>3.9300000000000002E-2</v>
      </c>
      <c r="G82" s="10">
        <v>875453179.27999997</v>
      </c>
      <c r="H82" s="11">
        <v>5.8210220307199998E-3</v>
      </c>
      <c r="I82" s="11">
        <v>0.08</v>
      </c>
      <c r="J82" s="11">
        <v>7.4200000000000002E-2</v>
      </c>
      <c r="K82" s="10">
        <v>107143839.67</v>
      </c>
      <c r="L82" s="11">
        <v>3.6610528524089997E-2</v>
      </c>
      <c r="M82" s="11">
        <v>0.08</v>
      </c>
      <c r="N82" s="11">
        <v>4.3400000000000001E-2</v>
      </c>
      <c r="O82" s="10">
        <v>1865670157.03</v>
      </c>
      <c r="P82" s="11">
        <v>8.32306053129E-3</v>
      </c>
      <c r="Q82" s="11">
        <v>0.08</v>
      </c>
      <c r="R82" s="11">
        <v>7.17E-2</v>
      </c>
      <c r="S82" s="10" t="s">
        <v>26</v>
      </c>
      <c r="T82" s="11" t="s">
        <v>26</v>
      </c>
      <c r="U82" s="11" t="s">
        <v>26</v>
      </c>
      <c r="V82" s="11" t="s">
        <v>26</v>
      </c>
      <c r="W82" s="10" t="s">
        <v>26</v>
      </c>
      <c r="X82" s="11" t="s">
        <v>26</v>
      </c>
      <c r="Y82" s="11" t="s">
        <v>26</v>
      </c>
      <c r="Z82" s="11" t="s">
        <v>26</v>
      </c>
      <c r="AA82" s="10" t="s">
        <v>26</v>
      </c>
      <c r="AB82" s="11" t="s">
        <v>26</v>
      </c>
      <c r="AC82" s="11" t="s">
        <v>26</v>
      </c>
      <c r="AD82" s="11" t="s">
        <v>26</v>
      </c>
      <c r="AE82" s="10">
        <v>3105071844.9099998</v>
      </c>
      <c r="AF82" s="11">
        <v>4.8575942540799999E-3</v>
      </c>
      <c r="AG82" s="11">
        <v>0.08</v>
      </c>
      <c r="AH82" s="11">
        <v>7.51E-2</v>
      </c>
      <c r="AI82" s="10" t="s">
        <v>26</v>
      </c>
      <c r="AJ82" s="11" t="s">
        <v>26</v>
      </c>
      <c r="AK82" s="11" t="s">
        <v>26</v>
      </c>
      <c r="AL82" s="11" t="s">
        <v>26</v>
      </c>
      <c r="AM82" s="10">
        <v>371237499.50999999</v>
      </c>
      <c r="AN82" s="11">
        <v>1.557432728123E-2</v>
      </c>
      <c r="AO82" s="11">
        <v>0.08</v>
      </c>
      <c r="AP82" s="11">
        <v>6.4399999999999999E-2</v>
      </c>
      <c r="AQ82" s="10">
        <v>371237499.50999999</v>
      </c>
      <c r="AR82" s="11">
        <v>9.0726134035700005E-3</v>
      </c>
      <c r="AS82" s="11">
        <v>0.08</v>
      </c>
      <c r="AT82" s="11">
        <v>7.0900000000000005E-2</v>
      </c>
      <c r="AU82" s="10" t="s">
        <v>26</v>
      </c>
      <c r="AV82" s="11" t="s">
        <v>26</v>
      </c>
      <c r="AW82" s="11" t="s">
        <v>26</v>
      </c>
      <c r="AX82" s="11" t="s">
        <v>26</v>
      </c>
      <c r="AY82" s="10">
        <v>3476309344.4200001</v>
      </c>
      <c r="AZ82" s="11">
        <v>4.79369949921E-3</v>
      </c>
      <c r="BA82" s="11">
        <v>0.08</v>
      </c>
      <c r="BB82" s="11">
        <v>7.5200000000000003E-2</v>
      </c>
    </row>
    <row r="83" spans="1:54" s="7" customFormat="1">
      <c r="A83" s="3" t="s">
        <v>67</v>
      </c>
      <c r="B83" s="31" t="s">
        <v>56</v>
      </c>
      <c r="C83" s="2">
        <v>256804668.93000001</v>
      </c>
      <c r="D83" s="1">
        <v>1</v>
      </c>
      <c r="E83" s="11" t="s">
        <v>26</v>
      </c>
      <c r="F83" s="11" t="s">
        <v>26</v>
      </c>
      <c r="G83" s="2">
        <v>875453179.27999997</v>
      </c>
      <c r="H83" s="1">
        <v>1</v>
      </c>
      <c r="I83" s="11" t="s">
        <v>26</v>
      </c>
      <c r="J83" s="11" t="s">
        <v>26</v>
      </c>
      <c r="K83" s="2">
        <v>107143839.67</v>
      </c>
      <c r="L83" s="1">
        <v>1</v>
      </c>
      <c r="M83" s="11" t="s">
        <v>26</v>
      </c>
      <c r="N83" s="11" t="s">
        <v>26</v>
      </c>
      <c r="O83" s="2">
        <v>1865670157.03</v>
      </c>
      <c r="P83" s="1">
        <v>1</v>
      </c>
      <c r="Q83" s="11" t="s">
        <v>26</v>
      </c>
      <c r="R83" s="11" t="s">
        <v>26</v>
      </c>
      <c r="S83" s="10" t="s">
        <v>26</v>
      </c>
      <c r="T83" s="11" t="s">
        <v>26</v>
      </c>
      <c r="U83" s="11" t="s">
        <v>26</v>
      </c>
      <c r="V83" s="11" t="s">
        <v>26</v>
      </c>
      <c r="W83" s="10" t="s">
        <v>26</v>
      </c>
      <c r="X83" s="11" t="s">
        <v>26</v>
      </c>
      <c r="Y83" s="11" t="s">
        <v>26</v>
      </c>
      <c r="Z83" s="11" t="s">
        <v>26</v>
      </c>
      <c r="AA83" s="10" t="s">
        <v>26</v>
      </c>
      <c r="AB83" s="11" t="s">
        <v>26</v>
      </c>
      <c r="AC83" s="11" t="s">
        <v>26</v>
      </c>
      <c r="AD83" s="11" t="s">
        <v>26</v>
      </c>
      <c r="AE83" s="2">
        <v>3105071844.9099998</v>
      </c>
      <c r="AF83" s="1">
        <v>1</v>
      </c>
      <c r="AG83" s="11" t="s">
        <v>26</v>
      </c>
      <c r="AH83" s="11" t="s">
        <v>26</v>
      </c>
      <c r="AI83" s="10" t="s">
        <v>26</v>
      </c>
      <c r="AJ83" s="11" t="s">
        <v>26</v>
      </c>
      <c r="AK83" s="11" t="s">
        <v>26</v>
      </c>
      <c r="AL83" s="11" t="s">
        <v>26</v>
      </c>
      <c r="AM83" s="2">
        <v>371237499.50999999</v>
      </c>
      <c r="AN83" s="1">
        <v>1</v>
      </c>
      <c r="AO83" s="11" t="s">
        <v>26</v>
      </c>
      <c r="AP83" s="11" t="s">
        <v>26</v>
      </c>
      <c r="AQ83" s="2">
        <v>371237499.50999999</v>
      </c>
      <c r="AR83" s="1">
        <v>1</v>
      </c>
      <c r="AS83" s="11" t="s">
        <v>26</v>
      </c>
      <c r="AT83" s="11" t="s">
        <v>26</v>
      </c>
      <c r="AU83" s="10" t="s">
        <v>26</v>
      </c>
      <c r="AV83" s="11" t="s">
        <v>26</v>
      </c>
      <c r="AW83" s="11" t="s">
        <v>26</v>
      </c>
      <c r="AX83" s="11" t="s">
        <v>26</v>
      </c>
      <c r="AY83" s="2">
        <v>3476309344.4200001</v>
      </c>
      <c r="AZ83" s="1">
        <v>1</v>
      </c>
      <c r="BA83" s="11" t="s">
        <v>26</v>
      </c>
      <c r="BB83" s="11" t="s">
        <v>26</v>
      </c>
    </row>
    <row r="84" spans="1:54" s="7" customFormat="1">
      <c r="A84" s="5" t="s">
        <v>73</v>
      </c>
      <c r="B84" s="24" t="s">
        <v>25</v>
      </c>
      <c r="C84" s="10">
        <v>87830080.340000004</v>
      </c>
      <c r="D84" s="11">
        <v>1.392747481721E-2</v>
      </c>
      <c r="E84" s="11">
        <v>0.06</v>
      </c>
      <c r="F84" s="11">
        <v>4.6100000000000002E-2</v>
      </c>
      <c r="G84" s="10">
        <v>658468480.05999994</v>
      </c>
      <c r="H84" s="11">
        <v>4.3782575923899999E-3</v>
      </c>
      <c r="I84" s="11">
        <v>0.06</v>
      </c>
      <c r="J84" s="11">
        <v>5.5599999999999997E-2</v>
      </c>
      <c r="K84" s="10">
        <v>33710757.960000001</v>
      </c>
      <c r="L84" s="11">
        <v>1.151880191773E-2</v>
      </c>
      <c r="M84" s="11">
        <v>0.06</v>
      </c>
      <c r="N84" s="11">
        <v>4.8500000000000001E-2</v>
      </c>
      <c r="O84" s="10">
        <v>500194803.49000001</v>
      </c>
      <c r="P84" s="11">
        <v>2.2314510478699998E-3</v>
      </c>
      <c r="Q84" s="11">
        <v>0.06</v>
      </c>
      <c r="R84" s="11">
        <v>5.7799999999999997E-2</v>
      </c>
      <c r="S84" s="10">
        <v>330553825.36000001</v>
      </c>
      <c r="T84" s="11">
        <v>2.9777589073299998E-3</v>
      </c>
      <c r="U84" s="11">
        <v>0.06</v>
      </c>
      <c r="V84" s="11">
        <v>5.7000000000000002E-2</v>
      </c>
      <c r="W84" s="10" t="s">
        <v>26</v>
      </c>
      <c r="X84" s="11" t="s">
        <v>26</v>
      </c>
      <c r="Y84" s="11" t="s">
        <v>26</v>
      </c>
      <c r="Z84" s="11" t="s">
        <v>26</v>
      </c>
      <c r="AA84" s="10">
        <v>40087331.200000003</v>
      </c>
      <c r="AB84" s="11">
        <v>2.8997172675999998E-4</v>
      </c>
      <c r="AC84" s="11">
        <v>0.06</v>
      </c>
      <c r="AD84" s="11">
        <v>5.9700000000000003E-2</v>
      </c>
      <c r="AE84" s="10">
        <v>1650845278.4100001</v>
      </c>
      <c r="AF84" s="11">
        <v>2.5825929122800001E-3</v>
      </c>
      <c r="AG84" s="11">
        <v>0.06</v>
      </c>
      <c r="AH84" s="11">
        <v>5.74E-2</v>
      </c>
      <c r="AI84" s="10">
        <v>225711399.5</v>
      </c>
      <c r="AJ84" s="11">
        <v>1.321342802692E-2</v>
      </c>
      <c r="AK84" s="11">
        <v>0.06</v>
      </c>
      <c r="AL84" s="11">
        <v>4.6800000000000001E-2</v>
      </c>
      <c r="AM84" s="10" t="s">
        <v>26</v>
      </c>
      <c r="AN84" s="11" t="s">
        <v>26</v>
      </c>
      <c r="AO84" s="11" t="s">
        <v>26</v>
      </c>
      <c r="AP84" s="11" t="s">
        <v>26</v>
      </c>
      <c r="AQ84" s="10">
        <v>225711399.5</v>
      </c>
      <c r="AR84" s="11">
        <v>5.5161245055900003E-3</v>
      </c>
      <c r="AS84" s="11">
        <v>0.06</v>
      </c>
      <c r="AT84" s="11">
        <v>5.45E-2</v>
      </c>
      <c r="AU84" s="10" t="s">
        <v>26</v>
      </c>
      <c r="AV84" s="11" t="s">
        <v>26</v>
      </c>
      <c r="AW84" s="11" t="s">
        <v>26</v>
      </c>
      <c r="AX84" s="11" t="s">
        <v>26</v>
      </c>
      <c r="AY84" s="10">
        <v>1876556677.9100001</v>
      </c>
      <c r="AZ84" s="11">
        <v>2.5877008965199998E-3</v>
      </c>
      <c r="BA84" s="11">
        <v>0.06</v>
      </c>
      <c r="BB84" s="11">
        <v>5.74E-2</v>
      </c>
    </row>
    <row r="85" spans="1:54" s="7" customFormat="1">
      <c r="A85" s="3" t="s">
        <v>67</v>
      </c>
      <c r="B85" s="31" t="s">
        <v>46</v>
      </c>
      <c r="C85" s="2">
        <v>87830080.340000004</v>
      </c>
      <c r="D85" s="1">
        <v>1</v>
      </c>
      <c r="E85" s="11" t="s">
        <v>26</v>
      </c>
      <c r="F85" s="11" t="s">
        <v>26</v>
      </c>
      <c r="G85" s="2">
        <v>658468480.05999994</v>
      </c>
      <c r="H85" s="1">
        <v>1</v>
      </c>
      <c r="I85" s="11" t="s">
        <v>26</v>
      </c>
      <c r="J85" s="11" t="s">
        <v>26</v>
      </c>
      <c r="K85" s="2">
        <v>33710757.960000001</v>
      </c>
      <c r="L85" s="1">
        <v>1</v>
      </c>
      <c r="M85" s="11" t="s">
        <v>26</v>
      </c>
      <c r="N85" s="11" t="s">
        <v>26</v>
      </c>
      <c r="O85" s="2">
        <v>500194803.49000001</v>
      </c>
      <c r="P85" s="1">
        <v>1</v>
      </c>
      <c r="Q85" s="11" t="s">
        <v>26</v>
      </c>
      <c r="R85" s="11" t="s">
        <v>26</v>
      </c>
      <c r="S85" s="2">
        <v>330553825.36000001</v>
      </c>
      <c r="T85" s="1">
        <v>1</v>
      </c>
      <c r="U85" s="11" t="s">
        <v>26</v>
      </c>
      <c r="V85" s="11" t="s">
        <v>26</v>
      </c>
      <c r="W85" s="10" t="s">
        <v>26</v>
      </c>
      <c r="X85" s="11" t="s">
        <v>26</v>
      </c>
      <c r="Y85" s="11" t="s">
        <v>26</v>
      </c>
      <c r="Z85" s="11" t="s">
        <v>26</v>
      </c>
      <c r="AA85" s="2">
        <v>40087331.200000003</v>
      </c>
      <c r="AB85" s="1">
        <v>1</v>
      </c>
      <c r="AC85" s="11" t="s">
        <v>26</v>
      </c>
      <c r="AD85" s="11" t="s">
        <v>26</v>
      </c>
      <c r="AE85" s="2">
        <v>1650845278.4100001</v>
      </c>
      <c r="AF85" s="1">
        <v>1</v>
      </c>
      <c r="AG85" s="11" t="s">
        <v>26</v>
      </c>
      <c r="AH85" s="11" t="s">
        <v>26</v>
      </c>
      <c r="AI85" s="2">
        <v>225711399.5</v>
      </c>
      <c r="AJ85" s="1">
        <v>1</v>
      </c>
      <c r="AK85" s="11" t="s">
        <v>26</v>
      </c>
      <c r="AL85" s="11" t="s">
        <v>26</v>
      </c>
      <c r="AM85" s="10" t="s">
        <v>26</v>
      </c>
      <c r="AN85" s="11" t="s">
        <v>26</v>
      </c>
      <c r="AO85" s="11" t="s">
        <v>26</v>
      </c>
      <c r="AP85" s="11" t="s">
        <v>26</v>
      </c>
      <c r="AQ85" s="2">
        <v>225711399.5</v>
      </c>
      <c r="AR85" s="1">
        <v>1</v>
      </c>
      <c r="AS85" s="11" t="s">
        <v>26</v>
      </c>
      <c r="AT85" s="11" t="s">
        <v>26</v>
      </c>
      <c r="AU85" s="10" t="s">
        <v>26</v>
      </c>
      <c r="AV85" s="11" t="s">
        <v>26</v>
      </c>
      <c r="AW85" s="11" t="s">
        <v>26</v>
      </c>
      <c r="AX85" s="11" t="s">
        <v>26</v>
      </c>
      <c r="AY85" s="2">
        <v>1876556677.9100001</v>
      </c>
      <c r="AZ85" s="1">
        <v>1</v>
      </c>
      <c r="BA85" s="11" t="s">
        <v>26</v>
      </c>
      <c r="BB85" s="11" t="s">
        <v>26</v>
      </c>
    </row>
    <row r="86" spans="1:54" s="7" customFormat="1">
      <c r="A86" s="5" t="s">
        <v>74</v>
      </c>
      <c r="B86" s="24" t="s">
        <v>25</v>
      </c>
      <c r="C86" s="10">
        <v>43337250.5</v>
      </c>
      <c r="D86" s="11">
        <v>6.8721155969499997E-3</v>
      </c>
      <c r="E86" s="11">
        <v>0.06</v>
      </c>
      <c r="F86" s="11">
        <v>5.3100000000000001E-2</v>
      </c>
      <c r="G86" s="10">
        <v>1043774082.01</v>
      </c>
      <c r="H86" s="11">
        <v>6.9402134463299996E-3</v>
      </c>
      <c r="I86" s="11">
        <v>0.06</v>
      </c>
      <c r="J86" s="11">
        <v>5.3100000000000001E-2</v>
      </c>
      <c r="K86" s="10">
        <v>50383475</v>
      </c>
      <c r="L86" s="11">
        <v>1.7215788180739999E-2</v>
      </c>
      <c r="M86" s="11">
        <v>0.06</v>
      </c>
      <c r="N86" s="11">
        <v>4.2799999999999998E-2</v>
      </c>
      <c r="O86" s="10">
        <v>532650804.13</v>
      </c>
      <c r="P86" s="11">
        <v>2.37624258935E-3</v>
      </c>
      <c r="Q86" s="11">
        <v>0.06</v>
      </c>
      <c r="R86" s="11">
        <v>5.7599999999999998E-2</v>
      </c>
      <c r="S86" s="10">
        <v>310128682.22000003</v>
      </c>
      <c r="T86" s="11">
        <v>2.7937611821400002E-3</v>
      </c>
      <c r="U86" s="11">
        <v>0.06</v>
      </c>
      <c r="V86" s="11">
        <v>5.7200000000000001E-2</v>
      </c>
      <c r="W86" s="10" t="s">
        <v>26</v>
      </c>
      <c r="X86" s="11" t="s">
        <v>26</v>
      </c>
      <c r="Y86" s="11" t="s">
        <v>26</v>
      </c>
      <c r="Z86" s="11" t="s">
        <v>26</v>
      </c>
      <c r="AA86" s="10">
        <v>155996322</v>
      </c>
      <c r="AB86" s="11">
        <v>1.12839945948E-3</v>
      </c>
      <c r="AC86" s="11">
        <v>0.06</v>
      </c>
      <c r="AD86" s="11">
        <v>5.8900000000000001E-2</v>
      </c>
      <c r="AE86" s="10">
        <v>2136270615.8599999</v>
      </c>
      <c r="AF86" s="11">
        <v>3.3419954149399998E-3</v>
      </c>
      <c r="AG86" s="11">
        <v>0.06</v>
      </c>
      <c r="AH86" s="11">
        <v>5.67E-2</v>
      </c>
      <c r="AI86" s="10">
        <v>121701179</v>
      </c>
      <c r="AJ86" s="11">
        <v>7.1245394475899998E-3</v>
      </c>
      <c r="AK86" s="11">
        <v>0.06</v>
      </c>
      <c r="AL86" s="11">
        <v>5.2900000000000003E-2</v>
      </c>
      <c r="AM86" s="10" t="s">
        <v>26</v>
      </c>
      <c r="AN86" s="11" t="s">
        <v>26</v>
      </c>
      <c r="AO86" s="11" t="s">
        <v>26</v>
      </c>
      <c r="AP86" s="11" t="s">
        <v>26</v>
      </c>
      <c r="AQ86" s="10">
        <v>121701179</v>
      </c>
      <c r="AR86" s="11">
        <v>2.9742354942100002E-3</v>
      </c>
      <c r="AS86" s="11">
        <v>0.06</v>
      </c>
      <c r="AT86" s="11">
        <v>5.7000000000000002E-2</v>
      </c>
      <c r="AU86" s="10" t="s">
        <v>26</v>
      </c>
      <c r="AV86" s="11" t="s">
        <v>26</v>
      </c>
      <c r="AW86" s="11" t="s">
        <v>26</v>
      </c>
      <c r="AX86" s="11" t="s">
        <v>26</v>
      </c>
      <c r="AY86" s="10">
        <v>2257971794.8600001</v>
      </c>
      <c r="AZ86" s="11">
        <v>3.1136579601700001E-3</v>
      </c>
      <c r="BA86" s="11">
        <v>0.06</v>
      </c>
      <c r="BB86" s="11">
        <v>5.6899999999999999E-2</v>
      </c>
    </row>
    <row r="87" spans="1:54" s="7" customFormat="1">
      <c r="A87" s="3" t="s">
        <v>67</v>
      </c>
      <c r="B87" s="31" t="s">
        <v>46</v>
      </c>
      <c r="C87" s="2">
        <v>43337250.5</v>
      </c>
      <c r="D87" s="1">
        <v>1</v>
      </c>
      <c r="E87" s="11" t="s">
        <v>26</v>
      </c>
      <c r="F87" s="11" t="s">
        <v>26</v>
      </c>
      <c r="G87" s="2">
        <v>1043774082.01</v>
      </c>
      <c r="H87" s="1">
        <v>1</v>
      </c>
      <c r="I87" s="11" t="s">
        <v>26</v>
      </c>
      <c r="J87" s="11" t="s">
        <v>26</v>
      </c>
      <c r="K87" s="35">
        <v>50383475</v>
      </c>
      <c r="L87" s="59">
        <v>1</v>
      </c>
      <c r="M87" s="11" t="s">
        <v>26</v>
      </c>
      <c r="N87" s="11" t="s">
        <v>26</v>
      </c>
      <c r="O87" s="2">
        <v>532650804.13</v>
      </c>
      <c r="P87" s="1">
        <v>1</v>
      </c>
      <c r="Q87" s="11" t="s">
        <v>26</v>
      </c>
      <c r="R87" s="11" t="s">
        <v>26</v>
      </c>
      <c r="S87" s="2">
        <v>310128682.22000003</v>
      </c>
      <c r="T87" s="1">
        <v>1</v>
      </c>
      <c r="U87" s="11" t="s">
        <v>26</v>
      </c>
      <c r="V87" s="11" t="s">
        <v>26</v>
      </c>
      <c r="W87" s="10" t="s">
        <v>26</v>
      </c>
      <c r="X87" s="11" t="s">
        <v>26</v>
      </c>
      <c r="Y87" s="11" t="s">
        <v>26</v>
      </c>
      <c r="Z87" s="11" t="s">
        <v>26</v>
      </c>
      <c r="AA87" s="2">
        <v>155996322</v>
      </c>
      <c r="AB87" s="1">
        <v>1</v>
      </c>
      <c r="AC87" s="11" t="s">
        <v>26</v>
      </c>
      <c r="AD87" s="11" t="s">
        <v>26</v>
      </c>
      <c r="AE87" s="2">
        <v>2136270615.8599999</v>
      </c>
      <c r="AF87" s="1">
        <v>1</v>
      </c>
      <c r="AG87" s="11" t="s">
        <v>26</v>
      </c>
      <c r="AH87" s="11" t="s">
        <v>26</v>
      </c>
      <c r="AI87" s="2">
        <v>121701179</v>
      </c>
      <c r="AJ87" s="1">
        <v>1</v>
      </c>
      <c r="AK87" s="11" t="s">
        <v>26</v>
      </c>
      <c r="AL87" s="11" t="s">
        <v>26</v>
      </c>
      <c r="AM87" s="10" t="s">
        <v>26</v>
      </c>
      <c r="AN87" s="11" t="s">
        <v>26</v>
      </c>
      <c r="AO87" s="11" t="s">
        <v>26</v>
      </c>
      <c r="AP87" s="11" t="s">
        <v>26</v>
      </c>
      <c r="AQ87" s="2">
        <v>121701179</v>
      </c>
      <c r="AR87" s="1">
        <v>1</v>
      </c>
      <c r="AS87" s="11" t="s">
        <v>26</v>
      </c>
      <c r="AT87" s="11" t="s">
        <v>26</v>
      </c>
      <c r="AU87" s="10" t="s">
        <v>26</v>
      </c>
      <c r="AV87" s="11" t="s">
        <v>26</v>
      </c>
      <c r="AW87" s="11" t="s">
        <v>26</v>
      </c>
      <c r="AX87" s="11" t="s">
        <v>26</v>
      </c>
      <c r="AY87" s="2">
        <v>2257971794.8600001</v>
      </c>
      <c r="AZ87" s="1">
        <v>1</v>
      </c>
      <c r="BA87" s="11" t="s">
        <v>26</v>
      </c>
      <c r="BB87" s="11" t="s">
        <v>26</v>
      </c>
    </row>
    <row r="88" spans="1:54" s="7" customFormat="1">
      <c r="A88" s="13" t="s">
        <v>75</v>
      </c>
      <c r="B88" s="25" t="s">
        <v>25</v>
      </c>
      <c r="C88" s="56" t="s">
        <v>26</v>
      </c>
      <c r="D88" s="56" t="s">
        <v>26</v>
      </c>
      <c r="E88" s="56" t="s">
        <v>26</v>
      </c>
      <c r="F88" s="56" t="s">
        <v>26</v>
      </c>
      <c r="G88" s="56" t="s">
        <v>26</v>
      </c>
      <c r="H88" s="56" t="s">
        <v>26</v>
      </c>
      <c r="I88" s="56" t="s">
        <v>26</v>
      </c>
      <c r="J88" s="56" t="s">
        <v>26</v>
      </c>
      <c r="K88" s="56" t="s">
        <v>26</v>
      </c>
      <c r="L88" s="56" t="s">
        <v>26</v>
      </c>
      <c r="M88" s="56" t="s">
        <v>26</v>
      </c>
      <c r="N88" s="56" t="s">
        <v>26</v>
      </c>
      <c r="O88" s="55">
        <v>126812468.75</v>
      </c>
      <c r="P88" s="56">
        <v>5.6573121971999999E-4</v>
      </c>
      <c r="Q88" s="56" t="s">
        <v>26</v>
      </c>
      <c r="R88" s="56" t="s">
        <v>26</v>
      </c>
      <c r="S88" s="55">
        <v>240622440.06</v>
      </c>
      <c r="T88" s="56">
        <v>2.1676216071899999E-3</v>
      </c>
      <c r="U88" s="56" t="s">
        <v>26</v>
      </c>
      <c r="V88" s="56" t="s">
        <v>26</v>
      </c>
      <c r="W88" s="56" t="s">
        <v>26</v>
      </c>
      <c r="X88" s="56" t="s">
        <v>26</v>
      </c>
      <c r="Y88" s="56" t="s">
        <v>26</v>
      </c>
      <c r="Z88" s="56" t="s">
        <v>26</v>
      </c>
      <c r="AA88" s="55">
        <v>141015465.25</v>
      </c>
      <c r="AB88" s="56">
        <v>1.0200354259999999E-3</v>
      </c>
      <c r="AC88" s="56" t="s">
        <v>26</v>
      </c>
      <c r="AD88" s="56" t="s">
        <v>26</v>
      </c>
      <c r="AE88" s="55">
        <v>508450374.06</v>
      </c>
      <c r="AF88" s="56">
        <v>7.9542301720999999E-4</v>
      </c>
      <c r="AG88" s="56" t="s">
        <v>26</v>
      </c>
      <c r="AH88" s="56" t="s">
        <v>26</v>
      </c>
      <c r="AI88" s="55">
        <v>11055934.699999999</v>
      </c>
      <c r="AJ88" s="56">
        <v>6.4722826472999998E-4</v>
      </c>
      <c r="AK88" s="56" t="s">
        <v>26</v>
      </c>
      <c r="AL88" s="56" t="s">
        <v>26</v>
      </c>
      <c r="AM88" s="56" t="s">
        <v>26</v>
      </c>
      <c r="AN88" s="56" t="s">
        <v>26</v>
      </c>
      <c r="AO88" s="56" t="s">
        <v>26</v>
      </c>
      <c r="AP88" s="56" t="s">
        <v>26</v>
      </c>
      <c r="AQ88" s="55">
        <v>11055934.699999999</v>
      </c>
      <c r="AR88" s="56">
        <v>2.7019420580999998E-4</v>
      </c>
      <c r="AS88" s="56" t="s">
        <v>26</v>
      </c>
      <c r="AT88" s="56" t="s">
        <v>26</v>
      </c>
      <c r="AU88" s="55">
        <v>33167804.09</v>
      </c>
      <c r="AV88" s="56">
        <v>7.3633537738000004E-4</v>
      </c>
      <c r="AW88" s="56" t="s">
        <v>26</v>
      </c>
      <c r="AX88" s="56" t="s">
        <v>26</v>
      </c>
      <c r="AY88" s="55">
        <v>552674112.85000002</v>
      </c>
      <c r="AZ88" s="56">
        <v>7.6211676106000003E-4</v>
      </c>
      <c r="BA88" s="56" t="s">
        <v>26</v>
      </c>
      <c r="BB88" s="56" t="s">
        <v>26</v>
      </c>
    </row>
    <row r="89" spans="1:54" s="7" customFormat="1">
      <c r="A89" s="5" t="s">
        <v>76</v>
      </c>
      <c r="B89" s="24" t="s">
        <v>25</v>
      </c>
      <c r="C89" s="11" t="s">
        <v>26</v>
      </c>
      <c r="D89" s="11" t="s">
        <v>26</v>
      </c>
      <c r="E89" s="11" t="s">
        <v>26</v>
      </c>
      <c r="F89" s="11" t="s">
        <v>26</v>
      </c>
      <c r="G89" s="10" t="s">
        <v>26</v>
      </c>
      <c r="H89" s="11" t="s">
        <v>26</v>
      </c>
      <c r="I89" s="11" t="s">
        <v>26</v>
      </c>
      <c r="J89" s="11" t="s">
        <v>26</v>
      </c>
      <c r="K89" s="10" t="s">
        <v>26</v>
      </c>
      <c r="L89" s="11" t="s">
        <v>26</v>
      </c>
      <c r="M89" s="11" t="s">
        <v>26</v>
      </c>
      <c r="N89" s="11" t="s">
        <v>26</v>
      </c>
      <c r="O89" s="10" t="s">
        <v>26</v>
      </c>
      <c r="P89" s="11" t="s">
        <v>26</v>
      </c>
      <c r="Q89" s="11" t="s">
        <v>26</v>
      </c>
      <c r="R89" s="11" t="s">
        <v>26</v>
      </c>
      <c r="S89" s="10">
        <v>88447477.560000002</v>
      </c>
      <c r="T89" s="11">
        <v>7.9676967540000005E-4</v>
      </c>
      <c r="U89" s="11">
        <v>0.1</v>
      </c>
      <c r="V89" s="11">
        <v>9.9199999999999997E-2</v>
      </c>
      <c r="W89" s="10" t="s">
        <v>26</v>
      </c>
      <c r="X89" s="11" t="s">
        <v>26</v>
      </c>
      <c r="Y89" s="11" t="s">
        <v>26</v>
      </c>
      <c r="Z89" s="11" t="s">
        <v>26</v>
      </c>
      <c r="AA89" s="10" t="s">
        <v>26</v>
      </c>
      <c r="AB89" s="11" t="s">
        <v>26</v>
      </c>
      <c r="AC89" s="11" t="s">
        <v>26</v>
      </c>
      <c r="AD89" s="11" t="s">
        <v>26</v>
      </c>
      <c r="AE89" s="10">
        <v>88447477.560000002</v>
      </c>
      <c r="AF89" s="11">
        <v>1.3836779960000001E-4</v>
      </c>
      <c r="AG89" s="11">
        <v>0.1</v>
      </c>
      <c r="AH89" s="11">
        <v>9.9900000000000003E-2</v>
      </c>
      <c r="AI89" s="10">
        <v>11055934.699999999</v>
      </c>
      <c r="AJ89" s="11">
        <v>6.4722826472999998E-4</v>
      </c>
      <c r="AK89" s="11">
        <v>0.1</v>
      </c>
      <c r="AL89" s="11">
        <v>9.9400000000000002E-2</v>
      </c>
      <c r="AM89" s="10" t="s">
        <v>26</v>
      </c>
      <c r="AN89" s="11" t="s">
        <v>26</v>
      </c>
      <c r="AO89" s="11" t="s">
        <v>26</v>
      </c>
      <c r="AP89" s="11" t="s">
        <v>26</v>
      </c>
      <c r="AQ89" s="10">
        <v>11055934.699999999</v>
      </c>
      <c r="AR89" s="11">
        <v>2.7019420580999998E-4</v>
      </c>
      <c r="AS89" s="11">
        <v>0.1</v>
      </c>
      <c r="AT89" s="11">
        <v>9.9699999999999997E-2</v>
      </c>
      <c r="AU89" s="10">
        <v>33167804.09</v>
      </c>
      <c r="AV89" s="11">
        <v>7.3633537738000004E-4</v>
      </c>
      <c r="AW89" s="11">
        <v>0.1</v>
      </c>
      <c r="AX89" s="11">
        <v>9.9299999999999999E-2</v>
      </c>
      <c r="AY89" s="10">
        <v>132671216.34999999</v>
      </c>
      <c r="AZ89" s="11">
        <v>1.8294860449999999E-4</v>
      </c>
      <c r="BA89" s="11">
        <v>0.1</v>
      </c>
      <c r="BB89" s="11">
        <v>9.98E-2</v>
      </c>
    </row>
    <row r="90" spans="1:54" s="7" customFormat="1">
      <c r="A90" s="3" t="s">
        <v>77</v>
      </c>
      <c r="B90" s="31" t="s">
        <v>29</v>
      </c>
      <c r="C90" s="11" t="s">
        <v>26</v>
      </c>
      <c r="D90" s="11" t="s">
        <v>26</v>
      </c>
      <c r="E90" s="11" t="s">
        <v>26</v>
      </c>
      <c r="F90" s="11" t="s">
        <v>26</v>
      </c>
      <c r="G90" s="10" t="s">
        <v>26</v>
      </c>
      <c r="H90" s="11" t="s">
        <v>26</v>
      </c>
      <c r="I90" s="11" t="s">
        <v>26</v>
      </c>
      <c r="J90" s="11" t="s">
        <v>26</v>
      </c>
      <c r="K90" s="10" t="s">
        <v>26</v>
      </c>
      <c r="L90" s="11" t="s">
        <v>26</v>
      </c>
      <c r="M90" s="11" t="s">
        <v>26</v>
      </c>
      <c r="N90" s="11" t="s">
        <v>26</v>
      </c>
      <c r="O90" s="10" t="s">
        <v>26</v>
      </c>
      <c r="P90" s="11" t="s">
        <v>26</v>
      </c>
      <c r="Q90" s="11" t="s">
        <v>26</v>
      </c>
      <c r="R90" s="11" t="s">
        <v>26</v>
      </c>
      <c r="S90" s="2">
        <v>88447477.560000002</v>
      </c>
      <c r="T90" s="1">
        <v>1</v>
      </c>
      <c r="U90" s="11" t="s">
        <v>26</v>
      </c>
      <c r="V90" s="11" t="s">
        <v>26</v>
      </c>
      <c r="W90" s="10" t="s">
        <v>26</v>
      </c>
      <c r="X90" s="11" t="s">
        <v>26</v>
      </c>
      <c r="Y90" s="11" t="s">
        <v>26</v>
      </c>
      <c r="Z90" s="11" t="s">
        <v>26</v>
      </c>
      <c r="AA90" s="10" t="s">
        <v>26</v>
      </c>
      <c r="AB90" s="11" t="s">
        <v>26</v>
      </c>
      <c r="AC90" s="11" t="s">
        <v>26</v>
      </c>
      <c r="AD90" s="11" t="s">
        <v>26</v>
      </c>
      <c r="AE90" s="2">
        <v>88447477.560000002</v>
      </c>
      <c r="AF90" s="1">
        <v>1</v>
      </c>
      <c r="AG90" s="11" t="s">
        <v>26</v>
      </c>
      <c r="AH90" s="11" t="s">
        <v>26</v>
      </c>
      <c r="AI90" s="2">
        <v>11055934.699999999</v>
      </c>
      <c r="AJ90" s="1">
        <v>1</v>
      </c>
      <c r="AK90" s="11" t="s">
        <v>25</v>
      </c>
      <c r="AL90" s="11" t="s">
        <v>25</v>
      </c>
      <c r="AM90" s="10" t="s">
        <v>26</v>
      </c>
      <c r="AN90" s="11" t="s">
        <v>26</v>
      </c>
      <c r="AO90" s="11" t="s">
        <v>26</v>
      </c>
      <c r="AP90" s="11" t="s">
        <v>26</v>
      </c>
      <c r="AQ90" s="2">
        <v>11055934.699999999</v>
      </c>
      <c r="AR90" s="1">
        <v>1</v>
      </c>
      <c r="AS90" s="11" t="s">
        <v>26</v>
      </c>
      <c r="AT90" s="11" t="s">
        <v>26</v>
      </c>
      <c r="AU90" s="2">
        <v>33167804.09</v>
      </c>
      <c r="AV90" s="1">
        <v>1</v>
      </c>
      <c r="AW90" s="11" t="s">
        <v>26</v>
      </c>
      <c r="AX90" s="11" t="s">
        <v>26</v>
      </c>
      <c r="AY90" s="2">
        <v>132671216.34999999</v>
      </c>
      <c r="AZ90" s="1">
        <v>1</v>
      </c>
      <c r="BA90" s="11" t="s">
        <v>26</v>
      </c>
      <c r="BB90" s="11" t="s">
        <v>26</v>
      </c>
    </row>
    <row r="91" spans="1:54" s="7" customFormat="1">
      <c r="A91" s="5" t="s">
        <v>78</v>
      </c>
      <c r="B91" s="24" t="s">
        <v>25</v>
      </c>
      <c r="C91" s="11" t="s">
        <v>26</v>
      </c>
      <c r="D91" s="11" t="s">
        <v>26</v>
      </c>
      <c r="E91" s="11" t="s">
        <v>26</v>
      </c>
      <c r="F91" s="11" t="s">
        <v>26</v>
      </c>
      <c r="G91" s="10" t="s">
        <v>26</v>
      </c>
      <c r="H91" s="11" t="s">
        <v>26</v>
      </c>
      <c r="I91" s="11" t="s">
        <v>26</v>
      </c>
      <c r="J91" s="11" t="s">
        <v>26</v>
      </c>
      <c r="K91" s="10" t="s">
        <v>26</v>
      </c>
      <c r="L91" s="11" t="s">
        <v>26</v>
      </c>
      <c r="M91" s="11" t="s">
        <v>26</v>
      </c>
      <c r="N91" s="11" t="s">
        <v>26</v>
      </c>
      <c r="O91" s="10">
        <v>126812468.75</v>
      </c>
      <c r="P91" s="11">
        <v>5.6573121971999999E-4</v>
      </c>
      <c r="Q91" s="11">
        <v>0.09</v>
      </c>
      <c r="R91" s="11">
        <v>8.9399999999999993E-2</v>
      </c>
      <c r="S91" s="10">
        <v>152174962.5</v>
      </c>
      <c r="T91" s="11">
        <v>1.3708519317899999E-3</v>
      </c>
      <c r="U91" s="11">
        <v>0.09</v>
      </c>
      <c r="V91" s="11">
        <v>8.8599999999999998E-2</v>
      </c>
      <c r="W91" s="10" t="s">
        <v>26</v>
      </c>
      <c r="X91" s="11" t="s">
        <v>26</v>
      </c>
      <c r="Y91" s="11" t="s">
        <v>26</v>
      </c>
      <c r="Z91" s="11" t="s">
        <v>26</v>
      </c>
      <c r="AA91" s="10">
        <v>141015465.25</v>
      </c>
      <c r="AB91" s="11">
        <v>1.0200354259999999E-3</v>
      </c>
      <c r="AC91" s="11">
        <v>0.09</v>
      </c>
      <c r="AD91" s="11">
        <v>8.8999999999999996E-2</v>
      </c>
      <c r="AE91" s="10">
        <v>420002896.5</v>
      </c>
      <c r="AF91" s="11">
        <v>6.5705521760000001E-4</v>
      </c>
      <c r="AG91" s="11">
        <v>0.09</v>
      </c>
      <c r="AH91" s="11">
        <v>8.9300000000000004E-2</v>
      </c>
      <c r="AI91" s="10" t="s">
        <v>26</v>
      </c>
      <c r="AJ91" s="11" t="s">
        <v>26</v>
      </c>
      <c r="AK91" s="11" t="s">
        <v>26</v>
      </c>
      <c r="AL91" s="11" t="s">
        <v>26</v>
      </c>
      <c r="AM91" s="10" t="s">
        <v>26</v>
      </c>
      <c r="AN91" s="11" t="s">
        <v>26</v>
      </c>
      <c r="AO91" s="11" t="s">
        <v>26</v>
      </c>
      <c r="AP91" s="11" t="s">
        <v>26</v>
      </c>
      <c r="AQ91" s="10" t="s">
        <v>26</v>
      </c>
      <c r="AR91" s="11" t="s">
        <v>26</v>
      </c>
      <c r="AS91" s="11" t="s">
        <v>26</v>
      </c>
      <c r="AT91" s="11" t="s">
        <v>26</v>
      </c>
      <c r="AU91" s="10" t="s">
        <v>26</v>
      </c>
      <c r="AV91" s="11" t="s">
        <v>26</v>
      </c>
      <c r="AW91" s="11" t="s">
        <v>26</v>
      </c>
      <c r="AX91" s="11" t="s">
        <v>26</v>
      </c>
      <c r="AY91" s="10">
        <v>420002896.5</v>
      </c>
      <c r="AZ91" s="11">
        <v>5.7916815654999998E-4</v>
      </c>
      <c r="BA91" s="11">
        <v>0.09</v>
      </c>
      <c r="BB91" s="11">
        <v>8.9399999999999993E-2</v>
      </c>
    </row>
    <row r="92" spans="1:54" s="7" customFormat="1">
      <c r="A92" s="3" t="s">
        <v>77</v>
      </c>
      <c r="B92" s="31" t="s">
        <v>37</v>
      </c>
      <c r="C92" s="11" t="s">
        <v>26</v>
      </c>
      <c r="D92" s="11" t="s">
        <v>26</v>
      </c>
      <c r="E92" s="11" t="s">
        <v>26</v>
      </c>
      <c r="F92" s="11" t="s">
        <v>26</v>
      </c>
      <c r="G92" s="10" t="s">
        <v>26</v>
      </c>
      <c r="H92" s="11" t="s">
        <v>26</v>
      </c>
      <c r="I92" s="11" t="s">
        <v>26</v>
      </c>
      <c r="J92" s="11" t="s">
        <v>26</v>
      </c>
      <c r="K92" s="10" t="s">
        <v>26</v>
      </c>
      <c r="L92" s="11" t="s">
        <v>26</v>
      </c>
      <c r="M92" s="11" t="s">
        <v>26</v>
      </c>
      <c r="N92" s="11" t="s">
        <v>26</v>
      </c>
      <c r="O92" s="2">
        <v>126812468.75</v>
      </c>
      <c r="P92" s="1">
        <v>1</v>
      </c>
      <c r="Q92" s="11" t="s">
        <v>26</v>
      </c>
      <c r="R92" s="11" t="s">
        <v>26</v>
      </c>
      <c r="S92" s="2">
        <v>152174962.5</v>
      </c>
      <c r="T92" s="1">
        <v>1</v>
      </c>
      <c r="U92" s="11" t="s">
        <v>26</v>
      </c>
      <c r="V92" s="11" t="s">
        <v>26</v>
      </c>
      <c r="W92" s="10" t="s">
        <v>26</v>
      </c>
      <c r="X92" s="11" t="s">
        <v>26</v>
      </c>
      <c r="Y92" s="11" t="s">
        <v>26</v>
      </c>
      <c r="Z92" s="11" t="s">
        <v>26</v>
      </c>
      <c r="AA92" s="2">
        <v>141015465.25</v>
      </c>
      <c r="AB92" s="1">
        <v>1</v>
      </c>
      <c r="AC92" s="11" t="s">
        <v>26</v>
      </c>
      <c r="AD92" s="11" t="s">
        <v>26</v>
      </c>
      <c r="AE92" s="2">
        <v>420002896.5</v>
      </c>
      <c r="AF92" s="1">
        <v>1</v>
      </c>
      <c r="AG92" s="11" t="s">
        <v>26</v>
      </c>
      <c r="AH92" s="11" t="s">
        <v>26</v>
      </c>
      <c r="AI92" s="10" t="s">
        <v>26</v>
      </c>
      <c r="AJ92" s="11" t="s">
        <v>26</v>
      </c>
      <c r="AK92" s="11" t="s">
        <v>26</v>
      </c>
      <c r="AL92" s="11" t="s">
        <v>26</v>
      </c>
      <c r="AM92" s="10" t="s">
        <v>26</v>
      </c>
      <c r="AN92" s="11" t="s">
        <v>26</v>
      </c>
      <c r="AO92" s="11" t="s">
        <v>26</v>
      </c>
      <c r="AP92" s="11" t="s">
        <v>26</v>
      </c>
      <c r="AQ92" s="10" t="s">
        <v>26</v>
      </c>
      <c r="AR92" s="11" t="s">
        <v>26</v>
      </c>
      <c r="AS92" s="11" t="s">
        <v>26</v>
      </c>
      <c r="AT92" s="11" t="s">
        <v>26</v>
      </c>
      <c r="AU92" s="10" t="s">
        <v>26</v>
      </c>
      <c r="AV92" s="11" t="s">
        <v>26</v>
      </c>
      <c r="AW92" s="11" t="s">
        <v>26</v>
      </c>
      <c r="AX92" s="11" t="s">
        <v>26</v>
      </c>
      <c r="AY92" s="2">
        <v>420002896.5</v>
      </c>
      <c r="AZ92" s="1">
        <v>1</v>
      </c>
      <c r="BA92" s="11" t="s">
        <v>26</v>
      </c>
      <c r="BB92" s="11" t="s">
        <v>26</v>
      </c>
    </row>
    <row r="93" spans="1:54" s="7" customFormat="1">
      <c r="A93" s="13" t="s">
        <v>108</v>
      </c>
      <c r="B93" s="25" t="s">
        <v>25</v>
      </c>
      <c r="C93" s="56" t="s">
        <v>26</v>
      </c>
      <c r="D93" s="56" t="s">
        <v>26</v>
      </c>
      <c r="E93" s="56" t="s">
        <v>26</v>
      </c>
      <c r="F93" s="56" t="s">
        <v>26</v>
      </c>
      <c r="G93" s="55">
        <v>677047702.11000001</v>
      </c>
      <c r="H93" s="56">
        <v>4.5017936802400002E-3</v>
      </c>
      <c r="I93" s="56" t="s">
        <v>26</v>
      </c>
      <c r="J93" s="56" t="s">
        <v>26</v>
      </c>
      <c r="K93" s="55">
        <v>22765818.510000002</v>
      </c>
      <c r="L93" s="56">
        <v>7.7789693789400002E-3</v>
      </c>
      <c r="M93" s="56" t="s">
        <v>26</v>
      </c>
      <c r="N93" s="56" t="s">
        <v>26</v>
      </c>
      <c r="O93" s="55">
        <v>1963551846.49</v>
      </c>
      <c r="P93" s="56">
        <v>8.7597268000900001E-3</v>
      </c>
      <c r="Q93" s="56" t="s">
        <v>26</v>
      </c>
      <c r="R93" s="56" t="s">
        <v>26</v>
      </c>
      <c r="S93" s="55">
        <v>1281029151.46</v>
      </c>
      <c r="T93" s="56">
        <v>1.1540014586579999E-2</v>
      </c>
      <c r="U93" s="56" t="s">
        <v>26</v>
      </c>
      <c r="V93" s="56" t="s">
        <v>26</v>
      </c>
      <c r="W93" s="56" t="s">
        <v>26</v>
      </c>
      <c r="X93" s="56" t="s">
        <v>26</v>
      </c>
      <c r="Y93" s="56" t="s">
        <v>26</v>
      </c>
      <c r="Z93" s="56" t="s">
        <v>26</v>
      </c>
      <c r="AA93" s="55">
        <v>358570520.19999999</v>
      </c>
      <c r="AB93" s="56">
        <v>2.5937200056499999E-3</v>
      </c>
      <c r="AC93" s="56">
        <v>0.05</v>
      </c>
      <c r="AD93" s="56">
        <v>4.7399999999999998E-2</v>
      </c>
      <c r="AE93" s="55">
        <v>4302965038.7700005</v>
      </c>
      <c r="AF93" s="56">
        <v>6.7315860282300003E-3</v>
      </c>
      <c r="AG93" s="56" t="s">
        <v>26</v>
      </c>
      <c r="AH93" s="56" t="s">
        <v>26</v>
      </c>
      <c r="AI93" s="56" t="s">
        <v>26</v>
      </c>
      <c r="AJ93" s="56" t="s">
        <v>26</v>
      </c>
      <c r="AK93" s="56" t="s">
        <v>26</v>
      </c>
      <c r="AL93" s="56" t="s">
        <v>26</v>
      </c>
      <c r="AM93" s="56" t="s">
        <v>26</v>
      </c>
      <c r="AN93" s="56" t="s">
        <v>26</v>
      </c>
      <c r="AO93" s="56" t="s">
        <v>26</v>
      </c>
      <c r="AP93" s="56" t="s">
        <v>26</v>
      </c>
      <c r="AQ93" s="56" t="s">
        <v>26</v>
      </c>
      <c r="AR93" s="56" t="s">
        <v>26</v>
      </c>
      <c r="AS93" s="56" t="s">
        <v>26</v>
      </c>
      <c r="AT93" s="56" t="s">
        <v>26</v>
      </c>
      <c r="AU93" s="55">
        <v>635102226</v>
      </c>
      <c r="AV93" s="56">
        <v>1.409946332252E-2</v>
      </c>
      <c r="AW93" s="56" t="s">
        <v>26</v>
      </c>
      <c r="AX93" s="56" t="s">
        <v>26</v>
      </c>
      <c r="AY93" s="55">
        <v>4938067264.7700005</v>
      </c>
      <c r="AZ93" s="56">
        <v>6.8094085505400002E-3</v>
      </c>
      <c r="BA93" s="56" t="s">
        <v>26</v>
      </c>
      <c r="BB93" s="56" t="s">
        <v>26</v>
      </c>
    </row>
    <row r="94" spans="1:54" s="7" customFormat="1">
      <c r="A94" s="5" t="s">
        <v>80</v>
      </c>
      <c r="B94" s="24" t="s">
        <v>25</v>
      </c>
      <c r="C94" s="11" t="s">
        <v>26</v>
      </c>
      <c r="D94" s="11" t="s">
        <v>26</v>
      </c>
      <c r="E94" s="11" t="s">
        <v>26</v>
      </c>
      <c r="F94" s="11" t="s">
        <v>26</v>
      </c>
      <c r="G94" s="10" t="s">
        <v>26</v>
      </c>
      <c r="H94" s="11" t="s">
        <v>26</v>
      </c>
      <c r="I94" s="11" t="s">
        <v>26</v>
      </c>
      <c r="J94" s="11" t="s">
        <v>26</v>
      </c>
      <c r="K94" s="10" t="s">
        <v>26</v>
      </c>
      <c r="L94" s="11" t="s">
        <v>26</v>
      </c>
      <c r="M94" s="11" t="s">
        <v>26</v>
      </c>
      <c r="N94" s="11" t="s">
        <v>26</v>
      </c>
      <c r="O94" s="10" t="s">
        <v>26</v>
      </c>
      <c r="P94" s="11" t="s">
        <v>26</v>
      </c>
      <c r="Q94" s="11" t="s">
        <v>26</v>
      </c>
      <c r="R94" s="11" t="s">
        <v>26</v>
      </c>
      <c r="S94" s="10">
        <v>598054596.14999998</v>
      </c>
      <c r="T94" s="11">
        <v>5.3875110923699999E-3</v>
      </c>
      <c r="U94" s="11">
        <v>0.05</v>
      </c>
      <c r="V94" s="11">
        <f>+U94-T94</f>
        <v>4.4612488907630005E-2</v>
      </c>
      <c r="W94" s="10" t="s">
        <v>26</v>
      </c>
      <c r="X94" s="11" t="s">
        <v>26</v>
      </c>
      <c r="Y94" s="11" t="s">
        <v>26</v>
      </c>
      <c r="Z94" s="11" t="s">
        <v>26</v>
      </c>
      <c r="AA94" s="10" t="s">
        <v>26</v>
      </c>
      <c r="AB94" s="11" t="s">
        <v>26</v>
      </c>
      <c r="AC94" s="11" t="s">
        <v>26</v>
      </c>
      <c r="AD94" s="11" t="s">
        <v>26</v>
      </c>
      <c r="AE94" s="10">
        <v>598054596.14999998</v>
      </c>
      <c r="AF94" s="11">
        <v>9.3560043534999995E-4</v>
      </c>
      <c r="AG94" s="11">
        <v>0.05</v>
      </c>
      <c r="AH94" s="11">
        <v>4.9099999999999998E-2</v>
      </c>
      <c r="AI94" s="10" t="s">
        <v>26</v>
      </c>
      <c r="AJ94" s="11" t="s">
        <v>26</v>
      </c>
      <c r="AK94" s="11" t="s">
        <v>26</v>
      </c>
      <c r="AL94" s="11" t="s">
        <v>26</v>
      </c>
      <c r="AM94" s="10" t="s">
        <v>26</v>
      </c>
      <c r="AN94" s="11" t="s">
        <v>26</v>
      </c>
      <c r="AO94" s="11" t="s">
        <v>26</v>
      </c>
      <c r="AP94" s="11" t="s">
        <v>26</v>
      </c>
      <c r="AQ94" s="10" t="s">
        <v>26</v>
      </c>
      <c r="AR94" s="11" t="s">
        <v>26</v>
      </c>
      <c r="AS94" s="11" t="s">
        <v>26</v>
      </c>
      <c r="AT94" s="11" t="s">
        <v>26</v>
      </c>
      <c r="AU94" s="10">
        <v>635102226</v>
      </c>
      <c r="AV94" s="11">
        <v>1.409946332252E-2</v>
      </c>
      <c r="AW94" s="11">
        <v>0.05</v>
      </c>
      <c r="AX94" s="11">
        <v>3.5900000000000001E-2</v>
      </c>
      <c r="AY94" s="10">
        <v>1233156822.1500001</v>
      </c>
      <c r="AZ94" s="11">
        <v>1.70047675713E-3</v>
      </c>
      <c r="BA94" s="11">
        <v>0.05</v>
      </c>
      <c r="BB94" s="11">
        <v>4.8300000000000003E-2</v>
      </c>
    </row>
    <row r="95" spans="1:54" s="7" customFormat="1">
      <c r="A95" s="3" t="s">
        <v>81</v>
      </c>
      <c r="B95" s="31" t="s">
        <v>37</v>
      </c>
      <c r="C95" s="11" t="s">
        <v>26</v>
      </c>
      <c r="D95" s="11" t="s">
        <v>26</v>
      </c>
      <c r="E95" s="11" t="s">
        <v>26</v>
      </c>
      <c r="F95" s="11" t="s">
        <v>26</v>
      </c>
      <c r="G95" s="10" t="s">
        <v>26</v>
      </c>
      <c r="H95" s="11" t="s">
        <v>26</v>
      </c>
      <c r="I95" s="11" t="s">
        <v>26</v>
      </c>
      <c r="J95" s="11" t="s">
        <v>26</v>
      </c>
      <c r="K95" s="10" t="s">
        <v>26</v>
      </c>
      <c r="L95" s="11" t="s">
        <v>26</v>
      </c>
      <c r="M95" s="11" t="s">
        <v>26</v>
      </c>
      <c r="N95" s="11" t="s">
        <v>26</v>
      </c>
      <c r="O95" s="10" t="s">
        <v>26</v>
      </c>
      <c r="P95" s="11" t="s">
        <v>26</v>
      </c>
      <c r="Q95" s="11" t="s">
        <v>26</v>
      </c>
      <c r="R95" s="11" t="s">
        <v>26</v>
      </c>
      <c r="S95" s="2">
        <v>598054596.14999998</v>
      </c>
      <c r="T95" s="1">
        <v>1</v>
      </c>
      <c r="U95" s="11" t="s">
        <v>26</v>
      </c>
      <c r="V95" s="11" t="s">
        <v>26</v>
      </c>
      <c r="W95" s="10" t="s">
        <v>26</v>
      </c>
      <c r="X95" s="11" t="s">
        <v>26</v>
      </c>
      <c r="Y95" s="11" t="s">
        <v>26</v>
      </c>
      <c r="Z95" s="11" t="s">
        <v>26</v>
      </c>
      <c r="AA95" s="10" t="s">
        <v>26</v>
      </c>
      <c r="AB95" s="11" t="s">
        <v>26</v>
      </c>
      <c r="AC95" s="11" t="s">
        <v>26</v>
      </c>
      <c r="AD95" s="11" t="s">
        <v>26</v>
      </c>
      <c r="AE95" s="2">
        <v>598054596.14999998</v>
      </c>
      <c r="AF95" s="1">
        <v>1</v>
      </c>
      <c r="AG95" s="11" t="s">
        <v>26</v>
      </c>
      <c r="AH95" s="11" t="s">
        <v>26</v>
      </c>
      <c r="AI95" s="10" t="s">
        <v>26</v>
      </c>
      <c r="AJ95" s="11" t="s">
        <v>26</v>
      </c>
      <c r="AK95" s="11" t="s">
        <v>26</v>
      </c>
      <c r="AL95" s="11" t="s">
        <v>26</v>
      </c>
      <c r="AM95" s="10" t="s">
        <v>26</v>
      </c>
      <c r="AN95" s="11" t="s">
        <v>26</v>
      </c>
      <c r="AO95" s="11" t="s">
        <v>26</v>
      </c>
      <c r="AP95" s="11" t="s">
        <v>26</v>
      </c>
      <c r="AQ95" s="10" t="s">
        <v>26</v>
      </c>
      <c r="AR95" s="11" t="s">
        <v>26</v>
      </c>
      <c r="AS95" s="11" t="s">
        <v>26</v>
      </c>
      <c r="AT95" s="11" t="s">
        <v>26</v>
      </c>
      <c r="AU95" s="2">
        <v>635102226</v>
      </c>
      <c r="AV95" s="1">
        <v>1</v>
      </c>
      <c r="AW95" s="11" t="s">
        <v>26</v>
      </c>
      <c r="AX95" s="11" t="s">
        <v>26</v>
      </c>
      <c r="AY95" s="2">
        <v>1233156822.1500001</v>
      </c>
      <c r="AZ95" s="1">
        <v>1</v>
      </c>
      <c r="BA95" s="11" t="s">
        <v>26</v>
      </c>
      <c r="BB95" s="11" t="s">
        <v>26</v>
      </c>
    </row>
    <row r="96" spans="1:54" s="7" customFormat="1">
      <c r="A96" s="5" t="s">
        <v>82</v>
      </c>
      <c r="B96" s="24" t="s">
        <v>25</v>
      </c>
      <c r="C96" s="11" t="s">
        <v>26</v>
      </c>
      <c r="D96" s="11" t="s">
        <v>26</v>
      </c>
      <c r="E96" s="11" t="s">
        <v>26</v>
      </c>
      <c r="F96" s="11" t="s">
        <v>26</v>
      </c>
      <c r="G96" s="10">
        <v>677047702.11000001</v>
      </c>
      <c r="H96" s="11">
        <v>4.5017936802400002E-3</v>
      </c>
      <c r="I96" s="11">
        <v>0.05</v>
      </c>
      <c r="J96" s="11">
        <v>4.5499999999999999E-2</v>
      </c>
      <c r="K96" s="10">
        <v>22765818.510000002</v>
      </c>
      <c r="L96" s="11">
        <v>7.7789693789400002E-3</v>
      </c>
      <c r="M96" s="11">
        <v>0.05</v>
      </c>
      <c r="N96" s="11">
        <v>4.2200000000000001E-2</v>
      </c>
      <c r="O96" s="10">
        <v>1963551846.49</v>
      </c>
      <c r="P96" s="11">
        <v>8.7597268000900001E-3</v>
      </c>
      <c r="Q96" s="11">
        <v>0.05</v>
      </c>
      <c r="R96" s="11">
        <v>4.1240273199909999E-2</v>
      </c>
      <c r="S96" s="10">
        <v>682974555.30999994</v>
      </c>
      <c r="T96" s="11">
        <v>6.1525034942100003E-3</v>
      </c>
      <c r="U96" s="11">
        <v>0.05</v>
      </c>
      <c r="V96" s="11">
        <f>+U96-T96</f>
        <v>4.384749650579E-2</v>
      </c>
      <c r="W96" s="10" t="s">
        <v>26</v>
      </c>
      <c r="X96" s="11" t="s">
        <v>26</v>
      </c>
      <c r="Y96" s="11" t="s">
        <v>26</v>
      </c>
      <c r="Z96" s="11" t="s">
        <v>26</v>
      </c>
      <c r="AA96" s="10">
        <v>358570520.19999999</v>
      </c>
      <c r="AB96" s="11">
        <v>2.5937200056499999E-3</v>
      </c>
      <c r="AC96" s="11" t="s">
        <v>26</v>
      </c>
      <c r="AD96" s="11" t="s">
        <v>26</v>
      </c>
      <c r="AE96" s="10">
        <v>3704910442.6199999</v>
      </c>
      <c r="AF96" s="11">
        <v>5.7959855928800003E-3</v>
      </c>
      <c r="AG96" s="11">
        <v>0.05</v>
      </c>
      <c r="AH96" s="11">
        <v>4.4200000000000003E-2</v>
      </c>
      <c r="AI96" s="10" t="s">
        <v>26</v>
      </c>
      <c r="AJ96" s="11" t="s">
        <v>26</v>
      </c>
      <c r="AK96" s="11" t="s">
        <v>26</v>
      </c>
      <c r="AL96" s="11" t="s">
        <v>26</v>
      </c>
      <c r="AM96" s="10" t="s">
        <v>26</v>
      </c>
      <c r="AN96" s="11" t="s">
        <v>26</v>
      </c>
      <c r="AO96" s="11" t="s">
        <v>26</v>
      </c>
      <c r="AP96" s="11" t="s">
        <v>26</v>
      </c>
      <c r="AQ96" s="10" t="s">
        <v>26</v>
      </c>
      <c r="AR96" s="11" t="s">
        <v>26</v>
      </c>
      <c r="AS96" s="11" t="s">
        <v>26</v>
      </c>
      <c r="AT96" s="11" t="s">
        <v>26</v>
      </c>
      <c r="AU96" s="10" t="s">
        <v>26</v>
      </c>
      <c r="AV96" s="11" t="s">
        <v>26</v>
      </c>
      <c r="AW96" s="11" t="s">
        <v>26</v>
      </c>
      <c r="AX96" s="11" t="s">
        <v>26</v>
      </c>
      <c r="AY96" s="10">
        <v>3704910442.6199999</v>
      </c>
      <c r="AZ96" s="11">
        <v>5.1089317933999999E-3</v>
      </c>
      <c r="BA96" s="11">
        <v>0.05</v>
      </c>
      <c r="BB96" s="11">
        <v>4.4900000000000002E-2</v>
      </c>
    </row>
    <row r="97" spans="1:54" s="7" customFormat="1">
      <c r="A97" s="3" t="s">
        <v>83</v>
      </c>
      <c r="B97" s="31" t="s">
        <v>37</v>
      </c>
      <c r="C97" s="11" t="s">
        <v>26</v>
      </c>
      <c r="D97" s="11" t="s">
        <v>26</v>
      </c>
      <c r="E97" s="11" t="s">
        <v>26</v>
      </c>
      <c r="F97" s="11" t="s">
        <v>26</v>
      </c>
      <c r="G97" s="2">
        <v>677047702.11000001</v>
      </c>
      <c r="H97" s="1">
        <v>1</v>
      </c>
      <c r="I97" s="11" t="s">
        <v>26</v>
      </c>
      <c r="J97" s="11" t="s">
        <v>26</v>
      </c>
      <c r="K97" s="2">
        <v>22765818.510000002</v>
      </c>
      <c r="L97" s="1">
        <v>1</v>
      </c>
      <c r="M97" s="11" t="s">
        <v>26</v>
      </c>
      <c r="N97" s="11" t="s">
        <v>26</v>
      </c>
      <c r="O97" s="2">
        <v>1963551846.49</v>
      </c>
      <c r="P97" s="1">
        <v>1</v>
      </c>
      <c r="Q97" s="11" t="s">
        <v>26</v>
      </c>
      <c r="R97" s="11" t="s">
        <v>26</v>
      </c>
      <c r="S97" s="2">
        <v>682974555.30999994</v>
      </c>
      <c r="T97" s="1">
        <v>1</v>
      </c>
      <c r="U97" s="11" t="s">
        <v>26</v>
      </c>
      <c r="V97" s="11" t="s">
        <v>26</v>
      </c>
      <c r="W97" s="10" t="s">
        <v>26</v>
      </c>
      <c r="X97" s="11" t="s">
        <v>26</v>
      </c>
      <c r="Y97" s="11" t="s">
        <v>26</v>
      </c>
      <c r="Z97" s="11" t="s">
        <v>26</v>
      </c>
      <c r="AA97" s="2">
        <v>358570520.19999999</v>
      </c>
      <c r="AB97" s="1">
        <v>1</v>
      </c>
      <c r="AC97" s="11" t="s">
        <v>26</v>
      </c>
      <c r="AD97" s="11" t="s">
        <v>26</v>
      </c>
      <c r="AE97" s="2">
        <v>3704910442.6199999</v>
      </c>
      <c r="AF97" s="1">
        <v>1</v>
      </c>
      <c r="AG97" s="11" t="s">
        <v>25</v>
      </c>
      <c r="AH97" s="11" t="s">
        <v>25</v>
      </c>
      <c r="AI97" s="10" t="s">
        <v>26</v>
      </c>
      <c r="AJ97" s="11" t="s">
        <v>26</v>
      </c>
      <c r="AK97" s="11" t="s">
        <v>26</v>
      </c>
      <c r="AL97" s="11" t="s">
        <v>26</v>
      </c>
      <c r="AM97" s="10" t="s">
        <v>26</v>
      </c>
      <c r="AN97" s="11" t="s">
        <v>26</v>
      </c>
      <c r="AO97" s="11" t="s">
        <v>26</v>
      </c>
      <c r="AP97" s="11" t="s">
        <v>26</v>
      </c>
      <c r="AQ97" s="10" t="s">
        <v>26</v>
      </c>
      <c r="AR97" s="11" t="s">
        <v>26</v>
      </c>
      <c r="AS97" s="11" t="s">
        <v>26</v>
      </c>
      <c r="AT97" s="11" t="s">
        <v>26</v>
      </c>
      <c r="AU97" s="10" t="s">
        <v>26</v>
      </c>
      <c r="AV97" s="11" t="s">
        <v>26</v>
      </c>
      <c r="AW97" s="11" t="s">
        <v>26</v>
      </c>
      <c r="AX97" s="11" t="s">
        <v>26</v>
      </c>
      <c r="AY97" s="2">
        <v>3704910442.6199999</v>
      </c>
      <c r="AZ97" s="1">
        <v>1</v>
      </c>
      <c r="BA97" s="11" t="s">
        <v>26</v>
      </c>
      <c r="BB97" s="11" t="s">
        <v>26</v>
      </c>
    </row>
    <row r="98" spans="1:54" s="7" customFormat="1">
      <c r="A98" s="13" t="s">
        <v>84</v>
      </c>
      <c r="B98" s="25" t="s">
        <v>25</v>
      </c>
      <c r="C98" s="56" t="s">
        <v>26</v>
      </c>
      <c r="D98" s="56" t="s">
        <v>26</v>
      </c>
      <c r="E98" s="56" t="s">
        <v>26</v>
      </c>
      <c r="F98" s="56" t="s">
        <v>26</v>
      </c>
      <c r="G98" s="55">
        <v>6704936026.8699999</v>
      </c>
      <c r="H98" s="56">
        <v>4.4582144711679997E-2</v>
      </c>
      <c r="I98" s="56">
        <v>0.15</v>
      </c>
      <c r="J98" s="56">
        <f>+I98-H98</f>
        <v>0.10541785528832</v>
      </c>
      <c r="K98" s="55">
        <v>131505424.18000001</v>
      </c>
      <c r="L98" s="56">
        <v>4.4934763378309997E-2</v>
      </c>
      <c r="M98" s="56">
        <v>0.15</v>
      </c>
      <c r="N98" s="56">
        <f>+M98-L98</f>
        <v>0.10506523662169</v>
      </c>
      <c r="O98" s="55">
        <v>23433005085.68</v>
      </c>
      <c r="P98" s="56">
        <v>0.10453847858544001</v>
      </c>
      <c r="Q98" s="56">
        <v>0.15</v>
      </c>
      <c r="R98" s="56">
        <f>+Q98-P98</f>
        <v>4.5461521414559988E-2</v>
      </c>
      <c r="S98" s="55">
        <v>4993208111.9200001</v>
      </c>
      <c r="T98" s="56">
        <v>4.498078313027E-2</v>
      </c>
      <c r="U98" s="56">
        <v>0.15</v>
      </c>
      <c r="V98" s="56">
        <f>+U98-T98</f>
        <v>0.10501921686972999</v>
      </c>
      <c r="W98" s="56" t="s">
        <v>26</v>
      </c>
      <c r="X98" s="56" t="s">
        <v>26</v>
      </c>
      <c r="Y98" s="56" t="s">
        <v>26</v>
      </c>
      <c r="Z98" s="56" t="s">
        <v>26</v>
      </c>
      <c r="AA98" s="55">
        <v>5976743342.6300001</v>
      </c>
      <c r="AB98" s="56">
        <v>4.3232775432120001E-2</v>
      </c>
      <c r="AC98" s="56">
        <v>0.15</v>
      </c>
      <c r="AD98" s="56">
        <v>0.10501921686972999</v>
      </c>
      <c r="AE98" s="55">
        <v>41239397991.279999</v>
      </c>
      <c r="AF98" s="56">
        <v>6.4515177982929994E-2</v>
      </c>
      <c r="AG98" s="56">
        <v>0.15</v>
      </c>
      <c r="AH98" s="56">
        <f>+AG98-AF98</f>
        <v>8.548482201707E-2</v>
      </c>
      <c r="AI98" s="56" t="s">
        <v>26</v>
      </c>
      <c r="AJ98" s="56" t="s">
        <v>26</v>
      </c>
      <c r="AK98" s="56" t="s">
        <v>26</v>
      </c>
      <c r="AL98" s="56" t="s">
        <v>26</v>
      </c>
      <c r="AM98" s="56" t="s">
        <v>26</v>
      </c>
      <c r="AN98" s="56" t="s">
        <v>26</v>
      </c>
      <c r="AO98" s="56" t="s">
        <v>26</v>
      </c>
      <c r="AP98" s="56" t="s">
        <v>26</v>
      </c>
      <c r="AQ98" s="56" t="s">
        <v>26</v>
      </c>
      <c r="AR98" s="56" t="s">
        <v>26</v>
      </c>
      <c r="AS98" s="56" t="s">
        <v>26</v>
      </c>
      <c r="AT98" s="56" t="s">
        <v>26</v>
      </c>
      <c r="AU98" s="55">
        <v>1854476204.8299999</v>
      </c>
      <c r="AV98" s="56">
        <v>4.1169937943970003E-2</v>
      </c>
      <c r="AW98" s="56">
        <v>0.15</v>
      </c>
      <c r="AX98" s="56">
        <f>+AW98-AV98</f>
        <v>0.10883006205602999</v>
      </c>
      <c r="AY98" s="55">
        <v>43093874196.110001</v>
      </c>
      <c r="AZ98" s="56">
        <v>5.9424827506979999E-2</v>
      </c>
      <c r="BA98" s="56">
        <v>0.15</v>
      </c>
      <c r="BB98" s="56">
        <f>+BA98-AZ98</f>
        <v>9.0575172493019995E-2</v>
      </c>
    </row>
    <row r="99" spans="1:54" s="7" customFormat="1">
      <c r="A99" s="5" t="s">
        <v>85</v>
      </c>
      <c r="B99" s="24" t="s">
        <v>25</v>
      </c>
      <c r="C99" s="11" t="s">
        <v>26</v>
      </c>
      <c r="D99" s="11" t="s">
        <v>26</v>
      </c>
      <c r="E99" s="11" t="s">
        <v>26</v>
      </c>
      <c r="F99" s="11" t="s">
        <v>26</v>
      </c>
      <c r="G99" s="10">
        <v>542391695.42999995</v>
      </c>
      <c r="H99" s="11">
        <v>3.6064453052400002E-3</v>
      </c>
      <c r="I99" s="11" t="s">
        <v>26</v>
      </c>
      <c r="J99" s="11" t="s">
        <v>26</v>
      </c>
      <c r="K99" s="10">
        <v>63810787.689999998</v>
      </c>
      <c r="L99" s="11">
        <v>2.180383557342E-2</v>
      </c>
      <c r="M99" s="11" t="s">
        <v>26</v>
      </c>
      <c r="N99" s="11" t="s">
        <v>26</v>
      </c>
      <c r="O99" s="10" t="s">
        <v>26</v>
      </c>
      <c r="P99" s="11" t="s">
        <v>26</v>
      </c>
      <c r="Q99" s="11" t="s">
        <v>26</v>
      </c>
      <c r="R99" s="11" t="s">
        <v>26</v>
      </c>
      <c r="S99" s="10">
        <v>282797809.11000001</v>
      </c>
      <c r="T99" s="11">
        <v>2.5475539244899999E-3</v>
      </c>
      <c r="U99" s="11" t="s">
        <v>26</v>
      </c>
      <c r="V99" s="11" t="s">
        <v>26</v>
      </c>
      <c r="W99" s="10" t="s">
        <v>26</v>
      </c>
      <c r="X99" s="11" t="s">
        <v>26</v>
      </c>
      <c r="Y99" s="11" t="s">
        <v>26</v>
      </c>
      <c r="Z99" s="11" t="s">
        <v>26</v>
      </c>
      <c r="AA99" s="10">
        <v>227688492.47</v>
      </c>
      <c r="AB99" s="11">
        <v>1.64698480412E-3</v>
      </c>
      <c r="AC99" s="11" t="s">
        <v>26</v>
      </c>
      <c r="AD99" s="11" t="s">
        <v>26</v>
      </c>
      <c r="AE99" s="10">
        <v>1116688784.7</v>
      </c>
      <c r="AF99" s="11">
        <v>1.7469550770800001E-3</v>
      </c>
      <c r="AG99" s="11" t="s">
        <v>26</v>
      </c>
      <c r="AH99" s="11" t="s">
        <v>26</v>
      </c>
      <c r="AI99" s="10" t="s">
        <v>26</v>
      </c>
      <c r="AJ99" s="11" t="s">
        <v>26</v>
      </c>
      <c r="AK99" s="11" t="s">
        <v>26</v>
      </c>
      <c r="AL99" s="11" t="s">
        <v>26</v>
      </c>
      <c r="AM99" s="10" t="s">
        <v>26</v>
      </c>
      <c r="AN99" s="11" t="s">
        <v>26</v>
      </c>
      <c r="AO99" s="11" t="s">
        <v>26</v>
      </c>
      <c r="AP99" s="11" t="s">
        <v>26</v>
      </c>
      <c r="AQ99" s="10" t="s">
        <v>26</v>
      </c>
      <c r="AR99" s="11" t="s">
        <v>26</v>
      </c>
      <c r="AS99" s="11" t="s">
        <v>26</v>
      </c>
      <c r="AT99" s="11" t="s">
        <v>26</v>
      </c>
      <c r="AU99" s="10" t="s">
        <v>26</v>
      </c>
      <c r="AV99" s="11" t="s">
        <v>26</v>
      </c>
      <c r="AW99" s="11" t="s">
        <v>26</v>
      </c>
      <c r="AX99" s="11" t="s">
        <v>26</v>
      </c>
      <c r="AY99" s="10">
        <v>1116688784.7</v>
      </c>
      <c r="AZ99" s="11">
        <v>1.53987172534E-3</v>
      </c>
      <c r="BA99" s="11" t="s">
        <v>26</v>
      </c>
      <c r="BB99" s="11" t="s">
        <v>26</v>
      </c>
    </row>
    <row r="100" spans="1:54" s="7" customFormat="1">
      <c r="A100" s="3" t="s">
        <v>86</v>
      </c>
      <c r="B100" s="31" t="s">
        <v>46</v>
      </c>
      <c r="C100" s="11" t="s">
        <v>26</v>
      </c>
      <c r="D100" s="11" t="s">
        <v>26</v>
      </c>
      <c r="E100" s="11" t="s">
        <v>26</v>
      </c>
      <c r="F100" s="11" t="s">
        <v>26</v>
      </c>
      <c r="G100" s="2">
        <v>542391695.42999995</v>
      </c>
      <c r="H100" s="1">
        <v>1</v>
      </c>
      <c r="I100" s="11" t="s">
        <v>26</v>
      </c>
      <c r="J100" s="11" t="s">
        <v>26</v>
      </c>
      <c r="K100" s="2">
        <v>63810787.689999998</v>
      </c>
      <c r="L100" s="1">
        <v>1</v>
      </c>
      <c r="M100" s="11" t="s">
        <v>26</v>
      </c>
      <c r="N100" s="11" t="s">
        <v>26</v>
      </c>
      <c r="O100" s="10" t="s">
        <v>26</v>
      </c>
      <c r="P100" s="11" t="s">
        <v>26</v>
      </c>
      <c r="Q100" s="11" t="s">
        <v>26</v>
      </c>
      <c r="R100" s="11" t="s">
        <v>26</v>
      </c>
      <c r="S100" s="2">
        <v>282797809.11000001</v>
      </c>
      <c r="T100" s="1">
        <v>1</v>
      </c>
      <c r="U100" s="11" t="s">
        <v>26</v>
      </c>
      <c r="V100" s="11" t="s">
        <v>26</v>
      </c>
      <c r="W100" s="10" t="s">
        <v>26</v>
      </c>
      <c r="X100" s="11" t="s">
        <v>26</v>
      </c>
      <c r="Y100" s="11" t="s">
        <v>26</v>
      </c>
      <c r="Z100" s="11" t="s">
        <v>26</v>
      </c>
      <c r="AA100" s="2">
        <v>227688492.47</v>
      </c>
      <c r="AB100" s="1">
        <v>1</v>
      </c>
      <c r="AC100" s="11" t="s">
        <v>26</v>
      </c>
      <c r="AD100" s="11" t="s">
        <v>26</v>
      </c>
      <c r="AE100" s="2">
        <v>1116688784.7</v>
      </c>
      <c r="AF100" s="1">
        <v>1</v>
      </c>
      <c r="AG100" s="11" t="s">
        <v>26</v>
      </c>
      <c r="AH100" s="11" t="s">
        <v>26</v>
      </c>
      <c r="AI100" s="10" t="s">
        <v>26</v>
      </c>
      <c r="AJ100" s="11" t="s">
        <v>26</v>
      </c>
      <c r="AK100" s="11" t="s">
        <v>26</v>
      </c>
      <c r="AL100" s="11" t="s">
        <v>26</v>
      </c>
      <c r="AM100" s="10" t="s">
        <v>26</v>
      </c>
      <c r="AN100" s="11" t="s">
        <v>26</v>
      </c>
      <c r="AO100" s="11" t="s">
        <v>26</v>
      </c>
      <c r="AP100" s="11" t="s">
        <v>26</v>
      </c>
      <c r="AQ100" s="10" t="s">
        <v>26</v>
      </c>
      <c r="AR100" s="11" t="s">
        <v>26</v>
      </c>
      <c r="AS100" s="11" t="s">
        <v>26</v>
      </c>
      <c r="AT100" s="11" t="s">
        <v>26</v>
      </c>
      <c r="AU100" s="10" t="s">
        <v>26</v>
      </c>
      <c r="AV100" s="11" t="s">
        <v>26</v>
      </c>
      <c r="AW100" s="11" t="s">
        <v>26</v>
      </c>
      <c r="AX100" s="11" t="s">
        <v>26</v>
      </c>
      <c r="AY100" s="2">
        <v>1116688784.7</v>
      </c>
      <c r="AZ100" s="1">
        <v>1</v>
      </c>
      <c r="BA100" s="11" t="s">
        <v>26</v>
      </c>
      <c r="BB100" s="11" t="s">
        <v>26</v>
      </c>
    </row>
    <row r="101" spans="1:54" s="7" customFormat="1">
      <c r="A101" s="5" t="s">
        <v>87</v>
      </c>
      <c r="B101" s="24" t="s">
        <v>25</v>
      </c>
      <c r="C101" s="11" t="s">
        <v>26</v>
      </c>
      <c r="D101" s="11" t="s">
        <v>26</v>
      </c>
      <c r="E101" s="11" t="s">
        <v>26</v>
      </c>
      <c r="F101" s="11" t="s">
        <v>26</v>
      </c>
      <c r="G101" s="10">
        <v>1907354630.8900001</v>
      </c>
      <c r="H101" s="11">
        <v>1.2682292542399999E-2</v>
      </c>
      <c r="I101" s="11" t="s">
        <v>26</v>
      </c>
      <c r="J101" s="11" t="s">
        <v>26</v>
      </c>
      <c r="K101" s="10" t="s">
        <v>26</v>
      </c>
      <c r="L101" s="11" t="s">
        <v>26</v>
      </c>
      <c r="M101" s="11" t="s">
        <v>26</v>
      </c>
      <c r="N101" s="11" t="s">
        <v>26</v>
      </c>
      <c r="O101" s="10">
        <v>3420377715.3899999</v>
      </c>
      <c r="P101" s="11">
        <v>1.5258865913570001E-2</v>
      </c>
      <c r="Q101" s="11" t="s">
        <v>26</v>
      </c>
      <c r="R101" s="11" t="s">
        <v>26</v>
      </c>
      <c r="S101" s="10">
        <v>1246537656.28</v>
      </c>
      <c r="T101" s="11">
        <v>1.1229301628140001E-2</v>
      </c>
      <c r="U101" s="11" t="s">
        <v>26</v>
      </c>
      <c r="V101" s="11" t="s">
        <v>26</v>
      </c>
      <c r="W101" s="10" t="s">
        <v>26</v>
      </c>
      <c r="X101" s="11" t="s">
        <v>26</v>
      </c>
      <c r="Y101" s="11" t="s">
        <v>26</v>
      </c>
      <c r="Z101" s="11" t="s">
        <v>26</v>
      </c>
      <c r="AA101" s="10">
        <v>1906138496.5999999</v>
      </c>
      <c r="AB101" s="11">
        <v>1.3788053600739999E-2</v>
      </c>
      <c r="AC101" s="11" t="s">
        <v>26</v>
      </c>
      <c r="AD101" s="11" t="s">
        <v>26</v>
      </c>
      <c r="AE101" s="10">
        <v>8480408499.1599998</v>
      </c>
      <c r="AF101" s="11">
        <v>1.32668052964E-2</v>
      </c>
      <c r="AG101" s="11" t="s">
        <v>26</v>
      </c>
      <c r="AH101" s="11" t="s">
        <v>26</v>
      </c>
      <c r="AI101" s="10" t="s">
        <v>26</v>
      </c>
      <c r="AJ101" s="11" t="s">
        <v>26</v>
      </c>
      <c r="AK101" s="11" t="s">
        <v>26</v>
      </c>
      <c r="AL101" s="11" t="s">
        <v>26</v>
      </c>
      <c r="AM101" s="10" t="s">
        <v>26</v>
      </c>
      <c r="AN101" s="11" t="s">
        <v>26</v>
      </c>
      <c r="AO101" s="11" t="s">
        <v>26</v>
      </c>
      <c r="AP101" s="11" t="s">
        <v>26</v>
      </c>
      <c r="AQ101" s="10" t="s">
        <v>26</v>
      </c>
      <c r="AR101" s="11" t="s">
        <v>26</v>
      </c>
      <c r="AS101" s="11" t="s">
        <v>26</v>
      </c>
      <c r="AT101" s="11" t="s">
        <v>26</v>
      </c>
      <c r="AU101" s="10">
        <v>312698531.58999997</v>
      </c>
      <c r="AV101" s="11">
        <v>6.9420028724000004E-3</v>
      </c>
      <c r="AW101" s="11" t="s">
        <v>26</v>
      </c>
      <c r="AX101" s="11" t="s">
        <v>26</v>
      </c>
      <c r="AY101" s="10">
        <v>8793107030.75</v>
      </c>
      <c r="AZ101" s="11">
        <v>1.212536301969E-2</v>
      </c>
      <c r="BA101" s="11" t="s">
        <v>26</v>
      </c>
      <c r="BB101" s="11" t="s">
        <v>26</v>
      </c>
    </row>
    <row r="102" spans="1:54" s="7" customFormat="1">
      <c r="A102" s="3" t="s">
        <v>86</v>
      </c>
      <c r="B102" s="31" t="s">
        <v>46</v>
      </c>
      <c r="C102" s="11" t="s">
        <v>26</v>
      </c>
      <c r="D102" s="11" t="s">
        <v>26</v>
      </c>
      <c r="E102" s="11" t="s">
        <v>26</v>
      </c>
      <c r="F102" s="11" t="s">
        <v>26</v>
      </c>
      <c r="G102" s="2">
        <v>1907354630.8900001</v>
      </c>
      <c r="H102" s="1">
        <v>1</v>
      </c>
      <c r="I102" s="11" t="s">
        <v>26</v>
      </c>
      <c r="J102" s="11" t="s">
        <v>26</v>
      </c>
      <c r="K102" s="10" t="s">
        <v>26</v>
      </c>
      <c r="L102" s="11" t="s">
        <v>26</v>
      </c>
      <c r="M102" s="11" t="s">
        <v>26</v>
      </c>
      <c r="N102" s="11" t="s">
        <v>26</v>
      </c>
      <c r="O102" s="2">
        <v>3420377715.3899999</v>
      </c>
      <c r="P102" s="1">
        <v>1</v>
      </c>
      <c r="Q102" s="11" t="s">
        <v>26</v>
      </c>
      <c r="R102" s="11" t="s">
        <v>26</v>
      </c>
      <c r="S102" s="2">
        <v>1246537656.28</v>
      </c>
      <c r="T102" s="1">
        <v>1</v>
      </c>
      <c r="U102" s="11" t="s">
        <v>26</v>
      </c>
      <c r="V102" s="11" t="s">
        <v>26</v>
      </c>
      <c r="W102" s="10" t="s">
        <v>26</v>
      </c>
      <c r="X102" s="11" t="s">
        <v>26</v>
      </c>
      <c r="Y102" s="11" t="s">
        <v>26</v>
      </c>
      <c r="Z102" s="11" t="s">
        <v>26</v>
      </c>
      <c r="AA102" s="2">
        <v>1906138496.5999999</v>
      </c>
      <c r="AB102" s="1">
        <v>1</v>
      </c>
      <c r="AC102" s="11" t="s">
        <v>26</v>
      </c>
      <c r="AD102" s="11" t="s">
        <v>26</v>
      </c>
      <c r="AE102" s="2">
        <v>8480408499.1599998</v>
      </c>
      <c r="AF102" s="1">
        <v>1</v>
      </c>
      <c r="AG102" s="11" t="s">
        <v>26</v>
      </c>
      <c r="AH102" s="11" t="s">
        <v>26</v>
      </c>
      <c r="AI102" s="10" t="s">
        <v>26</v>
      </c>
      <c r="AJ102" s="11" t="s">
        <v>26</v>
      </c>
      <c r="AK102" s="11" t="s">
        <v>26</v>
      </c>
      <c r="AL102" s="11" t="s">
        <v>26</v>
      </c>
      <c r="AM102" s="10" t="s">
        <v>26</v>
      </c>
      <c r="AN102" s="11" t="s">
        <v>26</v>
      </c>
      <c r="AO102" s="11" t="s">
        <v>26</v>
      </c>
      <c r="AP102" s="11" t="s">
        <v>26</v>
      </c>
      <c r="AQ102" s="10" t="s">
        <v>26</v>
      </c>
      <c r="AR102" s="11" t="s">
        <v>26</v>
      </c>
      <c r="AS102" s="11" t="s">
        <v>26</v>
      </c>
      <c r="AT102" s="11" t="s">
        <v>26</v>
      </c>
      <c r="AU102" s="2">
        <v>312698531.58999997</v>
      </c>
      <c r="AV102" s="1">
        <v>1</v>
      </c>
      <c r="AW102" s="11" t="s">
        <v>26</v>
      </c>
      <c r="AX102" s="11" t="s">
        <v>26</v>
      </c>
      <c r="AY102" s="2">
        <v>8793107030.75</v>
      </c>
      <c r="AZ102" s="1">
        <v>1</v>
      </c>
      <c r="BA102" s="11" t="s">
        <v>26</v>
      </c>
      <c r="BB102" s="11" t="s">
        <v>26</v>
      </c>
    </row>
    <row r="103" spans="1:54" s="7" customFormat="1">
      <c r="A103" s="5" t="s">
        <v>88</v>
      </c>
      <c r="B103" s="24" t="s">
        <v>25</v>
      </c>
      <c r="C103" s="11" t="s">
        <v>26</v>
      </c>
      <c r="D103" s="11" t="s">
        <v>26</v>
      </c>
      <c r="E103" s="11" t="s">
        <v>26</v>
      </c>
      <c r="F103" s="11" t="s">
        <v>26</v>
      </c>
      <c r="G103" s="10">
        <v>1466984133.8900001</v>
      </c>
      <c r="H103" s="11">
        <v>9.75420178279E-3</v>
      </c>
      <c r="I103" s="11" t="s">
        <v>26</v>
      </c>
      <c r="J103" s="11" t="s">
        <v>26</v>
      </c>
      <c r="K103" s="10" t="s">
        <v>26</v>
      </c>
      <c r="L103" s="11" t="s">
        <v>26</v>
      </c>
      <c r="M103" s="11" t="s">
        <v>26</v>
      </c>
      <c r="N103" s="11" t="s">
        <v>26</v>
      </c>
      <c r="O103" s="10">
        <v>1410561667.2</v>
      </c>
      <c r="P103" s="11">
        <v>6.2927469225900002E-3</v>
      </c>
      <c r="Q103" s="11" t="s">
        <v>26</v>
      </c>
      <c r="R103" s="11" t="s">
        <v>26</v>
      </c>
      <c r="S103" s="10">
        <v>1410561667.21</v>
      </c>
      <c r="T103" s="11">
        <v>1.270689444992E-2</v>
      </c>
      <c r="U103" s="11" t="s">
        <v>26</v>
      </c>
      <c r="V103" s="11" t="s">
        <v>26</v>
      </c>
      <c r="W103" s="10" t="s">
        <v>26</v>
      </c>
      <c r="X103" s="11" t="s">
        <v>26</v>
      </c>
      <c r="Y103" s="11" t="s">
        <v>26</v>
      </c>
      <c r="Z103" s="11" t="s">
        <v>26</v>
      </c>
      <c r="AA103" s="10">
        <v>1353292863.52</v>
      </c>
      <c r="AB103" s="11">
        <v>9.7890444860099998E-3</v>
      </c>
      <c r="AC103" s="11" t="s">
        <v>26</v>
      </c>
      <c r="AD103" s="11" t="s">
        <v>26</v>
      </c>
      <c r="AE103" s="10">
        <v>5641400331.8199997</v>
      </c>
      <c r="AF103" s="11">
        <v>8.8254427612499999E-3</v>
      </c>
      <c r="AG103" s="11" t="s">
        <v>26</v>
      </c>
      <c r="AH103" s="11" t="s">
        <v>26</v>
      </c>
      <c r="AI103" s="10" t="s">
        <v>26</v>
      </c>
      <c r="AJ103" s="11" t="s">
        <v>26</v>
      </c>
      <c r="AK103" s="11" t="s">
        <v>26</v>
      </c>
      <c r="AL103" s="11" t="s">
        <v>26</v>
      </c>
      <c r="AM103" s="10" t="s">
        <v>26</v>
      </c>
      <c r="AN103" s="11" t="s">
        <v>26</v>
      </c>
      <c r="AO103" s="11" t="s">
        <v>26</v>
      </c>
      <c r="AP103" s="11" t="s">
        <v>26</v>
      </c>
      <c r="AQ103" s="10" t="s">
        <v>26</v>
      </c>
      <c r="AR103" s="11" t="s">
        <v>26</v>
      </c>
      <c r="AS103" s="11" t="s">
        <v>26</v>
      </c>
      <c r="AT103" s="11" t="s">
        <v>26</v>
      </c>
      <c r="AU103" s="10" t="s">
        <v>26</v>
      </c>
      <c r="AV103" s="11" t="s">
        <v>26</v>
      </c>
      <c r="AW103" s="11" t="s">
        <v>26</v>
      </c>
      <c r="AX103" s="11" t="s">
        <v>26</v>
      </c>
      <c r="AY103" s="10">
        <v>5641400331.8199997</v>
      </c>
      <c r="AZ103" s="11">
        <v>7.7792783282999997E-3</v>
      </c>
      <c r="BA103" s="11" t="s">
        <v>26</v>
      </c>
      <c r="BB103" s="11" t="s">
        <v>26</v>
      </c>
    </row>
    <row r="104" spans="1:54" s="7" customFormat="1">
      <c r="A104" s="3" t="s">
        <v>86</v>
      </c>
      <c r="B104" s="31" t="s">
        <v>46</v>
      </c>
      <c r="C104" s="11" t="s">
        <v>26</v>
      </c>
      <c r="D104" s="11" t="s">
        <v>26</v>
      </c>
      <c r="E104" s="11" t="s">
        <v>26</v>
      </c>
      <c r="F104" s="11" t="s">
        <v>26</v>
      </c>
      <c r="G104" s="35">
        <v>1466984133.8900001</v>
      </c>
      <c r="H104" s="59">
        <v>1</v>
      </c>
      <c r="I104" s="11" t="s">
        <v>26</v>
      </c>
      <c r="J104" s="11" t="s">
        <v>26</v>
      </c>
      <c r="K104" s="10" t="s">
        <v>26</v>
      </c>
      <c r="L104" s="11" t="s">
        <v>26</v>
      </c>
      <c r="M104" s="11" t="s">
        <v>26</v>
      </c>
      <c r="N104" s="11" t="s">
        <v>26</v>
      </c>
      <c r="O104" s="2">
        <v>1410561667.2</v>
      </c>
      <c r="P104" s="1">
        <v>1</v>
      </c>
      <c r="Q104" s="11" t="s">
        <v>26</v>
      </c>
      <c r="R104" s="11" t="s">
        <v>26</v>
      </c>
      <c r="S104" s="2">
        <v>1410561667.21</v>
      </c>
      <c r="T104" s="1">
        <v>1</v>
      </c>
      <c r="U104" s="11" t="s">
        <v>26</v>
      </c>
      <c r="V104" s="11" t="s">
        <v>26</v>
      </c>
      <c r="W104" s="10" t="s">
        <v>26</v>
      </c>
      <c r="X104" s="11" t="s">
        <v>26</v>
      </c>
      <c r="Y104" s="11" t="s">
        <v>26</v>
      </c>
      <c r="Z104" s="11" t="s">
        <v>26</v>
      </c>
      <c r="AA104" s="2">
        <v>1353292863.52</v>
      </c>
      <c r="AB104" s="1">
        <v>1</v>
      </c>
      <c r="AC104" s="11" t="s">
        <v>26</v>
      </c>
      <c r="AD104" s="11" t="s">
        <v>26</v>
      </c>
      <c r="AE104" s="2">
        <f>+G104+O104+S104+AA104</f>
        <v>5641400331.8199997</v>
      </c>
      <c r="AF104" s="1">
        <v>1</v>
      </c>
      <c r="AG104" s="11" t="s">
        <v>26</v>
      </c>
      <c r="AH104" s="11" t="s">
        <v>26</v>
      </c>
      <c r="AI104" s="10" t="s">
        <v>26</v>
      </c>
      <c r="AJ104" s="11" t="s">
        <v>26</v>
      </c>
      <c r="AK104" s="11" t="s">
        <v>26</v>
      </c>
      <c r="AL104" s="11" t="s">
        <v>26</v>
      </c>
      <c r="AM104" s="10" t="s">
        <v>26</v>
      </c>
      <c r="AN104" s="11" t="s">
        <v>26</v>
      </c>
      <c r="AO104" s="11" t="s">
        <v>26</v>
      </c>
      <c r="AP104" s="11" t="s">
        <v>26</v>
      </c>
      <c r="AQ104" s="10" t="s">
        <v>26</v>
      </c>
      <c r="AR104" s="11" t="s">
        <v>26</v>
      </c>
      <c r="AS104" s="11" t="s">
        <v>26</v>
      </c>
      <c r="AT104" s="11" t="s">
        <v>26</v>
      </c>
      <c r="AU104" s="10" t="s">
        <v>26</v>
      </c>
      <c r="AV104" s="11" t="s">
        <v>26</v>
      </c>
      <c r="AW104" s="11" t="s">
        <v>26</v>
      </c>
      <c r="AX104" s="11" t="s">
        <v>26</v>
      </c>
      <c r="AY104" s="2">
        <f>+AE104</f>
        <v>5641400331.8199997</v>
      </c>
      <c r="AZ104" s="1">
        <v>1</v>
      </c>
      <c r="BA104" s="11" t="s">
        <v>26</v>
      </c>
      <c r="BB104" s="11" t="s">
        <v>26</v>
      </c>
    </row>
    <row r="105" spans="1:54" s="7" customFormat="1">
      <c r="A105" s="5" t="s">
        <v>89</v>
      </c>
      <c r="B105" s="24" t="s">
        <v>25</v>
      </c>
      <c r="C105" s="11" t="s">
        <v>26</v>
      </c>
      <c r="D105" s="11" t="s">
        <v>26</v>
      </c>
      <c r="E105" s="11" t="s">
        <v>26</v>
      </c>
      <c r="F105" s="11" t="s">
        <v>26</v>
      </c>
      <c r="G105" s="10" t="s">
        <v>26</v>
      </c>
      <c r="H105" s="11" t="s">
        <v>26</v>
      </c>
      <c r="I105" s="11" t="s">
        <v>26</v>
      </c>
      <c r="J105" s="11" t="s">
        <v>26</v>
      </c>
      <c r="K105" s="10" t="s">
        <v>26</v>
      </c>
      <c r="L105" s="11" t="s">
        <v>26</v>
      </c>
      <c r="M105" s="11" t="s">
        <v>26</v>
      </c>
      <c r="N105" s="11" t="s">
        <v>26</v>
      </c>
      <c r="O105" s="10">
        <v>3668020086.7600002</v>
      </c>
      <c r="P105" s="11">
        <v>1.6363639144389999E-2</v>
      </c>
      <c r="Q105" s="11" t="s">
        <v>26</v>
      </c>
      <c r="R105" s="11" t="s">
        <v>26</v>
      </c>
      <c r="S105" s="10">
        <v>658439491.41999996</v>
      </c>
      <c r="T105" s="11">
        <v>5.9314819859500002E-3</v>
      </c>
      <c r="U105" s="11" t="s">
        <v>26</v>
      </c>
      <c r="V105" s="11" t="s">
        <v>26</v>
      </c>
      <c r="W105" s="10" t="s">
        <v>26</v>
      </c>
      <c r="X105" s="11" t="s">
        <v>26</v>
      </c>
      <c r="Y105" s="11" t="s">
        <v>26</v>
      </c>
      <c r="Z105" s="11" t="s">
        <v>26</v>
      </c>
      <c r="AA105" s="10">
        <v>1316537569.75</v>
      </c>
      <c r="AB105" s="11">
        <v>9.5231750533699994E-3</v>
      </c>
      <c r="AC105" s="11" t="s">
        <v>26</v>
      </c>
      <c r="AD105" s="11" t="s">
        <v>26</v>
      </c>
      <c r="AE105" s="10">
        <v>5642997147.9300003</v>
      </c>
      <c r="AF105" s="11">
        <v>8.82794083058E-3</v>
      </c>
      <c r="AG105" s="11" t="s">
        <v>26</v>
      </c>
      <c r="AH105" s="11" t="s">
        <v>26</v>
      </c>
      <c r="AI105" s="10" t="s">
        <v>26</v>
      </c>
      <c r="AJ105" s="11" t="s">
        <v>26</v>
      </c>
      <c r="AK105" s="11" t="s">
        <v>26</v>
      </c>
      <c r="AL105" s="11" t="s">
        <v>26</v>
      </c>
      <c r="AM105" s="10" t="s">
        <v>26</v>
      </c>
      <c r="AN105" s="11" t="s">
        <v>26</v>
      </c>
      <c r="AO105" s="11" t="s">
        <v>26</v>
      </c>
      <c r="AP105" s="11" t="s">
        <v>26</v>
      </c>
      <c r="AQ105" s="10" t="s">
        <v>26</v>
      </c>
      <c r="AR105" s="11" t="s">
        <v>26</v>
      </c>
      <c r="AS105" s="11" t="s">
        <v>26</v>
      </c>
      <c r="AT105" s="11" t="s">
        <v>26</v>
      </c>
      <c r="AU105" s="10">
        <v>365799717.44999999</v>
      </c>
      <c r="AV105" s="11">
        <v>8.12086541101E-3</v>
      </c>
      <c r="AW105" s="11" t="s">
        <v>26</v>
      </c>
      <c r="AX105" s="11" t="s">
        <v>26</v>
      </c>
      <c r="AY105" s="10">
        <v>6008796865.3800001</v>
      </c>
      <c r="AZ105" s="11">
        <v>8.2859042940699994E-3</v>
      </c>
      <c r="BA105" s="11" t="s">
        <v>26</v>
      </c>
      <c r="BB105" s="11" t="s">
        <v>26</v>
      </c>
    </row>
    <row r="106" spans="1:54" s="7" customFormat="1">
      <c r="A106" s="3" t="s">
        <v>86</v>
      </c>
      <c r="B106" s="31" t="s">
        <v>46</v>
      </c>
      <c r="C106" s="11" t="s">
        <v>26</v>
      </c>
      <c r="D106" s="11" t="s">
        <v>26</v>
      </c>
      <c r="E106" s="11" t="s">
        <v>26</v>
      </c>
      <c r="F106" s="11" t="s">
        <v>26</v>
      </c>
      <c r="G106" s="10" t="s">
        <v>26</v>
      </c>
      <c r="H106" s="11" t="s">
        <v>26</v>
      </c>
      <c r="I106" s="11" t="s">
        <v>26</v>
      </c>
      <c r="J106" s="11" t="s">
        <v>26</v>
      </c>
      <c r="K106" s="10" t="s">
        <v>26</v>
      </c>
      <c r="L106" s="11" t="s">
        <v>26</v>
      </c>
      <c r="M106" s="11" t="s">
        <v>26</v>
      </c>
      <c r="N106" s="11" t="s">
        <v>26</v>
      </c>
      <c r="O106" s="2">
        <v>3668020086.7600002</v>
      </c>
      <c r="P106" s="1">
        <v>1</v>
      </c>
      <c r="Q106" s="11" t="s">
        <v>26</v>
      </c>
      <c r="R106" s="11" t="s">
        <v>26</v>
      </c>
      <c r="S106" s="2">
        <v>658439491.41999996</v>
      </c>
      <c r="T106" s="1">
        <v>1</v>
      </c>
      <c r="U106" s="11" t="s">
        <v>26</v>
      </c>
      <c r="V106" s="11" t="s">
        <v>26</v>
      </c>
      <c r="W106" s="10" t="s">
        <v>26</v>
      </c>
      <c r="X106" s="11" t="s">
        <v>26</v>
      </c>
      <c r="Y106" s="11" t="s">
        <v>26</v>
      </c>
      <c r="Z106" s="11" t="s">
        <v>26</v>
      </c>
      <c r="AA106" s="2">
        <v>1316537569.75</v>
      </c>
      <c r="AB106" s="1">
        <v>1</v>
      </c>
      <c r="AC106" s="11" t="s">
        <v>26</v>
      </c>
      <c r="AD106" s="11" t="s">
        <v>26</v>
      </c>
      <c r="AE106" s="2">
        <v>5642997147.9300003</v>
      </c>
      <c r="AF106" s="1">
        <v>1</v>
      </c>
      <c r="AG106" s="11" t="s">
        <v>26</v>
      </c>
      <c r="AH106" s="11" t="s">
        <v>26</v>
      </c>
      <c r="AI106" s="10" t="s">
        <v>26</v>
      </c>
      <c r="AJ106" s="11" t="s">
        <v>26</v>
      </c>
      <c r="AK106" s="11" t="s">
        <v>26</v>
      </c>
      <c r="AL106" s="11" t="s">
        <v>26</v>
      </c>
      <c r="AM106" s="10" t="s">
        <v>26</v>
      </c>
      <c r="AN106" s="11" t="s">
        <v>26</v>
      </c>
      <c r="AO106" s="11" t="s">
        <v>26</v>
      </c>
      <c r="AP106" s="11" t="s">
        <v>26</v>
      </c>
      <c r="AQ106" s="10" t="s">
        <v>26</v>
      </c>
      <c r="AR106" s="11" t="s">
        <v>26</v>
      </c>
      <c r="AS106" s="11" t="s">
        <v>26</v>
      </c>
      <c r="AT106" s="11" t="s">
        <v>26</v>
      </c>
      <c r="AU106" s="2">
        <v>365799717.44999999</v>
      </c>
      <c r="AV106" s="1">
        <v>1</v>
      </c>
      <c r="AW106" s="11" t="s">
        <v>25</v>
      </c>
      <c r="AX106" s="11" t="s">
        <v>25</v>
      </c>
      <c r="AY106" s="2">
        <v>6008796865.3800001</v>
      </c>
      <c r="AZ106" s="1">
        <v>1</v>
      </c>
      <c r="BA106" s="11" t="s">
        <v>26</v>
      </c>
      <c r="BB106" s="11" t="s">
        <v>26</v>
      </c>
    </row>
    <row r="107" spans="1:54" s="7" customFormat="1">
      <c r="A107" s="5" t="s">
        <v>106</v>
      </c>
      <c r="B107" s="24" t="s">
        <v>25</v>
      </c>
      <c r="C107" s="11" t="s">
        <v>26</v>
      </c>
      <c r="D107" s="11" t="s">
        <v>26</v>
      </c>
      <c r="E107" s="11" t="s">
        <v>26</v>
      </c>
      <c r="F107" s="11" t="s">
        <v>26</v>
      </c>
      <c r="G107" s="10" t="s">
        <v>26</v>
      </c>
      <c r="H107" s="11" t="s">
        <v>26</v>
      </c>
      <c r="I107" s="11" t="s">
        <v>26</v>
      </c>
      <c r="J107" s="11" t="s">
        <v>26</v>
      </c>
      <c r="K107" s="10" t="s">
        <v>26</v>
      </c>
      <c r="L107" s="11" t="s">
        <v>26</v>
      </c>
      <c r="M107" s="11" t="s">
        <v>26</v>
      </c>
      <c r="N107" s="11" t="s">
        <v>26</v>
      </c>
      <c r="O107" s="10">
        <v>659850708.60000002</v>
      </c>
      <c r="P107" s="11">
        <v>2.9437022233499998E-3</v>
      </c>
      <c r="Q107" s="11" t="s">
        <v>26</v>
      </c>
      <c r="R107" s="11" t="s">
        <v>26</v>
      </c>
      <c r="S107" s="10" t="s">
        <v>26</v>
      </c>
      <c r="T107" s="11" t="s">
        <v>26</v>
      </c>
      <c r="U107" s="11" t="s">
        <v>26</v>
      </c>
      <c r="V107" s="11" t="s">
        <v>26</v>
      </c>
      <c r="W107" s="10" t="s">
        <v>26</v>
      </c>
      <c r="X107" s="11" t="s">
        <v>26</v>
      </c>
      <c r="Y107" s="11" t="s">
        <v>26</v>
      </c>
      <c r="Z107" s="11" t="s">
        <v>26</v>
      </c>
      <c r="AA107" s="10" t="s">
        <v>26</v>
      </c>
      <c r="AB107" s="11" t="s">
        <v>26</v>
      </c>
      <c r="AC107" s="11" t="s">
        <v>26</v>
      </c>
      <c r="AD107" s="11" t="s">
        <v>26</v>
      </c>
      <c r="AE107" s="10">
        <v>659850708.60000002</v>
      </c>
      <c r="AF107" s="11">
        <v>1.03227466891E-3</v>
      </c>
      <c r="AG107" s="11" t="s">
        <v>26</v>
      </c>
      <c r="AH107" s="11" t="s">
        <v>26</v>
      </c>
      <c r="AI107" s="10" t="s">
        <v>26</v>
      </c>
      <c r="AJ107" s="11" t="s">
        <v>26</v>
      </c>
      <c r="AK107" s="11" t="s">
        <v>26</v>
      </c>
      <c r="AL107" s="11" t="s">
        <v>26</v>
      </c>
      <c r="AM107" s="10" t="s">
        <v>26</v>
      </c>
      <c r="AN107" s="11" t="s">
        <v>26</v>
      </c>
      <c r="AO107" s="11" t="s">
        <v>26</v>
      </c>
      <c r="AP107" s="11" t="s">
        <v>26</v>
      </c>
      <c r="AQ107" s="10" t="s">
        <v>26</v>
      </c>
      <c r="AR107" s="11" t="s">
        <v>26</v>
      </c>
      <c r="AS107" s="11" t="s">
        <v>26</v>
      </c>
      <c r="AT107" s="11" t="s">
        <v>26</v>
      </c>
      <c r="AU107" s="10" t="s">
        <v>26</v>
      </c>
      <c r="AV107" s="11" t="s">
        <v>26</v>
      </c>
      <c r="AW107" s="11" t="s">
        <v>26</v>
      </c>
      <c r="AX107" s="11" t="s">
        <v>26</v>
      </c>
      <c r="AY107" s="10">
        <v>659850708.60000002</v>
      </c>
      <c r="AZ107" s="11">
        <v>9.0990924512000001E-4</v>
      </c>
      <c r="BA107" s="11" t="s">
        <v>26</v>
      </c>
      <c r="BB107" s="11" t="s">
        <v>26</v>
      </c>
    </row>
    <row r="108" spans="1:54" s="7" customFormat="1">
      <c r="A108" s="3" t="s">
        <v>86</v>
      </c>
      <c r="B108" s="31" t="s">
        <v>46</v>
      </c>
      <c r="C108" s="11" t="s">
        <v>26</v>
      </c>
      <c r="D108" s="11" t="s">
        <v>26</v>
      </c>
      <c r="E108" s="11" t="s">
        <v>26</v>
      </c>
      <c r="F108" s="11" t="s">
        <v>26</v>
      </c>
      <c r="G108" s="10" t="s">
        <v>26</v>
      </c>
      <c r="H108" s="11" t="s">
        <v>26</v>
      </c>
      <c r="I108" s="11" t="s">
        <v>26</v>
      </c>
      <c r="J108" s="11" t="s">
        <v>26</v>
      </c>
      <c r="K108" s="10" t="s">
        <v>26</v>
      </c>
      <c r="L108" s="11" t="s">
        <v>26</v>
      </c>
      <c r="M108" s="11" t="s">
        <v>26</v>
      </c>
      <c r="N108" s="11" t="s">
        <v>26</v>
      </c>
      <c r="O108" s="2">
        <v>659850708.60000002</v>
      </c>
      <c r="P108" s="1">
        <v>1</v>
      </c>
      <c r="Q108" s="11" t="s">
        <v>26</v>
      </c>
      <c r="R108" s="11" t="s">
        <v>26</v>
      </c>
      <c r="S108" s="10" t="s">
        <v>26</v>
      </c>
      <c r="T108" s="11" t="s">
        <v>26</v>
      </c>
      <c r="U108" s="11" t="s">
        <v>26</v>
      </c>
      <c r="V108" s="11" t="s">
        <v>26</v>
      </c>
      <c r="W108" s="10" t="s">
        <v>26</v>
      </c>
      <c r="X108" s="11" t="s">
        <v>26</v>
      </c>
      <c r="Y108" s="11" t="s">
        <v>26</v>
      </c>
      <c r="Z108" s="11" t="s">
        <v>26</v>
      </c>
      <c r="AA108" s="10" t="s">
        <v>26</v>
      </c>
      <c r="AB108" s="11" t="s">
        <v>26</v>
      </c>
      <c r="AC108" s="11" t="s">
        <v>26</v>
      </c>
      <c r="AD108" s="11" t="s">
        <v>26</v>
      </c>
      <c r="AE108" s="2">
        <v>659850708.60000002</v>
      </c>
      <c r="AF108" s="1">
        <v>1</v>
      </c>
      <c r="AG108" s="11" t="s">
        <v>26</v>
      </c>
      <c r="AH108" s="11" t="s">
        <v>26</v>
      </c>
      <c r="AI108" s="10" t="s">
        <v>26</v>
      </c>
      <c r="AJ108" s="11" t="s">
        <v>26</v>
      </c>
      <c r="AK108" s="11" t="s">
        <v>26</v>
      </c>
      <c r="AL108" s="11" t="s">
        <v>26</v>
      </c>
      <c r="AM108" s="10" t="s">
        <v>26</v>
      </c>
      <c r="AN108" s="11" t="s">
        <v>26</v>
      </c>
      <c r="AO108" s="11" t="s">
        <v>26</v>
      </c>
      <c r="AP108" s="11" t="s">
        <v>26</v>
      </c>
      <c r="AQ108" s="10" t="s">
        <v>26</v>
      </c>
      <c r="AR108" s="11" t="s">
        <v>26</v>
      </c>
      <c r="AS108" s="11" t="s">
        <v>26</v>
      </c>
      <c r="AT108" s="11" t="s">
        <v>26</v>
      </c>
      <c r="AU108" s="10" t="s">
        <v>26</v>
      </c>
      <c r="AV108" s="11" t="s">
        <v>26</v>
      </c>
      <c r="AW108" s="11" t="s">
        <v>26</v>
      </c>
      <c r="AX108" s="11" t="s">
        <v>26</v>
      </c>
      <c r="AY108" s="2">
        <v>659850708.60000002</v>
      </c>
      <c r="AZ108" s="1">
        <v>1</v>
      </c>
      <c r="BA108" s="11" t="s">
        <v>26</v>
      </c>
      <c r="BB108" s="11" t="s">
        <v>26</v>
      </c>
    </row>
    <row r="109" spans="1:54" s="7" customFormat="1">
      <c r="A109" s="5" t="s">
        <v>90</v>
      </c>
      <c r="B109" s="24" t="s">
        <v>25</v>
      </c>
      <c r="C109" s="11" t="s">
        <v>26</v>
      </c>
      <c r="D109" s="11" t="s">
        <v>26</v>
      </c>
      <c r="E109" s="11" t="s">
        <v>26</v>
      </c>
      <c r="F109" s="11" t="s">
        <v>26</v>
      </c>
      <c r="G109" s="10" t="s">
        <v>26</v>
      </c>
      <c r="H109" s="11" t="s">
        <v>26</v>
      </c>
      <c r="I109" s="11" t="s">
        <v>26</v>
      </c>
      <c r="J109" s="11" t="s">
        <v>26</v>
      </c>
      <c r="K109" s="10" t="s">
        <v>26</v>
      </c>
      <c r="L109" s="11" t="s">
        <v>26</v>
      </c>
      <c r="M109" s="11" t="s">
        <v>26</v>
      </c>
      <c r="N109" s="11" t="s">
        <v>26</v>
      </c>
      <c r="O109" s="10">
        <v>335713927.04000002</v>
      </c>
      <c r="P109" s="11">
        <v>1.4976748839699999E-3</v>
      </c>
      <c r="Q109" s="11" t="s">
        <v>26</v>
      </c>
      <c r="R109" s="11" t="s">
        <v>26</v>
      </c>
      <c r="S109" s="10" t="s">
        <v>26</v>
      </c>
      <c r="T109" s="11" t="s">
        <v>26</v>
      </c>
      <c r="U109" s="11" t="s">
        <v>26</v>
      </c>
      <c r="V109" s="11" t="s">
        <v>26</v>
      </c>
      <c r="W109" s="10" t="s">
        <v>26</v>
      </c>
      <c r="X109" s="11" t="s">
        <v>26</v>
      </c>
      <c r="Y109" s="11" t="s">
        <v>26</v>
      </c>
      <c r="Z109" s="11" t="s">
        <v>26</v>
      </c>
      <c r="AA109" s="10">
        <v>335713927.04000002</v>
      </c>
      <c r="AB109" s="11">
        <v>2.4283868296000001E-3</v>
      </c>
      <c r="AC109" s="11" t="s">
        <v>26</v>
      </c>
      <c r="AD109" s="11" t="s">
        <v>26</v>
      </c>
      <c r="AE109" s="10">
        <v>671427854.08000004</v>
      </c>
      <c r="AF109" s="11">
        <v>1.05038602935E-3</v>
      </c>
      <c r="AG109" s="11" t="s">
        <v>26</v>
      </c>
      <c r="AH109" s="11" t="s">
        <v>26</v>
      </c>
      <c r="AI109" s="10" t="s">
        <v>26</v>
      </c>
      <c r="AJ109" s="11" t="s">
        <v>26</v>
      </c>
      <c r="AK109" s="11" t="s">
        <v>26</v>
      </c>
      <c r="AL109" s="11" t="s">
        <v>26</v>
      </c>
      <c r="AM109" s="10" t="s">
        <v>26</v>
      </c>
      <c r="AN109" s="11" t="s">
        <v>26</v>
      </c>
      <c r="AO109" s="11" t="s">
        <v>26</v>
      </c>
      <c r="AP109" s="11" t="s">
        <v>26</v>
      </c>
      <c r="AQ109" s="10" t="s">
        <v>26</v>
      </c>
      <c r="AR109" s="11" t="s">
        <v>26</v>
      </c>
      <c r="AS109" s="11" t="s">
        <v>26</v>
      </c>
      <c r="AT109" s="11" t="s">
        <v>26</v>
      </c>
      <c r="AU109" s="10" t="s">
        <v>26</v>
      </c>
      <c r="AV109" s="11" t="s">
        <v>26</v>
      </c>
      <c r="AW109" s="11" t="s">
        <v>26</v>
      </c>
      <c r="AX109" s="11" t="s">
        <v>26</v>
      </c>
      <c r="AY109" s="10">
        <v>671427854.08000004</v>
      </c>
      <c r="AZ109" s="11">
        <v>9.2587369217999997E-4</v>
      </c>
      <c r="BA109" s="11" t="s">
        <v>26</v>
      </c>
      <c r="BB109" s="11" t="s">
        <v>26</v>
      </c>
    </row>
    <row r="110" spans="1:54" s="7" customFormat="1">
      <c r="A110" s="3" t="s">
        <v>86</v>
      </c>
      <c r="B110" s="31" t="s">
        <v>46</v>
      </c>
      <c r="C110" s="11" t="s">
        <v>26</v>
      </c>
      <c r="D110" s="11" t="s">
        <v>26</v>
      </c>
      <c r="E110" s="11" t="s">
        <v>26</v>
      </c>
      <c r="F110" s="11" t="s">
        <v>26</v>
      </c>
      <c r="G110" s="10" t="s">
        <v>26</v>
      </c>
      <c r="H110" s="11" t="s">
        <v>26</v>
      </c>
      <c r="I110" s="11" t="s">
        <v>26</v>
      </c>
      <c r="J110" s="11" t="s">
        <v>26</v>
      </c>
      <c r="K110" s="10" t="s">
        <v>26</v>
      </c>
      <c r="L110" s="11" t="s">
        <v>26</v>
      </c>
      <c r="M110" s="11" t="s">
        <v>26</v>
      </c>
      <c r="N110" s="11" t="s">
        <v>26</v>
      </c>
      <c r="O110" s="2">
        <v>335713927.04000002</v>
      </c>
      <c r="P110" s="1">
        <v>1</v>
      </c>
      <c r="Q110" s="11" t="s">
        <v>26</v>
      </c>
      <c r="R110" s="11" t="s">
        <v>26</v>
      </c>
      <c r="S110" s="10" t="s">
        <v>26</v>
      </c>
      <c r="T110" s="11" t="s">
        <v>26</v>
      </c>
      <c r="U110" s="11" t="s">
        <v>26</v>
      </c>
      <c r="V110" s="11" t="s">
        <v>26</v>
      </c>
      <c r="W110" s="10" t="s">
        <v>26</v>
      </c>
      <c r="X110" s="11" t="s">
        <v>26</v>
      </c>
      <c r="Y110" s="11" t="s">
        <v>26</v>
      </c>
      <c r="Z110" s="11" t="s">
        <v>26</v>
      </c>
      <c r="AA110" s="2">
        <v>335713927.04000002</v>
      </c>
      <c r="AB110" s="1">
        <v>1</v>
      </c>
      <c r="AC110" s="11" t="s">
        <v>26</v>
      </c>
      <c r="AD110" s="11" t="s">
        <v>26</v>
      </c>
      <c r="AE110" s="2">
        <v>671427854.08000004</v>
      </c>
      <c r="AF110" s="1">
        <v>1</v>
      </c>
      <c r="AG110" s="11" t="s">
        <v>26</v>
      </c>
      <c r="AH110" s="11" t="s">
        <v>26</v>
      </c>
      <c r="AI110" s="10" t="s">
        <v>26</v>
      </c>
      <c r="AJ110" s="11" t="s">
        <v>26</v>
      </c>
      <c r="AK110" s="11" t="s">
        <v>26</v>
      </c>
      <c r="AL110" s="11" t="s">
        <v>26</v>
      </c>
      <c r="AM110" s="10" t="s">
        <v>26</v>
      </c>
      <c r="AN110" s="11" t="s">
        <v>26</v>
      </c>
      <c r="AO110" s="11" t="s">
        <v>26</v>
      </c>
      <c r="AP110" s="11" t="s">
        <v>26</v>
      </c>
      <c r="AQ110" s="10" t="s">
        <v>26</v>
      </c>
      <c r="AR110" s="11" t="s">
        <v>26</v>
      </c>
      <c r="AS110" s="11" t="s">
        <v>26</v>
      </c>
      <c r="AT110" s="11" t="s">
        <v>26</v>
      </c>
      <c r="AU110" s="10" t="s">
        <v>26</v>
      </c>
      <c r="AV110" s="11" t="s">
        <v>26</v>
      </c>
      <c r="AW110" s="11" t="s">
        <v>26</v>
      </c>
      <c r="AX110" s="11" t="s">
        <v>26</v>
      </c>
      <c r="AY110" s="2">
        <v>671427854.08000004</v>
      </c>
      <c r="AZ110" s="1">
        <v>1</v>
      </c>
      <c r="BA110" s="11" t="s">
        <v>26</v>
      </c>
      <c r="BB110" s="11" t="s">
        <v>26</v>
      </c>
    </row>
    <row r="111" spans="1:54" s="7" customFormat="1">
      <c r="A111" s="5" t="s">
        <v>118</v>
      </c>
      <c r="B111" s="24" t="s">
        <v>25</v>
      </c>
      <c r="C111" s="11" t="s">
        <v>26</v>
      </c>
      <c r="D111" s="11" t="s">
        <v>26</v>
      </c>
      <c r="E111" s="11" t="s">
        <v>26</v>
      </c>
      <c r="F111" s="11" t="s">
        <v>26</v>
      </c>
      <c r="G111" s="10" t="s">
        <v>26</v>
      </c>
      <c r="H111" s="11" t="s">
        <v>26</v>
      </c>
      <c r="I111" s="11" t="s">
        <v>26</v>
      </c>
      <c r="J111" s="11" t="s">
        <v>26</v>
      </c>
      <c r="K111" s="10" t="s">
        <v>26</v>
      </c>
      <c r="L111" s="11" t="s">
        <v>26</v>
      </c>
      <c r="M111" s="11" t="s">
        <v>26</v>
      </c>
      <c r="N111" s="11" t="s">
        <v>26</v>
      </c>
      <c r="O111" s="10">
        <v>4612168717.04</v>
      </c>
      <c r="P111" s="11">
        <v>2.0575641019830001E-2</v>
      </c>
      <c r="Q111" s="11" t="s">
        <v>26</v>
      </c>
      <c r="R111" s="11" t="s">
        <v>26</v>
      </c>
      <c r="S111" s="10" t="s">
        <v>26</v>
      </c>
      <c r="T111" s="11" t="s">
        <v>26</v>
      </c>
      <c r="U111" s="11" t="s">
        <v>26</v>
      </c>
      <c r="V111" s="11" t="s">
        <v>26</v>
      </c>
      <c r="W111" s="10" t="s">
        <v>26</v>
      </c>
      <c r="X111" s="11" t="s">
        <v>26</v>
      </c>
      <c r="Y111" s="11" t="s">
        <v>26</v>
      </c>
      <c r="Z111" s="11" t="s">
        <v>26</v>
      </c>
      <c r="AA111" s="10" t="s">
        <v>26</v>
      </c>
      <c r="AB111" s="11" t="s">
        <v>26</v>
      </c>
      <c r="AC111" s="11" t="s">
        <v>26</v>
      </c>
      <c r="AD111" s="11" t="s">
        <v>26</v>
      </c>
      <c r="AE111" s="10">
        <v>4612168717.04</v>
      </c>
      <c r="AF111" s="11">
        <v>7.2153062401599998E-3</v>
      </c>
      <c r="AG111" s="11" t="s">
        <v>26</v>
      </c>
      <c r="AH111" s="11" t="s">
        <v>26</v>
      </c>
      <c r="AI111" s="10" t="s">
        <v>26</v>
      </c>
      <c r="AJ111" s="11" t="s">
        <v>26</v>
      </c>
      <c r="AK111" s="11" t="s">
        <v>26</v>
      </c>
      <c r="AL111" s="11" t="s">
        <v>26</v>
      </c>
      <c r="AM111" s="10" t="s">
        <v>26</v>
      </c>
      <c r="AN111" s="11" t="s">
        <v>26</v>
      </c>
      <c r="AO111" s="11" t="s">
        <v>26</v>
      </c>
      <c r="AP111" s="11" t="s">
        <v>26</v>
      </c>
      <c r="AQ111" s="10" t="s">
        <v>26</v>
      </c>
      <c r="AR111" s="11" t="s">
        <v>26</v>
      </c>
      <c r="AS111" s="11" t="s">
        <v>26</v>
      </c>
      <c r="AT111" s="11" t="s">
        <v>26</v>
      </c>
      <c r="AU111" s="10" t="s">
        <v>26</v>
      </c>
      <c r="AV111" s="11" t="s">
        <v>26</v>
      </c>
      <c r="AW111" s="11" t="s">
        <v>26</v>
      </c>
      <c r="AX111" s="11" t="s">
        <v>26</v>
      </c>
      <c r="AY111" s="10">
        <v>4612168717.04</v>
      </c>
      <c r="AZ111" s="11">
        <v>6.3600067423899998E-3</v>
      </c>
      <c r="BA111" s="11" t="s">
        <v>26</v>
      </c>
      <c r="BB111" s="11" t="s">
        <v>26</v>
      </c>
    </row>
    <row r="112" spans="1:54" s="7" customFormat="1">
      <c r="A112" s="3" t="s">
        <v>86</v>
      </c>
      <c r="B112" s="31" t="s">
        <v>46</v>
      </c>
      <c r="C112" s="11" t="s">
        <v>26</v>
      </c>
      <c r="D112" s="11" t="s">
        <v>26</v>
      </c>
      <c r="E112" s="11" t="s">
        <v>26</v>
      </c>
      <c r="F112" s="11" t="s">
        <v>26</v>
      </c>
      <c r="G112" s="10" t="s">
        <v>26</v>
      </c>
      <c r="H112" s="11" t="s">
        <v>26</v>
      </c>
      <c r="I112" s="11" t="s">
        <v>26</v>
      </c>
      <c r="J112" s="11" t="s">
        <v>26</v>
      </c>
      <c r="K112" s="10" t="s">
        <v>26</v>
      </c>
      <c r="L112" s="11" t="s">
        <v>26</v>
      </c>
      <c r="M112" s="11" t="s">
        <v>26</v>
      </c>
      <c r="N112" s="11" t="s">
        <v>26</v>
      </c>
      <c r="O112" s="2">
        <v>4612168717.04</v>
      </c>
      <c r="P112" s="1">
        <v>1</v>
      </c>
      <c r="Q112" s="11" t="s">
        <v>26</v>
      </c>
      <c r="R112" s="11" t="s">
        <v>26</v>
      </c>
      <c r="S112" s="10" t="s">
        <v>26</v>
      </c>
      <c r="T112" s="11" t="s">
        <v>26</v>
      </c>
      <c r="U112" s="11" t="s">
        <v>26</v>
      </c>
      <c r="V112" s="11" t="s">
        <v>26</v>
      </c>
      <c r="W112" s="10" t="s">
        <v>26</v>
      </c>
      <c r="X112" s="11" t="s">
        <v>26</v>
      </c>
      <c r="Y112" s="11" t="s">
        <v>26</v>
      </c>
      <c r="Z112" s="11" t="s">
        <v>26</v>
      </c>
      <c r="AA112" s="10" t="s">
        <v>26</v>
      </c>
      <c r="AB112" s="11" t="s">
        <v>26</v>
      </c>
      <c r="AC112" s="11" t="s">
        <v>26</v>
      </c>
      <c r="AD112" s="11" t="s">
        <v>26</v>
      </c>
      <c r="AE112" s="2">
        <v>4612168717.04</v>
      </c>
      <c r="AF112" s="1">
        <v>1</v>
      </c>
      <c r="AG112" s="11" t="s">
        <v>26</v>
      </c>
      <c r="AH112" s="11" t="s">
        <v>26</v>
      </c>
      <c r="AI112" s="10" t="s">
        <v>26</v>
      </c>
      <c r="AJ112" s="11" t="s">
        <v>26</v>
      </c>
      <c r="AK112" s="11" t="s">
        <v>26</v>
      </c>
      <c r="AL112" s="11" t="s">
        <v>26</v>
      </c>
      <c r="AM112" s="10" t="s">
        <v>26</v>
      </c>
      <c r="AN112" s="11" t="s">
        <v>26</v>
      </c>
      <c r="AO112" s="11" t="s">
        <v>26</v>
      </c>
      <c r="AP112" s="11" t="s">
        <v>26</v>
      </c>
      <c r="AQ112" s="10" t="s">
        <v>26</v>
      </c>
      <c r="AR112" s="11" t="s">
        <v>26</v>
      </c>
      <c r="AS112" s="11" t="s">
        <v>26</v>
      </c>
      <c r="AT112" s="11" t="s">
        <v>26</v>
      </c>
      <c r="AU112" s="10" t="s">
        <v>26</v>
      </c>
      <c r="AV112" s="11" t="s">
        <v>26</v>
      </c>
      <c r="AW112" s="11" t="s">
        <v>26</v>
      </c>
      <c r="AX112" s="11" t="s">
        <v>26</v>
      </c>
      <c r="AY112" s="2">
        <v>4612168717.04</v>
      </c>
      <c r="AZ112" s="1">
        <v>1</v>
      </c>
      <c r="BA112" s="11" t="s">
        <v>26</v>
      </c>
      <c r="BB112" s="11" t="s">
        <v>26</v>
      </c>
    </row>
    <row r="113" spans="1:54" s="7" customFormat="1">
      <c r="A113" s="5" t="s">
        <v>91</v>
      </c>
      <c r="B113" s="24" t="s">
        <v>25</v>
      </c>
      <c r="C113" s="11" t="s">
        <v>26</v>
      </c>
      <c r="D113" s="11" t="s">
        <v>26</v>
      </c>
      <c r="E113" s="11" t="s">
        <v>26</v>
      </c>
      <c r="F113" s="11" t="s">
        <v>26</v>
      </c>
      <c r="G113" s="10" t="s">
        <v>26</v>
      </c>
      <c r="H113" s="11" t="s">
        <v>26</v>
      </c>
      <c r="I113" s="11" t="s">
        <v>26</v>
      </c>
      <c r="J113" s="11" t="s">
        <v>26</v>
      </c>
      <c r="K113" s="10" t="s">
        <v>26</v>
      </c>
      <c r="L113" s="11" t="s">
        <v>26</v>
      </c>
      <c r="M113" s="11" t="s">
        <v>26</v>
      </c>
      <c r="N113" s="11" t="s">
        <v>26</v>
      </c>
      <c r="O113" s="10" t="s">
        <v>26</v>
      </c>
      <c r="P113" s="11" t="s">
        <v>26</v>
      </c>
      <c r="Q113" s="11" t="s">
        <v>26</v>
      </c>
      <c r="R113" s="11" t="s">
        <v>26</v>
      </c>
      <c r="S113" s="10">
        <v>139634460.24000001</v>
      </c>
      <c r="T113" s="11">
        <v>1.25788215367E-3</v>
      </c>
      <c r="U113" s="11" t="s">
        <v>26</v>
      </c>
      <c r="V113" s="11" t="s">
        <v>26</v>
      </c>
      <c r="W113" s="10" t="s">
        <v>26</v>
      </c>
      <c r="X113" s="11" t="s">
        <v>26</v>
      </c>
      <c r="Y113" s="11" t="s">
        <v>26</v>
      </c>
      <c r="Z113" s="11" t="s">
        <v>26</v>
      </c>
      <c r="AA113" s="10" t="s">
        <v>26</v>
      </c>
      <c r="AB113" s="11" t="s">
        <v>26</v>
      </c>
      <c r="AC113" s="11" t="s">
        <v>26</v>
      </c>
      <c r="AD113" s="11" t="s">
        <v>26</v>
      </c>
      <c r="AE113" s="10">
        <v>139634460.24000001</v>
      </c>
      <c r="AF113" s="11">
        <v>2.184450427E-4</v>
      </c>
      <c r="AG113" s="11" t="s">
        <v>26</v>
      </c>
      <c r="AH113" s="11" t="s">
        <v>26</v>
      </c>
      <c r="AI113" s="10" t="s">
        <v>26</v>
      </c>
      <c r="AJ113" s="11" t="s">
        <v>26</v>
      </c>
      <c r="AK113" s="11" t="s">
        <v>26</v>
      </c>
      <c r="AL113" s="11" t="s">
        <v>26</v>
      </c>
      <c r="AM113" s="10" t="s">
        <v>26</v>
      </c>
      <c r="AN113" s="11" t="s">
        <v>26</v>
      </c>
      <c r="AO113" s="11" t="s">
        <v>26</v>
      </c>
      <c r="AP113" s="11" t="s">
        <v>26</v>
      </c>
      <c r="AQ113" s="10" t="s">
        <v>26</v>
      </c>
      <c r="AR113" s="11" t="s">
        <v>26</v>
      </c>
      <c r="AS113" s="11" t="s">
        <v>26</v>
      </c>
      <c r="AT113" s="11" t="s">
        <v>26</v>
      </c>
      <c r="AU113" s="10">
        <v>178874801.25</v>
      </c>
      <c r="AV113" s="11">
        <v>3.9710752006500002E-3</v>
      </c>
      <c r="AW113" s="11" t="s">
        <v>26</v>
      </c>
      <c r="AX113" s="11" t="s">
        <v>26</v>
      </c>
      <c r="AY113" s="10">
        <v>318509261.49000001</v>
      </c>
      <c r="AZ113" s="11">
        <v>4.3921226105999997E-4</v>
      </c>
      <c r="BA113" s="11" t="s">
        <v>26</v>
      </c>
      <c r="BB113" s="11" t="s">
        <v>26</v>
      </c>
    </row>
    <row r="114" spans="1:54" s="7" customFormat="1">
      <c r="A114" s="3" t="s">
        <v>86</v>
      </c>
      <c r="B114" s="31" t="s">
        <v>46</v>
      </c>
      <c r="C114" s="11" t="s">
        <v>26</v>
      </c>
      <c r="D114" s="11" t="s">
        <v>26</v>
      </c>
      <c r="E114" s="11" t="s">
        <v>26</v>
      </c>
      <c r="F114" s="11" t="s">
        <v>26</v>
      </c>
      <c r="G114" s="10" t="s">
        <v>26</v>
      </c>
      <c r="H114" s="11" t="s">
        <v>26</v>
      </c>
      <c r="I114" s="11" t="s">
        <v>26</v>
      </c>
      <c r="J114" s="11" t="s">
        <v>26</v>
      </c>
      <c r="K114" s="10" t="s">
        <v>26</v>
      </c>
      <c r="L114" s="11" t="s">
        <v>26</v>
      </c>
      <c r="M114" s="11" t="s">
        <v>26</v>
      </c>
      <c r="N114" s="11" t="s">
        <v>26</v>
      </c>
      <c r="O114" s="10" t="s">
        <v>26</v>
      </c>
      <c r="P114" s="11" t="s">
        <v>26</v>
      </c>
      <c r="Q114" s="11" t="s">
        <v>26</v>
      </c>
      <c r="R114" s="11" t="s">
        <v>26</v>
      </c>
      <c r="S114" s="2">
        <v>139634460.24000001</v>
      </c>
      <c r="T114" s="1">
        <v>1</v>
      </c>
      <c r="U114" s="11" t="s">
        <v>26</v>
      </c>
      <c r="V114" s="11" t="s">
        <v>26</v>
      </c>
      <c r="W114" s="10" t="s">
        <v>26</v>
      </c>
      <c r="X114" s="11" t="s">
        <v>26</v>
      </c>
      <c r="Y114" s="11" t="s">
        <v>26</v>
      </c>
      <c r="Z114" s="11" t="s">
        <v>26</v>
      </c>
      <c r="AA114" s="10" t="s">
        <v>26</v>
      </c>
      <c r="AB114" s="11" t="s">
        <v>26</v>
      </c>
      <c r="AC114" s="11" t="s">
        <v>26</v>
      </c>
      <c r="AD114" s="11" t="s">
        <v>26</v>
      </c>
      <c r="AE114" s="2">
        <v>139634460.24000001</v>
      </c>
      <c r="AF114" s="1">
        <v>1</v>
      </c>
      <c r="AG114" s="11" t="s">
        <v>26</v>
      </c>
      <c r="AH114" s="11" t="s">
        <v>26</v>
      </c>
      <c r="AI114" s="10" t="s">
        <v>26</v>
      </c>
      <c r="AJ114" s="11" t="s">
        <v>26</v>
      </c>
      <c r="AK114" s="11" t="s">
        <v>26</v>
      </c>
      <c r="AL114" s="11" t="s">
        <v>26</v>
      </c>
      <c r="AM114" s="10" t="s">
        <v>26</v>
      </c>
      <c r="AN114" s="11" t="s">
        <v>26</v>
      </c>
      <c r="AO114" s="11" t="s">
        <v>26</v>
      </c>
      <c r="AP114" s="11" t="s">
        <v>26</v>
      </c>
      <c r="AQ114" s="10" t="s">
        <v>26</v>
      </c>
      <c r="AR114" s="11" t="s">
        <v>26</v>
      </c>
      <c r="AS114" s="11" t="s">
        <v>26</v>
      </c>
      <c r="AT114" s="11" t="s">
        <v>26</v>
      </c>
      <c r="AU114" s="2">
        <v>178874801.25</v>
      </c>
      <c r="AV114" s="1">
        <v>1</v>
      </c>
      <c r="AW114" s="11" t="s">
        <v>26</v>
      </c>
      <c r="AX114" s="11" t="s">
        <v>26</v>
      </c>
      <c r="AY114" s="2">
        <v>318509261.49000001</v>
      </c>
      <c r="AZ114" s="1">
        <v>1</v>
      </c>
      <c r="BA114" s="11" t="s">
        <v>26</v>
      </c>
      <c r="BB114" s="11" t="s">
        <v>26</v>
      </c>
    </row>
    <row r="115" spans="1:54" s="7" customFormat="1">
      <c r="A115" s="5" t="s">
        <v>120</v>
      </c>
      <c r="B115" s="24" t="s">
        <v>25</v>
      </c>
      <c r="C115" s="11" t="s">
        <v>26</v>
      </c>
      <c r="D115" s="11" t="s">
        <v>26</v>
      </c>
      <c r="E115" s="11" t="s">
        <v>26</v>
      </c>
      <c r="F115" s="11" t="s">
        <v>26</v>
      </c>
      <c r="G115" s="10" t="s">
        <v>26</v>
      </c>
      <c r="H115" s="11" t="s">
        <v>26</v>
      </c>
      <c r="I115" s="11" t="s">
        <v>26</v>
      </c>
      <c r="J115" s="11" t="s">
        <v>26</v>
      </c>
      <c r="K115" s="10">
        <v>30139353.850000001</v>
      </c>
      <c r="L115" s="11">
        <v>1.02984705161E-2</v>
      </c>
      <c r="M115" s="11">
        <v>0.15</v>
      </c>
      <c r="N115" s="11">
        <v>0.13970152948389999</v>
      </c>
      <c r="O115" s="10" t="s">
        <v>26</v>
      </c>
      <c r="P115" s="11" t="s">
        <v>26</v>
      </c>
      <c r="Q115" s="11" t="s">
        <v>26</v>
      </c>
      <c r="R115" s="11" t="s">
        <v>26</v>
      </c>
      <c r="S115" s="10" t="s">
        <v>26</v>
      </c>
      <c r="T115" s="11" t="s">
        <v>26</v>
      </c>
      <c r="U115" s="11" t="s">
        <v>26</v>
      </c>
      <c r="V115" s="11" t="s">
        <v>26</v>
      </c>
      <c r="W115" s="10" t="s">
        <v>26</v>
      </c>
      <c r="X115" s="11" t="s">
        <v>26</v>
      </c>
      <c r="Y115" s="11" t="s">
        <v>26</v>
      </c>
      <c r="Z115" s="11" t="s">
        <v>26</v>
      </c>
      <c r="AA115" s="10" t="s">
        <v>26</v>
      </c>
      <c r="AB115" s="11" t="s">
        <v>26</v>
      </c>
      <c r="AC115" s="11" t="s">
        <v>26</v>
      </c>
      <c r="AD115" s="11" t="s">
        <v>26</v>
      </c>
      <c r="AE115" s="10">
        <v>30139353.850000001</v>
      </c>
      <c r="AF115" s="11">
        <v>4.715019793E-5</v>
      </c>
      <c r="AG115" s="11" t="s">
        <v>26</v>
      </c>
      <c r="AH115" s="11" t="s">
        <v>26</v>
      </c>
      <c r="AI115" s="10" t="s">
        <v>26</v>
      </c>
      <c r="AJ115" s="11" t="s">
        <v>26</v>
      </c>
      <c r="AK115" s="11" t="s">
        <v>26</v>
      </c>
      <c r="AL115" s="11" t="s">
        <v>26</v>
      </c>
      <c r="AM115" s="10" t="s">
        <v>26</v>
      </c>
      <c r="AN115" s="11" t="s">
        <v>26</v>
      </c>
      <c r="AO115" s="11" t="s">
        <v>26</v>
      </c>
      <c r="AP115" s="11" t="s">
        <v>26</v>
      </c>
      <c r="AQ115" s="10" t="s">
        <v>26</v>
      </c>
      <c r="AR115" s="11" t="s">
        <v>26</v>
      </c>
      <c r="AS115" s="11" t="s">
        <v>26</v>
      </c>
      <c r="AT115" s="11" t="s">
        <v>26</v>
      </c>
      <c r="AU115" s="10" t="s">
        <v>26</v>
      </c>
      <c r="AV115" s="11" t="s">
        <v>26</v>
      </c>
      <c r="AW115" s="11" t="s">
        <v>26</v>
      </c>
      <c r="AX115" s="11" t="s">
        <v>26</v>
      </c>
      <c r="AY115" s="10">
        <v>30139353.850000001</v>
      </c>
      <c r="AZ115" s="11">
        <v>4.156103245E-5</v>
      </c>
      <c r="BA115" s="11" t="s">
        <v>26</v>
      </c>
      <c r="BB115" s="11" t="s">
        <v>26</v>
      </c>
    </row>
    <row r="116" spans="1:54" s="7" customFormat="1">
      <c r="A116" s="3" t="s">
        <v>86</v>
      </c>
      <c r="B116" s="31" t="s">
        <v>46</v>
      </c>
      <c r="C116" s="11" t="s">
        <v>26</v>
      </c>
      <c r="D116" s="11" t="s">
        <v>26</v>
      </c>
      <c r="E116" s="11" t="s">
        <v>26</v>
      </c>
      <c r="F116" s="11" t="s">
        <v>26</v>
      </c>
      <c r="G116" s="10" t="s">
        <v>26</v>
      </c>
      <c r="H116" s="11" t="s">
        <v>26</v>
      </c>
      <c r="I116" s="11" t="s">
        <v>26</v>
      </c>
      <c r="J116" s="11" t="s">
        <v>26</v>
      </c>
      <c r="K116" s="35">
        <v>30139353.850000001</v>
      </c>
      <c r="L116" s="59">
        <v>1</v>
      </c>
      <c r="M116" s="11" t="s">
        <v>26</v>
      </c>
      <c r="N116" s="11" t="s">
        <v>26</v>
      </c>
      <c r="O116" s="10" t="s">
        <v>26</v>
      </c>
      <c r="P116" s="11" t="s">
        <v>26</v>
      </c>
      <c r="Q116" s="11" t="s">
        <v>26</v>
      </c>
      <c r="R116" s="11" t="s">
        <v>26</v>
      </c>
      <c r="S116" s="10" t="s">
        <v>26</v>
      </c>
      <c r="T116" s="11" t="s">
        <v>26</v>
      </c>
      <c r="U116" s="11" t="s">
        <v>26</v>
      </c>
      <c r="V116" s="11" t="s">
        <v>26</v>
      </c>
      <c r="W116" s="10" t="s">
        <v>26</v>
      </c>
      <c r="X116" s="11" t="s">
        <v>26</v>
      </c>
      <c r="Y116" s="11" t="s">
        <v>26</v>
      </c>
      <c r="Z116" s="11" t="s">
        <v>26</v>
      </c>
      <c r="AA116" s="10" t="s">
        <v>26</v>
      </c>
      <c r="AB116" s="11" t="s">
        <v>26</v>
      </c>
      <c r="AC116" s="11" t="s">
        <v>26</v>
      </c>
      <c r="AD116" s="11" t="s">
        <v>26</v>
      </c>
      <c r="AE116" s="2">
        <v>30139353.850000001</v>
      </c>
      <c r="AF116" s="1">
        <v>1</v>
      </c>
      <c r="AG116" s="11" t="s">
        <v>26</v>
      </c>
      <c r="AH116" s="11" t="s">
        <v>26</v>
      </c>
      <c r="AI116" s="10" t="s">
        <v>26</v>
      </c>
      <c r="AJ116" s="11" t="s">
        <v>26</v>
      </c>
      <c r="AK116" s="11" t="s">
        <v>26</v>
      </c>
      <c r="AL116" s="11" t="s">
        <v>26</v>
      </c>
      <c r="AM116" s="10" t="s">
        <v>26</v>
      </c>
      <c r="AN116" s="11" t="s">
        <v>26</v>
      </c>
      <c r="AO116" s="11" t="s">
        <v>26</v>
      </c>
      <c r="AP116" s="11" t="s">
        <v>26</v>
      </c>
      <c r="AQ116" s="10" t="s">
        <v>26</v>
      </c>
      <c r="AR116" s="11" t="s">
        <v>26</v>
      </c>
      <c r="AS116" s="11" t="s">
        <v>26</v>
      </c>
      <c r="AT116" s="11" t="s">
        <v>26</v>
      </c>
      <c r="AU116" s="10" t="s">
        <v>26</v>
      </c>
      <c r="AV116" s="11" t="s">
        <v>26</v>
      </c>
      <c r="AW116" s="11" t="s">
        <v>26</v>
      </c>
      <c r="AX116" s="11" t="s">
        <v>26</v>
      </c>
      <c r="AY116" s="2">
        <v>30139353.850000001</v>
      </c>
      <c r="AZ116" s="1">
        <v>1</v>
      </c>
      <c r="BA116" s="11" t="s">
        <v>26</v>
      </c>
      <c r="BB116" s="11" t="s">
        <v>26</v>
      </c>
    </row>
    <row r="117" spans="1:54" s="7" customFormat="1">
      <c r="A117" s="5" t="s">
        <v>92</v>
      </c>
      <c r="B117" s="24" t="s">
        <v>25</v>
      </c>
      <c r="C117" s="11" t="s">
        <v>26</v>
      </c>
      <c r="D117" s="11" t="s">
        <v>26</v>
      </c>
      <c r="E117" s="11" t="s">
        <v>26</v>
      </c>
      <c r="F117" s="11" t="s">
        <v>26</v>
      </c>
      <c r="G117" s="10">
        <v>735320291.54999995</v>
      </c>
      <c r="H117" s="11">
        <v>4.8892570362999996E-3</v>
      </c>
      <c r="I117" s="11" t="s">
        <v>26</v>
      </c>
      <c r="J117" s="11" t="s">
        <v>26</v>
      </c>
      <c r="K117" s="10" t="s">
        <v>26</v>
      </c>
      <c r="L117" s="11" t="s">
        <v>26</v>
      </c>
      <c r="M117" s="11" t="s">
        <v>26</v>
      </c>
      <c r="N117" s="11" t="s">
        <v>26</v>
      </c>
      <c r="O117" s="10">
        <v>2119345716.76</v>
      </c>
      <c r="P117" s="11">
        <v>9.4547488047999999E-3</v>
      </c>
      <c r="Q117" s="11" t="s">
        <v>26</v>
      </c>
      <c r="R117" s="11" t="s">
        <v>26</v>
      </c>
      <c r="S117" s="10" t="s">
        <v>26</v>
      </c>
      <c r="T117" s="11" t="s">
        <v>26</v>
      </c>
      <c r="U117" s="11" t="s">
        <v>26</v>
      </c>
      <c r="V117" s="11" t="s">
        <v>26</v>
      </c>
      <c r="W117" s="10" t="s">
        <v>26</v>
      </c>
      <c r="X117" s="11" t="s">
        <v>26</v>
      </c>
      <c r="Y117" s="11" t="s">
        <v>26</v>
      </c>
      <c r="Z117" s="11" t="s">
        <v>26</v>
      </c>
      <c r="AA117" s="10" t="s">
        <v>26</v>
      </c>
      <c r="AB117" s="11" t="s">
        <v>26</v>
      </c>
      <c r="AC117" s="11" t="s">
        <v>26</v>
      </c>
      <c r="AD117" s="11" t="s">
        <v>26</v>
      </c>
      <c r="AE117" s="10">
        <v>2854666008.3099999</v>
      </c>
      <c r="AF117" s="11">
        <v>4.4658577617199997E-3</v>
      </c>
      <c r="AG117" s="11" t="s">
        <v>26</v>
      </c>
      <c r="AH117" s="11" t="s">
        <v>26</v>
      </c>
      <c r="AI117" s="10" t="s">
        <v>26</v>
      </c>
      <c r="AJ117" s="11" t="s">
        <v>26</v>
      </c>
      <c r="AK117" s="11" t="s">
        <v>26</v>
      </c>
      <c r="AL117" s="11" t="s">
        <v>26</v>
      </c>
      <c r="AM117" s="10" t="s">
        <v>26</v>
      </c>
      <c r="AN117" s="11" t="s">
        <v>26</v>
      </c>
      <c r="AO117" s="11" t="s">
        <v>26</v>
      </c>
      <c r="AP117" s="11" t="s">
        <v>26</v>
      </c>
      <c r="AQ117" s="10" t="s">
        <v>26</v>
      </c>
      <c r="AR117" s="11" t="s">
        <v>26</v>
      </c>
      <c r="AS117" s="11" t="s">
        <v>26</v>
      </c>
      <c r="AT117" s="11" t="s">
        <v>26</v>
      </c>
      <c r="AU117" s="10" t="s">
        <v>26</v>
      </c>
      <c r="AV117" s="11" t="s">
        <v>26</v>
      </c>
      <c r="AW117" s="11" t="s">
        <v>26</v>
      </c>
      <c r="AX117" s="11" t="s">
        <v>26</v>
      </c>
      <c r="AY117" s="10">
        <v>2854666008.3099999</v>
      </c>
      <c r="AZ117" s="11">
        <v>3.9364767800099997E-3</v>
      </c>
      <c r="BA117" s="11" t="s">
        <v>26</v>
      </c>
      <c r="BB117" s="11" t="s">
        <v>26</v>
      </c>
    </row>
    <row r="118" spans="1:54" s="7" customFormat="1">
      <c r="A118" s="3" t="s">
        <v>86</v>
      </c>
      <c r="B118" s="31" t="s">
        <v>46</v>
      </c>
      <c r="C118" s="11" t="s">
        <v>26</v>
      </c>
      <c r="D118" s="11" t="s">
        <v>26</v>
      </c>
      <c r="E118" s="11" t="s">
        <v>26</v>
      </c>
      <c r="F118" s="11" t="s">
        <v>26</v>
      </c>
      <c r="G118" s="2">
        <v>735320291.54999995</v>
      </c>
      <c r="H118" s="1">
        <v>1</v>
      </c>
      <c r="I118" s="11" t="s">
        <v>26</v>
      </c>
      <c r="J118" s="11" t="s">
        <v>26</v>
      </c>
      <c r="K118" s="10" t="s">
        <v>26</v>
      </c>
      <c r="L118" s="11" t="s">
        <v>26</v>
      </c>
      <c r="M118" s="11" t="s">
        <v>26</v>
      </c>
      <c r="N118" s="11" t="s">
        <v>26</v>
      </c>
      <c r="O118" s="2">
        <v>2119345716.76</v>
      </c>
      <c r="P118" s="1">
        <v>1</v>
      </c>
      <c r="Q118" s="11" t="s">
        <v>26</v>
      </c>
      <c r="R118" s="11" t="s">
        <v>26</v>
      </c>
      <c r="S118" s="10" t="s">
        <v>26</v>
      </c>
      <c r="T118" s="11" t="s">
        <v>26</v>
      </c>
      <c r="U118" s="11" t="s">
        <v>26</v>
      </c>
      <c r="V118" s="11" t="s">
        <v>26</v>
      </c>
      <c r="W118" s="10" t="s">
        <v>26</v>
      </c>
      <c r="X118" s="11" t="s">
        <v>26</v>
      </c>
      <c r="Y118" s="11" t="s">
        <v>26</v>
      </c>
      <c r="Z118" s="11" t="s">
        <v>26</v>
      </c>
      <c r="AA118" s="10" t="s">
        <v>26</v>
      </c>
      <c r="AB118" s="11" t="s">
        <v>26</v>
      </c>
      <c r="AC118" s="11" t="s">
        <v>26</v>
      </c>
      <c r="AD118" s="11" t="s">
        <v>26</v>
      </c>
      <c r="AE118" s="2">
        <v>2854666008.3099999</v>
      </c>
      <c r="AF118" s="1">
        <v>1</v>
      </c>
      <c r="AG118" s="11" t="s">
        <v>26</v>
      </c>
      <c r="AH118" s="11" t="s">
        <v>26</v>
      </c>
      <c r="AI118" s="10" t="s">
        <v>26</v>
      </c>
      <c r="AJ118" s="11" t="s">
        <v>26</v>
      </c>
      <c r="AK118" s="11" t="s">
        <v>26</v>
      </c>
      <c r="AL118" s="11" t="s">
        <v>26</v>
      </c>
      <c r="AM118" s="10" t="s">
        <v>26</v>
      </c>
      <c r="AN118" s="11" t="s">
        <v>26</v>
      </c>
      <c r="AO118" s="11" t="s">
        <v>26</v>
      </c>
      <c r="AP118" s="11" t="s">
        <v>26</v>
      </c>
      <c r="AQ118" s="10" t="s">
        <v>26</v>
      </c>
      <c r="AR118" s="11" t="s">
        <v>26</v>
      </c>
      <c r="AS118" s="11" t="s">
        <v>26</v>
      </c>
      <c r="AT118" s="11" t="s">
        <v>26</v>
      </c>
      <c r="AU118" s="10" t="s">
        <v>26</v>
      </c>
      <c r="AV118" s="11" t="s">
        <v>26</v>
      </c>
      <c r="AW118" s="11" t="s">
        <v>26</v>
      </c>
      <c r="AX118" s="11" t="s">
        <v>26</v>
      </c>
      <c r="AY118" s="2">
        <v>2854666008.3099999</v>
      </c>
      <c r="AZ118" s="1">
        <v>1</v>
      </c>
      <c r="BA118" s="11" t="s">
        <v>26</v>
      </c>
      <c r="BB118" s="11" t="s">
        <v>26</v>
      </c>
    </row>
    <row r="119" spans="1:54" s="7" customFormat="1">
      <c r="A119" s="5" t="s">
        <v>93</v>
      </c>
      <c r="B119" s="24" t="s">
        <v>25</v>
      </c>
      <c r="C119" s="11" t="s">
        <v>26</v>
      </c>
      <c r="D119" s="11" t="s">
        <v>26</v>
      </c>
      <c r="E119" s="11" t="s">
        <v>26</v>
      </c>
      <c r="F119" s="11" t="s">
        <v>26</v>
      </c>
      <c r="G119" s="10">
        <v>1494637279.6099999</v>
      </c>
      <c r="H119" s="11">
        <v>9.9380717763799999E-3</v>
      </c>
      <c r="I119" s="11" t="s">
        <v>26</v>
      </c>
      <c r="J119" s="11" t="s">
        <v>26</v>
      </c>
      <c r="K119" s="10" t="s">
        <v>26</v>
      </c>
      <c r="L119" s="11" t="s">
        <v>26</v>
      </c>
      <c r="M119" s="11" t="s">
        <v>26</v>
      </c>
      <c r="N119" s="11" t="s">
        <v>26</v>
      </c>
      <c r="O119" s="10">
        <v>3561082694.79</v>
      </c>
      <c r="P119" s="11">
        <v>1.5886573901600001E-2</v>
      </c>
      <c r="Q119" s="11" t="s">
        <v>26</v>
      </c>
      <c r="R119" s="11" t="s">
        <v>26</v>
      </c>
      <c r="S119" s="10">
        <v>997103154.53999996</v>
      </c>
      <c r="T119" s="11">
        <v>8.9822975024399995E-3</v>
      </c>
      <c r="U119" s="11" t="s">
        <v>26</v>
      </c>
      <c r="V119" s="11" t="s">
        <v>26</v>
      </c>
      <c r="W119" s="10" t="s">
        <v>26</v>
      </c>
      <c r="X119" s="11" t="s">
        <v>26</v>
      </c>
      <c r="Y119" s="11" t="s">
        <v>26</v>
      </c>
      <c r="Z119" s="11" t="s">
        <v>26</v>
      </c>
      <c r="AA119" s="10" t="s">
        <v>26</v>
      </c>
      <c r="AB119" s="11" t="s">
        <v>26</v>
      </c>
      <c r="AC119" s="11" t="s">
        <v>26</v>
      </c>
      <c r="AD119" s="11" t="s">
        <v>26</v>
      </c>
      <c r="AE119" s="10">
        <v>6052823128.9399996</v>
      </c>
      <c r="AF119" s="11">
        <v>9.4690752165000006E-3</v>
      </c>
      <c r="AG119" s="11" t="s">
        <v>26</v>
      </c>
      <c r="AH119" s="11" t="s">
        <v>26</v>
      </c>
      <c r="AI119" s="10" t="s">
        <v>26</v>
      </c>
      <c r="AJ119" s="11" t="s">
        <v>26</v>
      </c>
      <c r="AK119" s="11" t="s">
        <v>26</v>
      </c>
      <c r="AL119" s="11" t="s">
        <v>26</v>
      </c>
      <c r="AM119" s="10" t="s">
        <v>26</v>
      </c>
      <c r="AN119" s="11" t="s">
        <v>26</v>
      </c>
      <c r="AO119" s="11" t="s">
        <v>26</v>
      </c>
      <c r="AP119" s="11" t="s">
        <v>26</v>
      </c>
      <c r="AQ119" s="10" t="s">
        <v>26</v>
      </c>
      <c r="AR119" s="11" t="s">
        <v>26</v>
      </c>
      <c r="AS119" s="11" t="s">
        <v>26</v>
      </c>
      <c r="AT119" s="11" t="s">
        <v>26</v>
      </c>
      <c r="AU119" s="10">
        <v>997103154.53999996</v>
      </c>
      <c r="AV119" s="11">
        <v>2.2135994459910002E-2</v>
      </c>
      <c r="AW119" s="11" t="s">
        <v>26</v>
      </c>
      <c r="AX119" s="11" t="s">
        <v>26</v>
      </c>
      <c r="AY119" s="10">
        <v>7049926283.4799995</v>
      </c>
      <c r="AZ119" s="11">
        <v>9.7215825020999999E-3</v>
      </c>
      <c r="BA119" s="11" t="s">
        <v>26</v>
      </c>
      <c r="BB119" s="11" t="s">
        <v>26</v>
      </c>
    </row>
    <row r="120" spans="1:54" s="7" customFormat="1">
      <c r="A120" s="3" t="s">
        <v>86</v>
      </c>
      <c r="B120" s="31" t="s">
        <v>37</v>
      </c>
      <c r="C120" s="11" t="s">
        <v>26</v>
      </c>
      <c r="D120" s="11" t="s">
        <v>26</v>
      </c>
      <c r="E120" s="11" t="s">
        <v>26</v>
      </c>
      <c r="F120" s="11" t="s">
        <v>26</v>
      </c>
      <c r="G120" s="2">
        <v>1494637279.6099999</v>
      </c>
      <c r="H120" s="1">
        <v>1</v>
      </c>
      <c r="I120" s="11" t="s">
        <v>26</v>
      </c>
      <c r="J120" s="11" t="s">
        <v>26</v>
      </c>
      <c r="K120" s="10" t="s">
        <v>26</v>
      </c>
      <c r="L120" s="11" t="s">
        <v>26</v>
      </c>
      <c r="M120" s="11" t="s">
        <v>26</v>
      </c>
      <c r="N120" s="11" t="s">
        <v>26</v>
      </c>
      <c r="O120" s="2">
        <v>3561082694.79</v>
      </c>
      <c r="P120" s="1">
        <v>1</v>
      </c>
      <c r="Q120" s="11" t="s">
        <v>26</v>
      </c>
      <c r="R120" s="11" t="s">
        <v>26</v>
      </c>
      <c r="S120" s="2">
        <v>997103154.53999996</v>
      </c>
      <c r="T120" s="1">
        <v>1</v>
      </c>
      <c r="U120" s="11" t="s">
        <v>26</v>
      </c>
      <c r="V120" s="11" t="s">
        <v>26</v>
      </c>
      <c r="W120" s="10" t="s">
        <v>26</v>
      </c>
      <c r="X120" s="11" t="s">
        <v>26</v>
      </c>
      <c r="Y120" s="11" t="s">
        <v>26</v>
      </c>
      <c r="Z120" s="11" t="s">
        <v>26</v>
      </c>
      <c r="AA120" s="10" t="s">
        <v>26</v>
      </c>
      <c r="AB120" s="11" t="s">
        <v>26</v>
      </c>
      <c r="AC120" s="11" t="s">
        <v>26</v>
      </c>
      <c r="AD120" s="11" t="s">
        <v>26</v>
      </c>
      <c r="AE120" s="2">
        <v>6052823128.9399996</v>
      </c>
      <c r="AF120" s="1">
        <v>1</v>
      </c>
      <c r="AG120" s="11" t="s">
        <v>26</v>
      </c>
      <c r="AH120" s="11" t="s">
        <v>26</v>
      </c>
      <c r="AI120" s="10" t="s">
        <v>26</v>
      </c>
      <c r="AJ120" s="11" t="s">
        <v>26</v>
      </c>
      <c r="AK120" s="11" t="s">
        <v>26</v>
      </c>
      <c r="AL120" s="11" t="s">
        <v>26</v>
      </c>
      <c r="AM120" s="10" t="s">
        <v>26</v>
      </c>
      <c r="AN120" s="11" t="s">
        <v>26</v>
      </c>
      <c r="AO120" s="11" t="s">
        <v>26</v>
      </c>
      <c r="AP120" s="11" t="s">
        <v>26</v>
      </c>
      <c r="AQ120" s="10" t="s">
        <v>26</v>
      </c>
      <c r="AR120" s="11" t="s">
        <v>26</v>
      </c>
      <c r="AS120" s="11" t="s">
        <v>26</v>
      </c>
      <c r="AT120" s="11" t="s">
        <v>26</v>
      </c>
      <c r="AU120" s="2">
        <v>997103154.53999996</v>
      </c>
      <c r="AV120" s="1">
        <v>1</v>
      </c>
      <c r="AW120" s="11" t="s">
        <v>26</v>
      </c>
      <c r="AX120" s="11" t="s">
        <v>26</v>
      </c>
      <c r="AY120" s="2">
        <v>7049926283.4799995</v>
      </c>
      <c r="AZ120" s="1">
        <v>1</v>
      </c>
      <c r="BA120" s="11" t="s">
        <v>26</v>
      </c>
      <c r="BB120" s="11" t="s">
        <v>26</v>
      </c>
    </row>
    <row r="121" spans="1:54" s="7" customFormat="1">
      <c r="A121" s="5" t="s">
        <v>94</v>
      </c>
      <c r="B121" s="24" t="s">
        <v>25</v>
      </c>
      <c r="C121" s="11" t="s">
        <v>26</v>
      </c>
      <c r="D121" s="11" t="s">
        <v>26</v>
      </c>
      <c r="E121" s="11" t="s">
        <v>26</v>
      </c>
      <c r="F121" s="11" t="s">
        <v>26</v>
      </c>
      <c r="G121" s="10">
        <v>558247995.5</v>
      </c>
      <c r="H121" s="11">
        <v>3.71187626856E-3</v>
      </c>
      <c r="I121" s="11" t="s">
        <v>26</v>
      </c>
      <c r="J121" s="11" t="s">
        <v>26</v>
      </c>
      <c r="K121" s="10" t="s">
        <v>26</v>
      </c>
      <c r="L121" s="11" t="s">
        <v>26</v>
      </c>
      <c r="M121" s="11" t="s">
        <v>26</v>
      </c>
      <c r="N121" s="11" t="s">
        <v>26</v>
      </c>
      <c r="O121" s="10">
        <v>774055505.60000002</v>
      </c>
      <c r="P121" s="11">
        <v>3.4531885518000001E-3</v>
      </c>
      <c r="Q121" s="11" t="s">
        <v>26</v>
      </c>
      <c r="R121" s="11" t="s">
        <v>26</v>
      </c>
      <c r="S121" s="10">
        <v>258133873.12</v>
      </c>
      <c r="T121" s="11">
        <v>2.3253714856499999E-3</v>
      </c>
      <c r="U121" s="11" t="s">
        <v>26</v>
      </c>
      <c r="V121" s="11" t="s">
        <v>26</v>
      </c>
      <c r="W121" s="10" t="s">
        <v>26</v>
      </c>
      <c r="X121" s="11" t="s">
        <v>26</v>
      </c>
      <c r="Y121" s="11" t="s">
        <v>26</v>
      </c>
      <c r="Z121" s="11" t="s">
        <v>26</v>
      </c>
      <c r="AA121" s="10">
        <v>837371993.25</v>
      </c>
      <c r="AB121" s="11">
        <v>6.0571306582799999E-3</v>
      </c>
      <c r="AC121" s="11" t="s">
        <v>26</v>
      </c>
      <c r="AD121" s="11" t="s">
        <v>26</v>
      </c>
      <c r="AE121" s="10">
        <v>2427809367.4699998</v>
      </c>
      <c r="AF121" s="11">
        <v>3.7980805026299998E-3</v>
      </c>
      <c r="AG121" s="11" t="s">
        <v>26</v>
      </c>
      <c r="AH121" s="11" t="s">
        <v>26</v>
      </c>
      <c r="AI121" s="10" t="s">
        <v>26</v>
      </c>
      <c r="AJ121" s="11" t="s">
        <v>26</v>
      </c>
      <c r="AK121" s="11" t="s">
        <v>26</v>
      </c>
      <c r="AL121" s="11" t="s">
        <v>26</v>
      </c>
      <c r="AM121" s="10" t="s">
        <v>26</v>
      </c>
      <c r="AN121" s="11" t="s">
        <v>26</v>
      </c>
      <c r="AO121" s="11" t="s">
        <v>26</v>
      </c>
      <c r="AP121" s="11" t="s">
        <v>26</v>
      </c>
      <c r="AQ121" s="10" t="s">
        <v>26</v>
      </c>
      <c r="AR121" s="11" t="s">
        <v>26</v>
      </c>
      <c r="AS121" s="11" t="s">
        <v>26</v>
      </c>
      <c r="AT121" s="11" t="s">
        <v>26</v>
      </c>
      <c r="AU121" s="10" t="s">
        <v>26</v>
      </c>
      <c r="AV121" s="11" t="s">
        <v>26</v>
      </c>
      <c r="AW121" s="11" t="s">
        <v>26</v>
      </c>
      <c r="AX121" s="11" t="s">
        <v>26</v>
      </c>
      <c r="AY121" s="10">
        <v>2427809367.4699998</v>
      </c>
      <c r="AZ121" s="11">
        <v>3.3478575684600001E-3</v>
      </c>
      <c r="BA121" s="11" t="s">
        <v>26</v>
      </c>
      <c r="BB121" s="11" t="s">
        <v>26</v>
      </c>
    </row>
    <row r="122" spans="1:54" s="7" customFormat="1">
      <c r="A122" s="3" t="s">
        <v>86</v>
      </c>
      <c r="B122" s="31" t="s">
        <v>46</v>
      </c>
      <c r="C122" s="11" t="s">
        <v>26</v>
      </c>
      <c r="D122" s="11" t="s">
        <v>26</v>
      </c>
      <c r="E122" s="11" t="s">
        <v>26</v>
      </c>
      <c r="F122" s="11" t="s">
        <v>26</v>
      </c>
      <c r="G122" s="35">
        <v>558247995.5</v>
      </c>
      <c r="H122" s="1">
        <v>1</v>
      </c>
      <c r="I122" s="11" t="s">
        <v>26</v>
      </c>
      <c r="J122" s="11" t="s">
        <v>26</v>
      </c>
      <c r="K122" s="10" t="s">
        <v>26</v>
      </c>
      <c r="L122" s="11" t="s">
        <v>26</v>
      </c>
      <c r="M122" s="11" t="s">
        <v>26</v>
      </c>
      <c r="N122" s="11" t="s">
        <v>26</v>
      </c>
      <c r="O122" s="2">
        <v>774055505.60000002</v>
      </c>
      <c r="P122" s="1">
        <v>1</v>
      </c>
      <c r="Q122" s="11" t="s">
        <v>26</v>
      </c>
      <c r="R122" s="11" t="s">
        <v>26</v>
      </c>
      <c r="S122" s="35">
        <v>258133873.12</v>
      </c>
      <c r="T122" s="59">
        <v>1</v>
      </c>
      <c r="U122" s="11" t="s">
        <v>26</v>
      </c>
      <c r="V122" s="11" t="s">
        <v>26</v>
      </c>
      <c r="W122" s="10" t="s">
        <v>26</v>
      </c>
      <c r="X122" s="11" t="s">
        <v>26</v>
      </c>
      <c r="Y122" s="11" t="s">
        <v>26</v>
      </c>
      <c r="Z122" s="11" t="s">
        <v>26</v>
      </c>
      <c r="AA122" s="2">
        <v>837371993.25</v>
      </c>
      <c r="AB122" s="1">
        <v>1</v>
      </c>
      <c r="AC122" s="11" t="s">
        <v>26</v>
      </c>
      <c r="AD122" s="11" t="s">
        <v>26</v>
      </c>
      <c r="AE122" s="2">
        <f>+G122+O122+S122+AA122</f>
        <v>2427809367.4699998</v>
      </c>
      <c r="AF122" s="1">
        <v>1</v>
      </c>
      <c r="AG122" s="11" t="s">
        <v>26</v>
      </c>
      <c r="AH122" s="11" t="s">
        <v>26</v>
      </c>
      <c r="AI122" s="10" t="s">
        <v>26</v>
      </c>
      <c r="AJ122" s="11" t="s">
        <v>26</v>
      </c>
      <c r="AK122" s="11" t="s">
        <v>26</v>
      </c>
      <c r="AL122" s="11" t="s">
        <v>26</v>
      </c>
      <c r="AM122" s="10" t="s">
        <v>26</v>
      </c>
      <c r="AN122" s="11" t="s">
        <v>26</v>
      </c>
      <c r="AO122" s="11" t="s">
        <v>26</v>
      </c>
      <c r="AP122" s="11" t="s">
        <v>26</v>
      </c>
      <c r="AQ122" s="10" t="s">
        <v>26</v>
      </c>
      <c r="AR122" s="11" t="s">
        <v>26</v>
      </c>
      <c r="AS122" s="11" t="s">
        <v>26</v>
      </c>
      <c r="AT122" s="11" t="s">
        <v>26</v>
      </c>
      <c r="AU122" s="10" t="s">
        <v>26</v>
      </c>
      <c r="AV122" s="11" t="s">
        <v>26</v>
      </c>
      <c r="AW122" s="11" t="s">
        <v>26</v>
      </c>
      <c r="AX122" s="11" t="s">
        <v>26</v>
      </c>
      <c r="AY122" s="2">
        <f>+AE122</f>
        <v>2427809367.4699998</v>
      </c>
      <c r="AZ122" s="1">
        <v>0.34490846129431002</v>
      </c>
      <c r="BA122" s="11" t="s">
        <v>26</v>
      </c>
      <c r="BB122" s="11" t="s">
        <v>26</v>
      </c>
    </row>
    <row r="123" spans="1:54" s="7" customFormat="1">
      <c r="A123" s="5" t="s">
        <v>95</v>
      </c>
      <c r="B123" s="24" t="s">
        <v>25</v>
      </c>
      <c r="C123" s="11" t="s">
        <v>26</v>
      </c>
      <c r="D123" s="11" t="s">
        <v>26</v>
      </c>
      <c r="E123" s="11" t="s">
        <v>26</v>
      </c>
      <c r="F123" s="11" t="s">
        <v>26</v>
      </c>
      <c r="G123" s="10" t="s">
        <v>26</v>
      </c>
      <c r="H123" s="11" t="s">
        <v>26</v>
      </c>
      <c r="I123" s="11" t="s">
        <v>26</v>
      </c>
      <c r="J123" s="11" t="s">
        <v>26</v>
      </c>
      <c r="K123" s="10" t="s">
        <v>26</v>
      </c>
      <c r="L123" s="11" t="s">
        <v>26</v>
      </c>
      <c r="M123" s="11" t="s">
        <v>26</v>
      </c>
      <c r="N123" s="11" t="s">
        <v>26</v>
      </c>
      <c r="O123" s="10">
        <v>362629711.44999999</v>
      </c>
      <c r="P123" s="11">
        <v>1.61775061228E-3</v>
      </c>
      <c r="Q123" s="11" t="s">
        <v>26</v>
      </c>
      <c r="R123" s="11" t="s">
        <v>26</v>
      </c>
      <c r="S123" s="10" t="s">
        <v>26</v>
      </c>
      <c r="T123" s="11" t="s">
        <v>26</v>
      </c>
      <c r="U123" s="11" t="s">
        <v>26</v>
      </c>
      <c r="V123" s="11" t="s">
        <v>26</v>
      </c>
      <c r="W123" s="10" t="s">
        <v>26</v>
      </c>
      <c r="X123" s="11" t="s">
        <v>26</v>
      </c>
      <c r="Y123" s="11" t="s">
        <v>26</v>
      </c>
      <c r="Z123" s="11" t="s">
        <v>26</v>
      </c>
      <c r="AA123" s="10" t="s">
        <v>26</v>
      </c>
      <c r="AB123" s="11" t="s">
        <v>26</v>
      </c>
      <c r="AC123" s="10" t="s">
        <v>26</v>
      </c>
      <c r="AD123" s="11" t="s">
        <v>26</v>
      </c>
      <c r="AE123" s="10">
        <v>362629711.44999999</v>
      </c>
      <c r="AF123" s="11">
        <v>5.6730023995999997E-4</v>
      </c>
      <c r="AG123" s="11" t="s">
        <v>26</v>
      </c>
      <c r="AH123" s="11" t="s">
        <v>26</v>
      </c>
      <c r="AI123" s="10" t="s">
        <v>26</v>
      </c>
      <c r="AJ123" s="11" t="s">
        <v>26</v>
      </c>
      <c r="AK123" s="11" t="s">
        <v>26</v>
      </c>
      <c r="AL123" s="11" t="s">
        <v>26</v>
      </c>
      <c r="AM123" s="10" t="s">
        <v>26</v>
      </c>
      <c r="AN123" s="11" t="s">
        <v>26</v>
      </c>
      <c r="AO123" s="11" t="s">
        <v>26</v>
      </c>
      <c r="AP123" s="11" t="s">
        <v>26</v>
      </c>
      <c r="AQ123" s="10" t="s">
        <v>26</v>
      </c>
      <c r="AR123" s="11" t="s">
        <v>26</v>
      </c>
      <c r="AS123" s="11" t="s">
        <v>26</v>
      </c>
      <c r="AT123" s="11" t="s">
        <v>26</v>
      </c>
      <c r="AU123" s="10" t="s">
        <v>26</v>
      </c>
      <c r="AV123" s="11" t="s">
        <v>26</v>
      </c>
      <c r="AW123" s="11" t="s">
        <v>26</v>
      </c>
      <c r="AX123" s="11" t="s">
        <v>26</v>
      </c>
      <c r="AY123" s="10">
        <v>362629711.44999999</v>
      </c>
      <c r="AZ123" s="11">
        <v>5.0005269783000002E-4</v>
      </c>
      <c r="BA123" s="11" t="s">
        <v>26</v>
      </c>
      <c r="BB123" s="11" t="s">
        <v>26</v>
      </c>
    </row>
    <row r="124" spans="1:54" s="7" customFormat="1">
      <c r="A124" s="3" t="s">
        <v>86</v>
      </c>
      <c r="B124" s="31" t="s">
        <v>56</v>
      </c>
      <c r="C124" s="11" t="s">
        <v>26</v>
      </c>
      <c r="D124" s="11" t="s">
        <v>26</v>
      </c>
      <c r="E124" s="11" t="s">
        <v>26</v>
      </c>
      <c r="F124" s="11" t="s">
        <v>26</v>
      </c>
      <c r="G124" s="10" t="s">
        <v>26</v>
      </c>
      <c r="H124" s="11" t="s">
        <v>26</v>
      </c>
      <c r="I124" s="11" t="s">
        <v>26</v>
      </c>
      <c r="J124" s="11" t="s">
        <v>26</v>
      </c>
      <c r="K124" s="10" t="s">
        <v>26</v>
      </c>
      <c r="L124" s="11" t="s">
        <v>26</v>
      </c>
      <c r="M124" s="11" t="s">
        <v>26</v>
      </c>
      <c r="N124" s="11" t="s">
        <v>26</v>
      </c>
      <c r="O124" s="2">
        <v>362629711.44999999</v>
      </c>
      <c r="P124" s="1">
        <v>1</v>
      </c>
      <c r="Q124" s="11" t="s">
        <v>26</v>
      </c>
      <c r="R124" s="11" t="s">
        <v>26</v>
      </c>
      <c r="S124" s="10" t="s">
        <v>26</v>
      </c>
      <c r="T124" s="11" t="s">
        <v>26</v>
      </c>
      <c r="U124" s="11" t="s">
        <v>26</v>
      </c>
      <c r="V124" s="11" t="s">
        <v>26</v>
      </c>
      <c r="W124" s="10" t="s">
        <v>26</v>
      </c>
      <c r="X124" s="11" t="s">
        <v>26</v>
      </c>
      <c r="Y124" s="11" t="s">
        <v>26</v>
      </c>
      <c r="Z124" s="11" t="s">
        <v>26</v>
      </c>
      <c r="AA124" s="10" t="s">
        <v>26</v>
      </c>
      <c r="AB124" s="11" t="s">
        <v>26</v>
      </c>
      <c r="AC124" s="10" t="s">
        <v>26</v>
      </c>
      <c r="AD124" s="11" t="s">
        <v>26</v>
      </c>
      <c r="AE124" s="2">
        <v>362629711.44999999</v>
      </c>
      <c r="AF124" s="1">
        <v>1</v>
      </c>
      <c r="AG124" s="11" t="s">
        <v>26</v>
      </c>
      <c r="AH124" s="11" t="s">
        <v>26</v>
      </c>
      <c r="AI124" s="10" t="s">
        <v>26</v>
      </c>
      <c r="AJ124" s="11" t="s">
        <v>26</v>
      </c>
      <c r="AK124" s="11" t="s">
        <v>26</v>
      </c>
      <c r="AL124" s="11" t="s">
        <v>26</v>
      </c>
      <c r="AM124" s="10" t="s">
        <v>26</v>
      </c>
      <c r="AN124" s="11" t="s">
        <v>26</v>
      </c>
      <c r="AO124" s="11" t="s">
        <v>26</v>
      </c>
      <c r="AP124" s="11" t="s">
        <v>26</v>
      </c>
      <c r="AQ124" s="10" t="s">
        <v>26</v>
      </c>
      <c r="AR124" s="11" t="s">
        <v>26</v>
      </c>
      <c r="AS124" s="11" t="s">
        <v>26</v>
      </c>
      <c r="AT124" s="11" t="s">
        <v>26</v>
      </c>
      <c r="AU124" s="10" t="s">
        <v>26</v>
      </c>
      <c r="AV124" s="11" t="s">
        <v>26</v>
      </c>
      <c r="AW124" s="11" t="s">
        <v>26</v>
      </c>
      <c r="AX124" s="11" t="s">
        <v>26</v>
      </c>
      <c r="AY124" s="2">
        <v>362629711.44999999</v>
      </c>
      <c r="AZ124" s="1">
        <v>1</v>
      </c>
      <c r="BA124" s="11" t="s">
        <v>26</v>
      </c>
      <c r="BB124" s="11" t="s">
        <v>26</v>
      </c>
    </row>
    <row r="125" spans="1:54" s="7" customFormat="1">
      <c r="A125" s="5" t="s">
        <v>96</v>
      </c>
      <c r="B125" s="24" t="s">
        <v>25</v>
      </c>
      <c r="C125" s="11" t="s">
        <v>26</v>
      </c>
      <c r="D125" s="11" t="s">
        <v>26</v>
      </c>
      <c r="E125" s="11" t="s">
        <v>26</v>
      </c>
      <c r="F125" s="11" t="s">
        <v>26</v>
      </c>
      <c r="G125" s="10" t="s">
        <v>26</v>
      </c>
      <c r="H125" s="11" t="s">
        <v>26</v>
      </c>
      <c r="I125" s="11" t="s">
        <v>26</v>
      </c>
      <c r="J125" s="11" t="s">
        <v>26</v>
      </c>
      <c r="K125" s="10" t="s">
        <v>26</v>
      </c>
      <c r="L125" s="11" t="s">
        <v>26</v>
      </c>
      <c r="M125" s="11" t="s">
        <v>26</v>
      </c>
      <c r="N125" s="11" t="s">
        <v>26</v>
      </c>
      <c r="O125" s="10">
        <v>32183975.850000001</v>
      </c>
      <c r="P125" s="11">
        <v>1.4357799428000001E-4</v>
      </c>
      <c r="Q125" s="11" t="s">
        <v>26</v>
      </c>
      <c r="R125" s="11" t="s">
        <v>26</v>
      </c>
      <c r="S125" s="10" t="s">
        <v>26</v>
      </c>
      <c r="T125" s="11" t="s">
        <v>26</v>
      </c>
      <c r="U125" s="11" t="s">
        <v>26</v>
      </c>
      <c r="V125" s="11" t="s">
        <v>26</v>
      </c>
      <c r="W125" s="10" t="s">
        <v>26</v>
      </c>
      <c r="X125" s="11" t="s">
        <v>26</v>
      </c>
      <c r="Y125" s="11" t="s">
        <v>26</v>
      </c>
      <c r="Z125" s="11" t="s">
        <v>26</v>
      </c>
      <c r="AA125" s="10" t="s">
        <v>26</v>
      </c>
      <c r="AB125" s="11" t="s">
        <v>26</v>
      </c>
      <c r="AC125" s="10" t="s">
        <v>26</v>
      </c>
      <c r="AD125" s="11" t="s">
        <v>26</v>
      </c>
      <c r="AE125" s="10">
        <v>32183975.850000001</v>
      </c>
      <c r="AF125" s="11">
        <v>5.034881767E-5</v>
      </c>
      <c r="AG125" s="11" t="s">
        <v>26</v>
      </c>
      <c r="AH125" s="11" t="s">
        <v>26</v>
      </c>
      <c r="AI125" s="10" t="s">
        <v>26</v>
      </c>
      <c r="AJ125" s="11" t="s">
        <v>26</v>
      </c>
      <c r="AK125" s="11" t="s">
        <v>26</v>
      </c>
      <c r="AL125" s="11" t="s">
        <v>26</v>
      </c>
      <c r="AM125" s="10" t="s">
        <v>26</v>
      </c>
      <c r="AN125" s="11" t="s">
        <v>26</v>
      </c>
      <c r="AO125" s="11" t="s">
        <v>26</v>
      </c>
      <c r="AP125" s="11" t="s">
        <v>26</v>
      </c>
      <c r="AQ125" s="10" t="s">
        <v>26</v>
      </c>
      <c r="AR125" s="11" t="s">
        <v>26</v>
      </c>
      <c r="AS125" s="11" t="s">
        <v>26</v>
      </c>
      <c r="AT125" s="11" t="s">
        <v>26</v>
      </c>
      <c r="AU125" s="10" t="s">
        <v>26</v>
      </c>
      <c r="AV125" s="11" t="s">
        <v>26</v>
      </c>
      <c r="AW125" s="11" t="s">
        <v>26</v>
      </c>
      <c r="AX125" s="11" t="s">
        <v>26</v>
      </c>
      <c r="AY125" s="10">
        <v>32183975.850000001</v>
      </c>
      <c r="AZ125" s="11">
        <v>4.4380489080000002E-5</v>
      </c>
      <c r="BA125" s="11" t="s">
        <v>26</v>
      </c>
      <c r="BB125" s="11" t="s">
        <v>26</v>
      </c>
    </row>
    <row r="126" spans="1:54" s="7" customFormat="1">
      <c r="A126" s="3" t="s">
        <v>86</v>
      </c>
      <c r="B126" s="31" t="s">
        <v>56</v>
      </c>
      <c r="C126" s="11" t="s">
        <v>26</v>
      </c>
      <c r="D126" s="11" t="s">
        <v>26</v>
      </c>
      <c r="E126" s="11" t="s">
        <v>26</v>
      </c>
      <c r="F126" s="11" t="s">
        <v>26</v>
      </c>
      <c r="G126" s="10" t="s">
        <v>26</v>
      </c>
      <c r="H126" s="11" t="s">
        <v>26</v>
      </c>
      <c r="I126" s="11" t="s">
        <v>26</v>
      </c>
      <c r="J126" s="11" t="s">
        <v>26</v>
      </c>
      <c r="K126" s="10" t="s">
        <v>26</v>
      </c>
      <c r="L126" s="11" t="s">
        <v>26</v>
      </c>
      <c r="M126" s="11" t="s">
        <v>26</v>
      </c>
      <c r="N126" s="11" t="s">
        <v>26</v>
      </c>
      <c r="O126" s="2">
        <v>32183975.850000001</v>
      </c>
      <c r="P126" s="1">
        <v>1</v>
      </c>
      <c r="Q126" s="11" t="s">
        <v>26</v>
      </c>
      <c r="R126" s="11" t="s">
        <v>26</v>
      </c>
      <c r="S126" s="10" t="s">
        <v>26</v>
      </c>
      <c r="T126" s="11" t="s">
        <v>26</v>
      </c>
      <c r="U126" s="11" t="s">
        <v>26</v>
      </c>
      <c r="V126" s="11" t="s">
        <v>26</v>
      </c>
      <c r="W126" s="10" t="s">
        <v>26</v>
      </c>
      <c r="X126" s="11" t="s">
        <v>26</v>
      </c>
      <c r="Y126" s="11" t="s">
        <v>26</v>
      </c>
      <c r="Z126" s="11" t="s">
        <v>26</v>
      </c>
      <c r="AA126" s="10" t="s">
        <v>26</v>
      </c>
      <c r="AB126" s="11" t="s">
        <v>26</v>
      </c>
      <c r="AC126" s="10" t="s">
        <v>26</v>
      </c>
      <c r="AD126" s="11" t="s">
        <v>26</v>
      </c>
      <c r="AE126" s="2">
        <v>32183975.850000001</v>
      </c>
      <c r="AF126" s="1">
        <v>1</v>
      </c>
      <c r="AG126" s="11" t="s">
        <v>26</v>
      </c>
      <c r="AH126" s="11" t="s">
        <v>26</v>
      </c>
      <c r="AI126" s="10" t="s">
        <v>26</v>
      </c>
      <c r="AJ126" s="11" t="s">
        <v>26</v>
      </c>
      <c r="AK126" s="11" t="s">
        <v>26</v>
      </c>
      <c r="AL126" s="11" t="s">
        <v>26</v>
      </c>
      <c r="AM126" s="10" t="s">
        <v>26</v>
      </c>
      <c r="AN126" s="11" t="s">
        <v>26</v>
      </c>
      <c r="AO126" s="11" t="s">
        <v>26</v>
      </c>
      <c r="AP126" s="11" t="s">
        <v>26</v>
      </c>
      <c r="AQ126" s="10" t="s">
        <v>26</v>
      </c>
      <c r="AR126" s="11" t="s">
        <v>26</v>
      </c>
      <c r="AS126" s="11" t="s">
        <v>26</v>
      </c>
      <c r="AT126" s="11" t="s">
        <v>26</v>
      </c>
      <c r="AU126" s="10" t="s">
        <v>26</v>
      </c>
      <c r="AV126" s="11" t="s">
        <v>26</v>
      </c>
      <c r="AW126" s="11" t="s">
        <v>26</v>
      </c>
      <c r="AX126" s="11" t="s">
        <v>26</v>
      </c>
      <c r="AY126" s="2">
        <v>32183975.850000001</v>
      </c>
      <c r="AZ126" s="1">
        <v>1</v>
      </c>
      <c r="BA126" s="11" t="s">
        <v>26</v>
      </c>
      <c r="BB126" s="11" t="s">
        <v>26</v>
      </c>
    </row>
    <row r="127" spans="1:54" s="7" customFormat="1">
      <c r="A127" s="5" t="s">
        <v>97</v>
      </c>
      <c r="B127" s="24" t="s">
        <v>25</v>
      </c>
      <c r="C127" s="11" t="s">
        <v>26</v>
      </c>
      <c r="D127" s="11" t="s">
        <v>26</v>
      </c>
      <c r="E127" s="11" t="s">
        <v>26</v>
      </c>
      <c r="F127" s="11" t="s">
        <v>26</v>
      </c>
      <c r="G127" s="10" t="s">
        <v>26</v>
      </c>
      <c r="H127" s="11" t="s">
        <v>26</v>
      </c>
      <c r="I127" s="11" t="s">
        <v>26</v>
      </c>
      <c r="J127" s="11" t="s">
        <v>26</v>
      </c>
      <c r="K127" s="10" t="s">
        <v>26</v>
      </c>
      <c r="L127" s="11" t="s">
        <v>26</v>
      </c>
      <c r="M127" s="11" t="s">
        <v>26</v>
      </c>
      <c r="N127" s="11" t="s">
        <v>26</v>
      </c>
      <c r="O127" s="10">
        <v>1870063290.7</v>
      </c>
      <c r="P127" s="11">
        <v>8.3426590210500008E-3</v>
      </c>
      <c r="Q127" s="11" t="s">
        <v>26</v>
      </c>
      <c r="R127" s="11" t="s">
        <v>26</v>
      </c>
      <c r="S127" s="10" t="s">
        <v>26</v>
      </c>
      <c r="T127" s="11" t="s">
        <v>26</v>
      </c>
      <c r="U127" s="11" t="s">
        <v>26</v>
      </c>
      <c r="V127" s="11" t="s">
        <v>26</v>
      </c>
      <c r="W127" s="10" t="s">
        <v>26</v>
      </c>
      <c r="X127" s="11" t="s">
        <v>26</v>
      </c>
      <c r="Y127" s="11" t="s">
        <v>26</v>
      </c>
      <c r="Z127" s="11" t="s">
        <v>26</v>
      </c>
      <c r="AA127" s="10" t="s">
        <v>26</v>
      </c>
      <c r="AB127" s="11" t="s">
        <v>26</v>
      </c>
      <c r="AC127" s="10" t="s">
        <v>26</v>
      </c>
      <c r="AD127" s="11" t="s">
        <v>26</v>
      </c>
      <c r="AE127" s="10">
        <v>1870063290.7</v>
      </c>
      <c r="AF127" s="11">
        <v>2.9255389728100002E-3</v>
      </c>
      <c r="AG127" s="11" t="s">
        <v>26</v>
      </c>
      <c r="AH127" s="11" t="s">
        <v>26</v>
      </c>
      <c r="AI127" s="10" t="s">
        <v>26</v>
      </c>
      <c r="AJ127" s="11" t="s">
        <v>26</v>
      </c>
      <c r="AK127" s="11" t="s">
        <v>26</v>
      </c>
      <c r="AL127" s="11" t="s">
        <v>26</v>
      </c>
      <c r="AM127" s="10" t="s">
        <v>26</v>
      </c>
      <c r="AN127" s="11" t="s">
        <v>26</v>
      </c>
      <c r="AO127" s="11" t="s">
        <v>26</v>
      </c>
      <c r="AP127" s="11" t="s">
        <v>26</v>
      </c>
      <c r="AQ127" s="10" t="s">
        <v>26</v>
      </c>
      <c r="AR127" s="11" t="s">
        <v>26</v>
      </c>
      <c r="AS127" s="11" t="s">
        <v>26</v>
      </c>
      <c r="AT127" s="11" t="s">
        <v>26</v>
      </c>
      <c r="AU127" s="10" t="s">
        <v>26</v>
      </c>
      <c r="AV127" s="11" t="s">
        <v>26</v>
      </c>
      <c r="AW127" s="11" t="s">
        <v>26</v>
      </c>
      <c r="AX127" s="11" t="s">
        <v>26</v>
      </c>
      <c r="AY127" s="10">
        <v>1870063290.7</v>
      </c>
      <c r="AZ127" s="11">
        <v>2.5787467604199998E-3</v>
      </c>
      <c r="BA127" s="11" t="s">
        <v>26</v>
      </c>
      <c r="BB127" s="11" t="s">
        <v>26</v>
      </c>
    </row>
    <row r="128" spans="1:54" s="7" customFormat="1">
      <c r="A128" s="3" t="s">
        <v>86</v>
      </c>
      <c r="B128" s="31" t="s">
        <v>46</v>
      </c>
      <c r="C128" s="11" t="s">
        <v>26</v>
      </c>
      <c r="D128" s="11" t="s">
        <v>26</v>
      </c>
      <c r="E128" s="11" t="s">
        <v>26</v>
      </c>
      <c r="F128" s="11" t="s">
        <v>26</v>
      </c>
      <c r="G128" s="10" t="s">
        <v>26</v>
      </c>
      <c r="H128" s="11" t="s">
        <v>26</v>
      </c>
      <c r="I128" s="11" t="s">
        <v>26</v>
      </c>
      <c r="J128" s="11" t="s">
        <v>26</v>
      </c>
      <c r="K128" s="10" t="s">
        <v>26</v>
      </c>
      <c r="L128" s="11" t="s">
        <v>26</v>
      </c>
      <c r="M128" s="11" t="s">
        <v>26</v>
      </c>
      <c r="N128" s="11" t="s">
        <v>26</v>
      </c>
      <c r="O128" s="2">
        <v>1870063290.7</v>
      </c>
      <c r="P128" s="1">
        <v>1</v>
      </c>
      <c r="Q128" s="11" t="s">
        <v>26</v>
      </c>
      <c r="R128" s="11" t="s">
        <v>26</v>
      </c>
      <c r="S128" s="10" t="s">
        <v>26</v>
      </c>
      <c r="T128" s="11" t="s">
        <v>26</v>
      </c>
      <c r="U128" s="11" t="s">
        <v>26</v>
      </c>
      <c r="V128" s="11" t="s">
        <v>26</v>
      </c>
      <c r="W128" s="10" t="s">
        <v>26</v>
      </c>
      <c r="X128" s="11" t="s">
        <v>26</v>
      </c>
      <c r="Y128" s="11" t="s">
        <v>26</v>
      </c>
      <c r="Z128" s="11" t="s">
        <v>26</v>
      </c>
      <c r="AA128" s="10" t="s">
        <v>26</v>
      </c>
      <c r="AB128" s="11" t="s">
        <v>26</v>
      </c>
      <c r="AC128" s="10" t="s">
        <v>26</v>
      </c>
      <c r="AD128" s="11" t="s">
        <v>26</v>
      </c>
      <c r="AE128" s="2">
        <v>1870063290.7</v>
      </c>
      <c r="AF128" s="1">
        <v>1</v>
      </c>
      <c r="AG128" s="11" t="s">
        <v>26</v>
      </c>
      <c r="AH128" s="11" t="s">
        <v>26</v>
      </c>
      <c r="AI128" s="10" t="s">
        <v>26</v>
      </c>
      <c r="AJ128" s="11" t="s">
        <v>26</v>
      </c>
      <c r="AK128" s="11" t="s">
        <v>26</v>
      </c>
      <c r="AL128" s="11" t="s">
        <v>26</v>
      </c>
      <c r="AM128" s="10" t="s">
        <v>26</v>
      </c>
      <c r="AN128" s="11" t="s">
        <v>26</v>
      </c>
      <c r="AO128" s="11" t="s">
        <v>26</v>
      </c>
      <c r="AP128" s="11" t="s">
        <v>26</v>
      </c>
      <c r="AQ128" s="10" t="s">
        <v>26</v>
      </c>
      <c r="AR128" s="11" t="s">
        <v>26</v>
      </c>
      <c r="AS128" s="11" t="s">
        <v>26</v>
      </c>
      <c r="AT128" s="11" t="s">
        <v>26</v>
      </c>
      <c r="AU128" s="10" t="s">
        <v>26</v>
      </c>
      <c r="AV128" s="11" t="s">
        <v>26</v>
      </c>
      <c r="AW128" s="11" t="s">
        <v>26</v>
      </c>
      <c r="AX128" s="11" t="s">
        <v>26</v>
      </c>
      <c r="AY128" s="2">
        <v>1870063290.7</v>
      </c>
      <c r="AZ128" s="1">
        <v>1</v>
      </c>
      <c r="BA128" s="11" t="s">
        <v>26</v>
      </c>
      <c r="BB128" s="11" t="s">
        <v>26</v>
      </c>
    </row>
    <row r="129" spans="1:54" s="7" customFormat="1">
      <c r="A129" s="5" t="s">
        <v>98</v>
      </c>
      <c r="B129" s="24" t="s">
        <v>25</v>
      </c>
      <c r="C129" s="11" t="s">
        <v>26</v>
      </c>
      <c r="D129" s="11" t="s">
        <v>26</v>
      </c>
      <c r="E129" s="11" t="s">
        <v>26</v>
      </c>
      <c r="F129" s="11" t="s">
        <v>26</v>
      </c>
      <c r="G129" s="10" t="s">
        <v>26</v>
      </c>
      <c r="H129" s="11" t="s">
        <v>26</v>
      </c>
      <c r="I129" s="11" t="s">
        <v>26</v>
      </c>
      <c r="J129" s="11" t="s">
        <v>26</v>
      </c>
      <c r="K129" s="10" t="s">
        <v>26</v>
      </c>
      <c r="L129" s="11" t="s">
        <v>26</v>
      </c>
      <c r="M129" s="11" t="s">
        <v>26</v>
      </c>
      <c r="N129" s="11" t="s">
        <v>26</v>
      </c>
      <c r="O129" s="10">
        <v>606951368.5</v>
      </c>
      <c r="P129" s="11">
        <v>2.7077095919299998E-3</v>
      </c>
      <c r="Q129" s="11" t="s">
        <v>26</v>
      </c>
      <c r="R129" s="11" t="s">
        <v>26</v>
      </c>
      <c r="S129" s="10" t="s">
        <v>26</v>
      </c>
      <c r="T129" s="11" t="s">
        <v>26</v>
      </c>
      <c r="U129" s="11" t="s">
        <v>26</v>
      </c>
      <c r="V129" s="11" t="s">
        <v>26</v>
      </c>
      <c r="W129" s="10" t="s">
        <v>26</v>
      </c>
      <c r="X129" s="11" t="s">
        <v>26</v>
      </c>
      <c r="Y129" s="11" t="s">
        <v>26</v>
      </c>
      <c r="Z129" s="11" t="s">
        <v>26</v>
      </c>
      <c r="AA129" s="10" t="s">
        <v>26</v>
      </c>
      <c r="AB129" s="11" t="s">
        <v>26</v>
      </c>
      <c r="AC129" s="10" t="s">
        <v>26</v>
      </c>
      <c r="AD129" s="11" t="s">
        <v>26</v>
      </c>
      <c r="AE129" s="10">
        <v>606951368.5</v>
      </c>
      <c r="AF129" s="11">
        <v>9.4951860291999995E-4</v>
      </c>
      <c r="AG129" s="11" t="s">
        <v>26</v>
      </c>
      <c r="AH129" s="11" t="s">
        <v>26</v>
      </c>
      <c r="AI129" s="10" t="s">
        <v>26</v>
      </c>
      <c r="AJ129" s="11" t="s">
        <v>26</v>
      </c>
      <c r="AK129" s="11" t="s">
        <v>26</v>
      </c>
      <c r="AL129" s="11" t="s">
        <v>26</v>
      </c>
      <c r="AM129" s="10" t="s">
        <v>26</v>
      </c>
      <c r="AN129" s="11" t="s">
        <v>26</v>
      </c>
      <c r="AO129" s="11" t="s">
        <v>26</v>
      </c>
      <c r="AP129" s="11" t="s">
        <v>26</v>
      </c>
      <c r="AQ129" s="10" t="s">
        <v>26</v>
      </c>
      <c r="AR129" s="11" t="s">
        <v>26</v>
      </c>
      <c r="AS129" s="11" t="s">
        <v>26</v>
      </c>
      <c r="AT129" s="11" t="s">
        <v>26</v>
      </c>
      <c r="AU129" s="10" t="s">
        <v>26</v>
      </c>
      <c r="AV129" s="11" t="s">
        <v>26</v>
      </c>
      <c r="AW129" s="11" t="s">
        <v>26</v>
      </c>
      <c r="AX129" s="11" t="s">
        <v>26</v>
      </c>
      <c r="AY129" s="10">
        <v>606951368.5</v>
      </c>
      <c r="AZ129" s="11">
        <v>8.3696304988000001E-4</v>
      </c>
      <c r="BA129" s="11" t="s">
        <v>26</v>
      </c>
      <c r="BB129" s="11" t="s">
        <v>26</v>
      </c>
    </row>
    <row r="130" spans="1:54" s="7" customFormat="1">
      <c r="A130" s="3" t="s">
        <v>86</v>
      </c>
      <c r="B130" s="31" t="s">
        <v>114</v>
      </c>
      <c r="C130" s="11" t="s">
        <v>26</v>
      </c>
      <c r="D130" s="11" t="s">
        <v>26</v>
      </c>
      <c r="E130" s="11" t="s">
        <v>26</v>
      </c>
      <c r="F130" s="11" t="s">
        <v>26</v>
      </c>
      <c r="G130" s="10" t="s">
        <v>26</v>
      </c>
      <c r="H130" s="11" t="s">
        <v>26</v>
      </c>
      <c r="I130" s="11" t="s">
        <v>26</v>
      </c>
      <c r="J130" s="11" t="s">
        <v>26</v>
      </c>
      <c r="K130" s="10" t="s">
        <v>26</v>
      </c>
      <c r="L130" s="11" t="s">
        <v>26</v>
      </c>
      <c r="M130" s="11" t="s">
        <v>26</v>
      </c>
      <c r="N130" s="11" t="s">
        <v>26</v>
      </c>
      <c r="O130" s="2">
        <v>606951368.5</v>
      </c>
      <c r="P130" s="1">
        <v>1</v>
      </c>
      <c r="Q130" s="11" t="s">
        <v>26</v>
      </c>
      <c r="R130" s="11" t="s">
        <v>26</v>
      </c>
      <c r="S130" s="10" t="s">
        <v>26</v>
      </c>
      <c r="T130" s="11" t="s">
        <v>26</v>
      </c>
      <c r="U130" s="11" t="s">
        <v>26</v>
      </c>
      <c r="V130" s="11" t="s">
        <v>26</v>
      </c>
      <c r="W130" s="10" t="s">
        <v>26</v>
      </c>
      <c r="X130" s="11" t="s">
        <v>26</v>
      </c>
      <c r="Y130" s="11" t="s">
        <v>26</v>
      </c>
      <c r="Z130" s="11" t="s">
        <v>26</v>
      </c>
      <c r="AA130" s="10" t="s">
        <v>26</v>
      </c>
      <c r="AB130" s="11" t="s">
        <v>26</v>
      </c>
      <c r="AC130" s="10" t="s">
        <v>26</v>
      </c>
      <c r="AD130" s="11" t="s">
        <v>26</v>
      </c>
      <c r="AE130" s="2">
        <v>606951368.5</v>
      </c>
      <c r="AF130" s="1">
        <v>1</v>
      </c>
      <c r="AG130" s="11" t="s">
        <v>26</v>
      </c>
      <c r="AH130" s="11" t="s">
        <v>26</v>
      </c>
      <c r="AI130" s="10" t="s">
        <v>26</v>
      </c>
      <c r="AJ130" s="11" t="s">
        <v>26</v>
      </c>
      <c r="AK130" s="11" t="s">
        <v>26</v>
      </c>
      <c r="AL130" s="11" t="s">
        <v>26</v>
      </c>
      <c r="AM130" s="10" t="s">
        <v>26</v>
      </c>
      <c r="AN130" s="11" t="s">
        <v>26</v>
      </c>
      <c r="AO130" s="11" t="s">
        <v>26</v>
      </c>
      <c r="AP130" s="11" t="s">
        <v>26</v>
      </c>
      <c r="AQ130" s="10" t="s">
        <v>26</v>
      </c>
      <c r="AR130" s="11" t="s">
        <v>26</v>
      </c>
      <c r="AS130" s="11" t="s">
        <v>26</v>
      </c>
      <c r="AT130" s="11" t="s">
        <v>26</v>
      </c>
      <c r="AU130" s="10" t="s">
        <v>26</v>
      </c>
      <c r="AV130" s="11" t="s">
        <v>26</v>
      </c>
      <c r="AW130" s="11" t="s">
        <v>26</v>
      </c>
      <c r="AX130" s="11" t="s">
        <v>26</v>
      </c>
      <c r="AY130" s="2">
        <v>606951368.5</v>
      </c>
      <c r="AZ130" s="1">
        <v>1</v>
      </c>
      <c r="BA130" s="11" t="s">
        <v>26</v>
      </c>
      <c r="BB130" s="11" t="s">
        <v>26</v>
      </c>
    </row>
    <row r="131" spans="1:54" s="7" customFormat="1">
      <c r="A131" s="5" t="s">
        <v>125</v>
      </c>
      <c r="B131" s="24" t="s">
        <v>25</v>
      </c>
      <c r="C131" s="11" t="s">
        <v>26</v>
      </c>
      <c r="D131" s="11" t="s">
        <v>26</v>
      </c>
      <c r="E131" s="11" t="s">
        <v>26</v>
      </c>
      <c r="F131" s="11" t="s">
        <v>26</v>
      </c>
      <c r="G131" s="10" t="s">
        <v>26</v>
      </c>
      <c r="H131" s="11" t="s">
        <v>26</v>
      </c>
      <c r="I131" s="11" t="s">
        <v>26</v>
      </c>
      <c r="J131" s="11" t="s">
        <v>26</v>
      </c>
      <c r="K131" s="10">
        <v>37555282.640000001</v>
      </c>
      <c r="L131" s="11">
        <v>1.2832457288790001E-2</v>
      </c>
      <c r="M131" s="11">
        <v>0.15</v>
      </c>
      <c r="N131" s="11">
        <v>0.13716754271121001</v>
      </c>
      <c r="O131" s="10" t="s">
        <v>26</v>
      </c>
      <c r="P131" s="11" t="s">
        <v>26</v>
      </c>
      <c r="Q131" s="11" t="s">
        <v>26</v>
      </c>
      <c r="R131" s="11" t="s">
        <v>26</v>
      </c>
      <c r="S131" s="10" t="s">
        <v>26</v>
      </c>
      <c r="T131" s="11" t="s">
        <v>26</v>
      </c>
      <c r="U131" s="11" t="s">
        <v>26</v>
      </c>
      <c r="V131" s="11" t="s">
        <v>26</v>
      </c>
      <c r="W131" s="10" t="s">
        <v>26</v>
      </c>
      <c r="X131" s="11" t="s">
        <v>26</v>
      </c>
      <c r="Y131" s="11" t="s">
        <v>26</v>
      </c>
      <c r="Z131" s="11" t="s">
        <v>26</v>
      </c>
      <c r="AA131" s="10" t="s">
        <v>26</v>
      </c>
      <c r="AB131" s="11" t="s">
        <v>26</v>
      </c>
      <c r="AC131" s="10" t="s">
        <v>26</v>
      </c>
      <c r="AD131" s="11" t="s">
        <v>26</v>
      </c>
      <c r="AE131" s="10">
        <v>37555282.640000001</v>
      </c>
      <c r="AF131" s="11">
        <v>5.8751724360000001E-5</v>
      </c>
      <c r="AG131" s="11" t="s">
        <v>26</v>
      </c>
      <c r="AH131" s="11" t="s">
        <v>26</v>
      </c>
      <c r="AI131" s="10" t="s">
        <v>26</v>
      </c>
      <c r="AJ131" s="11" t="s">
        <v>26</v>
      </c>
      <c r="AK131" s="11" t="s">
        <v>26</v>
      </c>
      <c r="AL131" s="11" t="s">
        <v>26</v>
      </c>
      <c r="AM131" s="10" t="s">
        <v>26</v>
      </c>
      <c r="AN131" s="11" t="s">
        <v>26</v>
      </c>
      <c r="AO131" s="11" t="s">
        <v>26</v>
      </c>
      <c r="AP131" s="11" t="s">
        <v>26</v>
      </c>
      <c r="AQ131" s="10" t="s">
        <v>26</v>
      </c>
      <c r="AR131" s="11" t="s">
        <v>26</v>
      </c>
      <c r="AS131" s="11" t="s">
        <v>26</v>
      </c>
      <c r="AT131" s="11" t="s">
        <v>26</v>
      </c>
      <c r="AU131" s="10" t="s">
        <v>26</v>
      </c>
      <c r="AV131" s="11" t="s">
        <v>26</v>
      </c>
      <c r="AW131" s="11" t="s">
        <v>26</v>
      </c>
      <c r="AX131" s="11" t="s">
        <v>26</v>
      </c>
      <c r="AY131" s="10">
        <v>37555282.640000001</v>
      </c>
      <c r="AZ131" s="11">
        <v>5.1787318599999997E-5</v>
      </c>
      <c r="BA131" s="11" t="s">
        <v>26</v>
      </c>
      <c r="BB131" s="11" t="s">
        <v>26</v>
      </c>
    </row>
    <row r="132" spans="1:54" s="7" customFormat="1">
      <c r="A132" s="3" t="s">
        <v>86</v>
      </c>
      <c r="B132" s="31" t="s">
        <v>46</v>
      </c>
      <c r="C132" s="11" t="s">
        <v>26</v>
      </c>
      <c r="D132" s="11" t="s">
        <v>26</v>
      </c>
      <c r="E132" s="11" t="s">
        <v>26</v>
      </c>
      <c r="F132" s="11" t="s">
        <v>26</v>
      </c>
      <c r="G132" s="10" t="s">
        <v>26</v>
      </c>
      <c r="H132" s="11" t="s">
        <v>26</v>
      </c>
      <c r="I132" s="11" t="s">
        <v>26</v>
      </c>
      <c r="J132" s="11" t="s">
        <v>26</v>
      </c>
      <c r="K132" s="35">
        <v>37555282.640000001</v>
      </c>
      <c r="L132" s="59">
        <v>1</v>
      </c>
      <c r="M132" s="11" t="s">
        <v>26</v>
      </c>
      <c r="N132" s="11" t="s">
        <v>26</v>
      </c>
      <c r="O132" s="10" t="s">
        <v>26</v>
      </c>
      <c r="P132" s="11" t="s">
        <v>26</v>
      </c>
      <c r="Q132" s="11" t="s">
        <v>26</v>
      </c>
      <c r="R132" s="11" t="s">
        <v>26</v>
      </c>
      <c r="S132" s="10" t="s">
        <v>26</v>
      </c>
      <c r="T132" s="11" t="s">
        <v>26</v>
      </c>
      <c r="U132" s="11" t="s">
        <v>26</v>
      </c>
      <c r="V132" s="11" t="s">
        <v>26</v>
      </c>
      <c r="W132" s="10" t="s">
        <v>26</v>
      </c>
      <c r="X132" s="11" t="s">
        <v>26</v>
      </c>
      <c r="Y132" s="11" t="s">
        <v>26</v>
      </c>
      <c r="Z132" s="11" t="s">
        <v>26</v>
      </c>
      <c r="AA132" s="10" t="s">
        <v>26</v>
      </c>
      <c r="AB132" s="11" t="s">
        <v>26</v>
      </c>
      <c r="AC132" s="10" t="s">
        <v>26</v>
      </c>
      <c r="AD132" s="11" t="s">
        <v>26</v>
      </c>
      <c r="AE132" s="2">
        <v>37555282.640000001</v>
      </c>
      <c r="AF132" s="1">
        <v>1</v>
      </c>
      <c r="AG132" s="11" t="s">
        <v>26</v>
      </c>
      <c r="AH132" s="11" t="s">
        <v>26</v>
      </c>
      <c r="AI132" s="10" t="s">
        <v>26</v>
      </c>
      <c r="AJ132" s="11" t="s">
        <v>26</v>
      </c>
      <c r="AK132" s="11" t="s">
        <v>26</v>
      </c>
      <c r="AL132" s="11" t="s">
        <v>26</v>
      </c>
      <c r="AM132" s="10" t="s">
        <v>26</v>
      </c>
      <c r="AN132" s="11" t="s">
        <v>26</v>
      </c>
      <c r="AO132" s="11" t="s">
        <v>26</v>
      </c>
      <c r="AP132" s="11" t="s">
        <v>26</v>
      </c>
      <c r="AQ132" s="10" t="s">
        <v>26</v>
      </c>
      <c r="AR132" s="11" t="s">
        <v>26</v>
      </c>
      <c r="AS132" s="11" t="s">
        <v>26</v>
      </c>
      <c r="AT132" s="11" t="s">
        <v>26</v>
      </c>
      <c r="AU132" s="10" t="s">
        <v>26</v>
      </c>
      <c r="AV132" s="11" t="s">
        <v>26</v>
      </c>
      <c r="AW132" s="11" t="s">
        <v>26</v>
      </c>
      <c r="AX132" s="11" t="s">
        <v>26</v>
      </c>
      <c r="AY132" s="2">
        <v>37555282.640000001</v>
      </c>
      <c r="AZ132" s="1">
        <v>1</v>
      </c>
      <c r="BA132" s="11" t="s">
        <v>26</v>
      </c>
      <c r="BB132" s="11" t="s">
        <v>26</v>
      </c>
    </row>
    <row r="133" spans="1:54">
      <c r="A133" s="13" t="s">
        <v>100</v>
      </c>
      <c r="B133" s="25" t="s">
        <v>25</v>
      </c>
      <c r="C133" s="55">
        <v>6305256253.9200001</v>
      </c>
      <c r="D133" s="56">
        <v>0.99980000000000002</v>
      </c>
      <c r="E133" s="56" t="s">
        <v>26</v>
      </c>
      <c r="F133" s="56" t="s">
        <v>26</v>
      </c>
      <c r="G133" s="55">
        <f>+G98+G93+G69+G48+G18+G13+G8</f>
        <v>150394137507.37555</v>
      </c>
      <c r="H133" s="56">
        <f>+G133/G135</f>
        <v>0.99999361295506162</v>
      </c>
      <c r="I133" s="56" t="s">
        <v>26</v>
      </c>
      <c r="J133" s="56" t="s">
        <v>26</v>
      </c>
      <c r="K133" s="55">
        <v>2923028705.4299998</v>
      </c>
      <c r="L133" s="56">
        <v>0.99880000000000002</v>
      </c>
      <c r="M133" s="56" t="s">
        <v>26</v>
      </c>
      <c r="N133" s="56" t="s">
        <v>26</v>
      </c>
      <c r="O133" s="55">
        <v>224156525968.07999</v>
      </c>
      <c r="P133" s="56">
        <v>1</v>
      </c>
      <c r="Q133" s="56" t="s">
        <v>26</v>
      </c>
      <c r="R133" s="56" t="s">
        <v>26</v>
      </c>
      <c r="S133" s="55">
        <v>111007334482.52</v>
      </c>
      <c r="T133" s="56">
        <v>1</v>
      </c>
      <c r="U133" s="56" t="s">
        <v>26</v>
      </c>
      <c r="V133" s="56" t="s">
        <v>26</v>
      </c>
      <c r="W133" s="55">
        <f>+W8+W13+W18+W48</f>
        <v>6171835476.749999</v>
      </c>
      <c r="X133" s="56">
        <f>+W133/W135</f>
        <v>0.99876856624607224</v>
      </c>
      <c r="Y133" s="56" t="s">
        <v>26</v>
      </c>
      <c r="Z133" s="56" t="s">
        <v>26</v>
      </c>
      <c r="AA133" s="55">
        <v>138245273169.64001</v>
      </c>
      <c r="AB133" s="56">
        <v>1</v>
      </c>
      <c r="AC133" s="56" t="s">
        <v>26</v>
      </c>
      <c r="AD133" s="56" t="s">
        <v>26</v>
      </c>
      <c r="AE133" s="55">
        <f>+AE8+AE13+AE18+AE48+AE59+AE69+AE88+AE93+AE98</f>
        <v>639203391563.7157</v>
      </c>
      <c r="AF133" s="56">
        <f>+AE133/AE135</f>
        <v>0.99997963178779414</v>
      </c>
      <c r="AG133" s="56" t="s">
        <v>26</v>
      </c>
      <c r="AH133" s="56" t="s">
        <v>26</v>
      </c>
      <c r="AI133" s="55">
        <v>17081713774</v>
      </c>
      <c r="AJ133" s="56">
        <v>1</v>
      </c>
      <c r="AK133" s="56" t="s">
        <v>26</v>
      </c>
      <c r="AL133" s="56" t="s">
        <v>26</v>
      </c>
      <c r="AM133" s="55">
        <v>23835811067.389999</v>
      </c>
      <c r="AN133" s="56">
        <v>1</v>
      </c>
      <c r="AO133" s="56" t="s">
        <v>26</v>
      </c>
      <c r="AP133" s="56" t="s">
        <v>26</v>
      </c>
      <c r="AQ133" s="55">
        <v>40917524841.389999</v>
      </c>
      <c r="AR133" s="56">
        <v>1</v>
      </c>
      <c r="AS133" s="56" t="s">
        <v>26</v>
      </c>
      <c r="AT133" s="56" t="s">
        <v>26</v>
      </c>
      <c r="AU133" s="55">
        <v>45044133354.949997</v>
      </c>
      <c r="AV133" s="56">
        <v>1</v>
      </c>
      <c r="AW133" s="56" t="s">
        <v>26</v>
      </c>
      <c r="AX133" s="56" t="s">
        <v>26</v>
      </c>
      <c r="AY133" s="55">
        <f>+AY8+AY13+AY18+AY48+AY59+AY69+AY88+AY93+AY98</f>
        <v>725165049760.05542</v>
      </c>
      <c r="AZ133" s="62">
        <f>+AY133/AY135</f>
        <v>0.99998033385969654</v>
      </c>
      <c r="BA133" s="56" t="s">
        <v>26</v>
      </c>
      <c r="BB133" s="56" t="s">
        <v>26</v>
      </c>
    </row>
    <row r="134" spans="1:54" s="7" customFormat="1">
      <c r="A134" s="5" t="s">
        <v>101</v>
      </c>
      <c r="B134" s="24" t="s">
        <v>25</v>
      </c>
      <c r="C134" s="10">
        <v>989601.32</v>
      </c>
      <c r="D134" s="11">
        <v>2.0000000000000001E-4</v>
      </c>
      <c r="E134" s="11" t="s">
        <v>26</v>
      </c>
      <c r="F134" s="11" t="s">
        <v>26</v>
      </c>
      <c r="G134" s="10">
        <v>960580.25</v>
      </c>
      <c r="H134" s="11">
        <f>+G134/G135</f>
        <v>6.3870449383950775E-6</v>
      </c>
      <c r="I134" s="11" t="s">
        <v>26</v>
      </c>
      <c r="J134" s="11" t="s">
        <v>26</v>
      </c>
      <c r="K134" s="10">
        <v>3556732.95</v>
      </c>
      <c r="L134" s="11">
        <v>1.1999999999999999E-3</v>
      </c>
      <c r="M134" s="11" t="s">
        <v>26</v>
      </c>
      <c r="N134" s="11" t="s">
        <v>26</v>
      </c>
      <c r="O134" s="10">
        <v>219019.63</v>
      </c>
      <c r="P134" s="11">
        <v>0</v>
      </c>
      <c r="Q134" s="11" t="s">
        <v>26</v>
      </c>
      <c r="R134" s="11" t="s">
        <v>26</v>
      </c>
      <c r="S134" s="10">
        <v>250633.53</v>
      </c>
      <c r="T134" s="11">
        <v>0</v>
      </c>
      <c r="U134" s="11" t="s">
        <v>26</v>
      </c>
      <c r="V134" s="11" t="s">
        <v>26</v>
      </c>
      <c r="W134" s="10">
        <v>7609577.2199999997</v>
      </c>
      <c r="X134" s="11">
        <f>+W134/W135</f>
        <v>1.2314337539276619E-3</v>
      </c>
      <c r="Y134" s="11" t="s">
        <v>26</v>
      </c>
      <c r="Z134" s="11" t="s">
        <v>26</v>
      </c>
      <c r="AA134" s="10">
        <v>381496.09</v>
      </c>
      <c r="AB134" s="11">
        <v>0</v>
      </c>
      <c r="AC134" s="11" t="s">
        <v>26</v>
      </c>
      <c r="AD134" s="11" t="s">
        <v>26</v>
      </c>
      <c r="AE134" s="10">
        <v>13019695.51</v>
      </c>
      <c r="AF134" s="11">
        <f>+AE134/AE135</f>
        <v>2.0368212205865966E-5</v>
      </c>
      <c r="AG134" s="11" t="s">
        <v>26</v>
      </c>
      <c r="AH134" s="11" t="s">
        <v>26</v>
      </c>
      <c r="AI134" s="10">
        <v>257614.51</v>
      </c>
      <c r="AJ134" s="11">
        <v>0</v>
      </c>
      <c r="AK134" s="11" t="s">
        <v>26</v>
      </c>
      <c r="AL134" s="11" t="s">
        <v>26</v>
      </c>
      <c r="AM134" s="10">
        <v>691967.79</v>
      </c>
      <c r="AN134" s="11">
        <v>0</v>
      </c>
      <c r="AO134" s="11" t="s">
        <v>26</v>
      </c>
      <c r="AP134" s="11" t="s">
        <v>26</v>
      </c>
      <c r="AQ134" s="10">
        <v>949582.3</v>
      </c>
      <c r="AR134" s="11">
        <v>0</v>
      </c>
      <c r="AS134" s="11" t="s">
        <v>26</v>
      </c>
      <c r="AT134" s="11" t="s">
        <v>26</v>
      </c>
      <c r="AU134" s="10">
        <v>292200.27</v>
      </c>
      <c r="AV134" s="11">
        <v>0</v>
      </c>
      <c r="AW134" s="11" t="s">
        <v>26</v>
      </c>
      <c r="AX134" s="11" t="s">
        <v>26</v>
      </c>
      <c r="AY134" s="10">
        <v>14261478.08</v>
      </c>
      <c r="AZ134" s="11">
        <f>+AY134/AY135</f>
        <v>1.9666140303493569E-5</v>
      </c>
      <c r="BA134" s="11" t="s">
        <v>26</v>
      </c>
      <c r="BB134" s="11" t="s">
        <v>26</v>
      </c>
    </row>
    <row r="135" spans="1:54">
      <c r="A135" s="13" t="s">
        <v>102</v>
      </c>
      <c r="B135" s="25" t="s">
        <v>25</v>
      </c>
      <c r="C135" s="55">
        <v>6306245855.2399998</v>
      </c>
      <c r="D135" s="56">
        <v>1</v>
      </c>
      <c r="E135" s="56" t="s">
        <v>26</v>
      </c>
      <c r="F135" s="56" t="s">
        <v>26</v>
      </c>
      <c r="G135" s="55">
        <f>+G133+G134</f>
        <v>150395098087.62555</v>
      </c>
      <c r="H135" s="56">
        <f>+H133+H134</f>
        <v>1</v>
      </c>
      <c r="I135" s="56" t="s">
        <v>26</v>
      </c>
      <c r="J135" s="56" t="s">
        <v>26</v>
      </c>
      <c r="K135" s="55">
        <v>2926585438.3800001</v>
      </c>
      <c r="L135" s="56">
        <v>1</v>
      </c>
      <c r="M135" s="56" t="s">
        <v>26</v>
      </c>
      <c r="N135" s="56" t="s">
        <v>26</v>
      </c>
      <c r="O135" s="55">
        <v>224156744987.70999</v>
      </c>
      <c r="P135" s="56">
        <v>1</v>
      </c>
      <c r="Q135" s="56" t="s">
        <v>26</v>
      </c>
      <c r="R135" s="56" t="s">
        <v>26</v>
      </c>
      <c r="S135" s="55">
        <v>111007585116.05</v>
      </c>
      <c r="T135" s="56">
        <v>1</v>
      </c>
      <c r="U135" s="56" t="s">
        <v>26</v>
      </c>
      <c r="V135" s="56" t="s">
        <v>26</v>
      </c>
      <c r="W135" s="55">
        <f>+W133+W134</f>
        <v>6179445053.9699993</v>
      </c>
      <c r="X135" s="56">
        <f>+X133+X134</f>
        <v>0.99999999999999989</v>
      </c>
      <c r="Y135" s="56" t="s">
        <v>26</v>
      </c>
      <c r="Z135" s="56" t="s">
        <v>26</v>
      </c>
      <c r="AA135" s="55">
        <v>138245654665.73001</v>
      </c>
      <c r="AB135" s="56">
        <v>1</v>
      </c>
      <c r="AC135" s="56" t="s">
        <v>26</v>
      </c>
      <c r="AD135" s="56" t="s">
        <v>26</v>
      </c>
      <c r="AE135" s="55">
        <f>+AE133+AE134</f>
        <v>639216411259.22571</v>
      </c>
      <c r="AF135" s="56">
        <f>+AF133+AF134</f>
        <v>1</v>
      </c>
      <c r="AG135" s="56" t="s">
        <v>26</v>
      </c>
      <c r="AH135" s="56" t="s">
        <v>26</v>
      </c>
      <c r="AI135" s="55">
        <v>17081971388.51</v>
      </c>
      <c r="AJ135" s="56">
        <v>1</v>
      </c>
      <c r="AK135" s="56" t="s">
        <v>26</v>
      </c>
      <c r="AL135" s="56" t="s">
        <v>26</v>
      </c>
      <c r="AM135" s="55">
        <v>23836503035.18</v>
      </c>
      <c r="AN135" s="56">
        <v>1</v>
      </c>
      <c r="AO135" s="56" t="s">
        <v>26</v>
      </c>
      <c r="AP135" s="56" t="s">
        <v>26</v>
      </c>
      <c r="AQ135" s="55">
        <v>40918474423.690002</v>
      </c>
      <c r="AR135" s="56">
        <v>1</v>
      </c>
      <c r="AS135" s="56" t="s">
        <v>26</v>
      </c>
      <c r="AT135" s="56" t="s">
        <v>26</v>
      </c>
      <c r="AU135" s="55">
        <v>45044425555.220001</v>
      </c>
      <c r="AV135" s="56">
        <v>1</v>
      </c>
      <c r="AW135" s="56" t="s">
        <v>26</v>
      </c>
      <c r="AX135" s="56" t="s">
        <v>26</v>
      </c>
      <c r="AY135" s="55">
        <f>+AY133+AY134</f>
        <v>725179311238.13538</v>
      </c>
      <c r="AZ135" s="56">
        <f>+AZ133+AZ134</f>
        <v>1</v>
      </c>
      <c r="BA135" s="56" t="s">
        <v>26</v>
      </c>
      <c r="BB135" s="56" t="s">
        <v>26</v>
      </c>
    </row>
    <row r="137" spans="1:54">
      <c r="A137" s="18" t="s">
        <v>103</v>
      </c>
      <c r="C137" s="46"/>
      <c r="G137" s="46"/>
      <c r="K137" s="46"/>
      <c r="O137" s="46"/>
      <c r="S137" s="46"/>
      <c r="W137" s="46"/>
      <c r="AA137" s="46"/>
      <c r="AI137" s="46"/>
      <c r="AM137" s="46"/>
      <c r="AU137" s="46"/>
    </row>
    <row r="138" spans="1:54">
      <c r="A138" s="39" t="s">
        <v>115</v>
      </c>
      <c r="AE138" s="41"/>
    </row>
    <row r="139" spans="1:54">
      <c r="AE139" s="41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144"/>
  <sheetViews>
    <sheetView tabSelected="1" zoomScale="99" zoomScaleNormal="99" workbookViewId="0">
      <selection activeCell="A147" sqref="A147"/>
    </sheetView>
  </sheetViews>
  <sheetFormatPr defaultColWidth="9.140625" defaultRowHeight="15"/>
  <cols>
    <col min="1" max="1" width="86.28515625" style="9" customWidth="1"/>
    <col min="2" max="2" width="17.85546875" style="9" customWidth="1"/>
    <col min="3" max="3" width="16.7109375" style="9" customWidth="1"/>
    <col min="4" max="4" width="13.28515625" style="9" customWidth="1"/>
    <col min="5" max="5" width="10.140625" style="9" customWidth="1"/>
    <col min="6" max="6" width="11.28515625" style="9" customWidth="1"/>
    <col min="7" max="7" width="19.28515625" style="9" customWidth="1"/>
    <col min="8" max="8" width="13.140625" style="9" bestFit="1" customWidth="1"/>
    <col min="9" max="9" width="9.85546875" style="9" customWidth="1"/>
    <col min="10" max="10" width="10.28515625" style="9" customWidth="1"/>
    <col min="11" max="11" width="15.42578125" style="9" bestFit="1" customWidth="1"/>
    <col min="12" max="12" width="13.28515625" style="9" customWidth="1"/>
    <col min="13" max="13" width="10.140625" style="9" customWidth="1"/>
    <col min="14" max="14" width="11.28515625" style="9" customWidth="1"/>
    <col min="15" max="15" width="17.28515625" style="9" customWidth="1"/>
    <col min="16" max="16" width="13.28515625" style="9" customWidth="1"/>
    <col min="17" max="17" width="10" style="9" customWidth="1"/>
    <col min="18" max="18" width="11.85546875" style="9" bestFit="1" customWidth="1"/>
    <col min="19" max="19" width="17.5703125" style="9" bestFit="1" customWidth="1"/>
    <col min="20" max="20" width="13.28515625" style="9" customWidth="1"/>
    <col min="21" max="21" width="9.85546875" style="9" customWidth="1"/>
    <col min="22" max="22" width="10.28515625" style="9" customWidth="1"/>
    <col min="23" max="23" width="16.140625" style="9" customWidth="1"/>
    <col min="24" max="24" width="13.28515625" style="9" customWidth="1"/>
    <col min="25" max="25" width="9.7109375" style="9" customWidth="1"/>
    <col min="26" max="26" width="10.28515625" style="9" customWidth="1"/>
    <col min="27" max="27" width="17.5703125" style="9" bestFit="1" customWidth="1"/>
    <col min="28" max="28" width="13.28515625" style="9" customWidth="1"/>
    <col min="29" max="29" width="10" style="9" customWidth="1"/>
    <col min="30" max="30" width="10.28515625" style="9" customWidth="1"/>
    <col min="31" max="31" width="18.85546875" style="9" bestFit="1" customWidth="1"/>
    <col min="32" max="32" width="13.28515625" style="9" customWidth="1"/>
    <col min="33" max="33" width="9.7109375" style="9" customWidth="1"/>
    <col min="34" max="34" width="11.42578125" style="9" bestFit="1" customWidth="1"/>
    <col min="35" max="35" width="16.140625" style="9" customWidth="1"/>
    <col min="36" max="36" width="13.28515625" style="9" customWidth="1"/>
    <col min="37" max="37" width="9.85546875" style="9" customWidth="1"/>
    <col min="38" max="38" width="10.28515625" style="9" customWidth="1"/>
    <col min="39" max="39" width="16.140625" style="9" customWidth="1"/>
    <col min="40" max="40" width="13.28515625" style="9" customWidth="1"/>
    <col min="41" max="41" width="10.140625" style="9" customWidth="1"/>
    <col min="42" max="42" width="11.28515625" style="9" customWidth="1"/>
    <col min="43" max="43" width="16.140625" style="9" customWidth="1"/>
    <col min="44" max="44" width="13.28515625" style="9" customWidth="1"/>
    <col min="45" max="45" width="10" style="9" customWidth="1"/>
    <col min="46" max="46" width="10.7109375" style="9" customWidth="1"/>
    <col min="47" max="47" width="16.140625" style="9" customWidth="1"/>
    <col min="48" max="48" width="13.28515625" style="14" customWidth="1"/>
    <col min="49" max="49" width="10" style="14" customWidth="1"/>
    <col min="50" max="50" width="10.28515625" style="14" customWidth="1"/>
    <col min="51" max="51" width="18.42578125" style="9" customWidth="1"/>
    <col min="52" max="52" width="13.140625" style="14" bestFit="1" customWidth="1"/>
    <col min="53" max="53" width="9.7109375" style="9" customWidth="1"/>
    <col min="54" max="54" width="11.140625" style="9" customWidth="1"/>
    <col min="55" max="55" width="9.140625" style="9"/>
    <col min="56" max="56" width="18.85546875" style="9" bestFit="1" customWidth="1"/>
    <col min="57" max="16384" width="9.140625" style="9"/>
  </cols>
  <sheetData>
    <row r="1" spans="1:5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6">
      <c r="A2" s="4" t="s">
        <v>1</v>
      </c>
      <c r="B2" s="4"/>
      <c r="C2" s="4"/>
      <c r="D2" s="1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6">
      <c r="A3" s="12" t="s">
        <v>127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6">
      <c r="A4" s="4" t="s">
        <v>3</v>
      </c>
      <c r="B4" s="4"/>
      <c r="C4" s="4"/>
      <c r="D4" s="4"/>
      <c r="E4" s="4"/>
      <c r="F4" s="4"/>
      <c r="G4" s="57"/>
      <c r="H4" s="5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5" spans="1:56">
      <c r="AE5" s="46"/>
    </row>
    <row r="6" spans="1:56" ht="29.25" customHeight="1">
      <c r="A6" s="66" t="s">
        <v>4</v>
      </c>
      <c r="B6" s="66" t="s">
        <v>5</v>
      </c>
      <c r="C6" s="66" t="s">
        <v>6</v>
      </c>
      <c r="D6" s="66"/>
      <c r="E6" s="66"/>
      <c r="F6" s="66"/>
      <c r="G6" s="66" t="s">
        <v>7</v>
      </c>
      <c r="H6" s="66"/>
      <c r="I6" s="66"/>
      <c r="J6" s="66"/>
      <c r="K6" s="66" t="s">
        <v>8</v>
      </c>
      <c r="L6" s="66"/>
      <c r="M6" s="66"/>
      <c r="N6" s="66"/>
      <c r="O6" s="66" t="s">
        <v>9</v>
      </c>
      <c r="P6" s="66"/>
      <c r="Q6" s="66"/>
      <c r="R6" s="66"/>
      <c r="S6" s="66" t="s">
        <v>10</v>
      </c>
      <c r="T6" s="66"/>
      <c r="U6" s="66"/>
      <c r="V6" s="66"/>
      <c r="W6" s="66" t="s">
        <v>11</v>
      </c>
      <c r="X6" s="66"/>
      <c r="Y6" s="66"/>
      <c r="Z6" s="66"/>
      <c r="AA6" s="66" t="s">
        <v>12</v>
      </c>
      <c r="AB6" s="66"/>
      <c r="AC6" s="66"/>
      <c r="AD6" s="66"/>
      <c r="AE6" s="66" t="s">
        <v>13</v>
      </c>
      <c r="AF6" s="66"/>
      <c r="AG6" s="66"/>
      <c r="AH6" s="66"/>
      <c r="AI6" s="66" t="s">
        <v>14</v>
      </c>
      <c r="AJ6" s="66"/>
      <c r="AK6" s="66"/>
      <c r="AL6" s="66"/>
      <c r="AM6" s="66" t="s">
        <v>15</v>
      </c>
      <c r="AN6" s="66"/>
      <c r="AO6" s="66"/>
      <c r="AP6" s="66"/>
      <c r="AQ6" s="66" t="s">
        <v>16</v>
      </c>
      <c r="AR6" s="66"/>
      <c r="AS6" s="66"/>
      <c r="AT6" s="66"/>
      <c r="AU6" s="66" t="s">
        <v>17</v>
      </c>
      <c r="AV6" s="66"/>
      <c r="AW6" s="66"/>
      <c r="AX6" s="66"/>
      <c r="AY6" s="66" t="s">
        <v>18</v>
      </c>
      <c r="AZ6" s="66"/>
      <c r="BA6" s="66"/>
      <c r="BB6" s="66"/>
    </row>
    <row r="7" spans="1:56" ht="25.5">
      <c r="A7" s="66" t="s">
        <v>4</v>
      </c>
      <c r="B7" s="66" t="s">
        <v>19</v>
      </c>
      <c r="C7" s="15" t="s">
        <v>20</v>
      </c>
      <c r="D7" s="16" t="s">
        <v>21</v>
      </c>
      <c r="E7" s="16" t="s">
        <v>22</v>
      </c>
      <c r="F7" s="16" t="s">
        <v>23</v>
      </c>
      <c r="G7" s="15" t="s">
        <v>20</v>
      </c>
      <c r="H7" s="16" t="s">
        <v>21</v>
      </c>
      <c r="I7" s="16" t="s">
        <v>22</v>
      </c>
      <c r="J7" s="16" t="s">
        <v>23</v>
      </c>
      <c r="K7" s="15" t="s">
        <v>20</v>
      </c>
      <c r="L7" s="16" t="s">
        <v>21</v>
      </c>
      <c r="M7" s="16" t="s">
        <v>22</v>
      </c>
      <c r="N7" s="16" t="s">
        <v>23</v>
      </c>
      <c r="O7" s="15" t="s">
        <v>20</v>
      </c>
      <c r="P7" s="16" t="s">
        <v>21</v>
      </c>
      <c r="Q7" s="16" t="s">
        <v>22</v>
      </c>
      <c r="R7" s="16" t="s">
        <v>23</v>
      </c>
      <c r="S7" s="15" t="s">
        <v>20</v>
      </c>
      <c r="T7" s="16" t="s">
        <v>21</v>
      </c>
      <c r="U7" s="16" t="s">
        <v>22</v>
      </c>
      <c r="V7" s="16" t="s">
        <v>23</v>
      </c>
      <c r="W7" s="15" t="s">
        <v>20</v>
      </c>
      <c r="X7" s="16" t="s">
        <v>21</v>
      </c>
      <c r="Y7" s="16" t="s">
        <v>22</v>
      </c>
      <c r="Z7" s="16" t="s">
        <v>23</v>
      </c>
      <c r="AA7" s="15" t="s">
        <v>20</v>
      </c>
      <c r="AB7" s="16" t="s">
        <v>21</v>
      </c>
      <c r="AC7" s="16" t="s">
        <v>22</v>
      </c>
      <c r="AD7" s="16" t="s">
        <v>23</v>
      </c>
      <c r="AE7" s="15" t="s">
        <v>20</v>
      </c>
      <c r="AF7" s="16" t="s">
        <v>21</v>
      </c>
      <c r="AG7" s="16" t="s">
        <v>22</v>
      </c>
      <c r="AH7" s="16" t="s">
        <v>23</v>
      </c>
      <c r="AI7" s="15" t="s">
        <v>20</v>
      </c>
      <c r="AJ7" s="16" t="s">
        <v>21</v>
      </c>
      <c r="AK7" s="16" t="s">
        <v>22</v>
      </c>
      <c r="AL7" s="16" t="s">
        <v>23</v>
      </c>
      <c r="AM7" s="15" t="s">
        <v>20</v>
      </c>
      <c r="AN7" s="16" t="s">
        <v>21</v>
      </c>
      <c r="AO7" s="16" t="s">
        <v>22</v>
      </c>
      <c r="AP7" s="16" t="s">
        <v>23</v>
      </c>
      <c r="AQ7" s="15" t="s">
        <v>20</v>
      </c>
      <c r="AR7" s="16" t="s">
        <v>21</v>
      </c>
      <c r="AS7" s="16" t="s">
        <v>22</v>
      </c>
      <c r="AT7" s="16" t="s">
        <v>23</v>
      </c>
      <c r="AU7" s="15" t="s">
        <v>20</v>
      </c>
      <c r="AV7" s="16" t="s">
        <v>21</v>
      </c>
      <c r="AW7" s="16" t="s">
        <v>22</v>
      </c>
      <c r="AX7" s="16" t="s">
        <v>23</v>
      </c>
      <c r="AY7" s="15" t="s">
        <v>20</v>
      </c>
      <c r="AZ7" s="16" t="s">
        <v>21</v>
      </c>
      <c r="BA7" s="16" t="s">
        <v>22</v>
      </c>
      <c r="BB7" s="16" t="s">
        <v>23</v>
      </c>
    </row>
    <row r="8" spans="1:56">
      <c r="A8" s="13" t="s">
        <v>24</v>
      </c>
      <c r="B8" s="25" t="s">
        <v>25</v>
      </c>
      <c r="C8" s="55">
        <v>2644871894.4000001</v>
      </c>
      <c r="D8" s="56">
        <v>0.41940513502218002</v>
      </c>
      <c r="E8" s="56" t="s">
        <v>26</v>
      </c>
      <c r="F8" s="56" t="s">
        <v>26</v>
      </c>
      <c r="G8" s="55">
        <f>+G9+G11</f>
        <v>80491493211.329987</v>
      </c>
      <c r="H8" s="56">
        <f>+G8/G138</f>
        <v>0.52892125029702808</v>
      </c>
      <c r="I8" s="56" t="s">
        <v>26</v>
      </c>
      <c r="J8" s="56" t="s">
        <v>26</v>
      </c>
      <c r="K8" s="55">
        <v>818331030.75</v>
      </c>
      <c r="L8" s="56">
        <v>0.2796197302215</v>
      </c>
      <c r="M8" s="56" t="s">
        <v>26</v>
      </c>
      <c r="N8" s="56" t="s">
        <v>26</v>
      </c>
      <c r="O8" s="55">
        <f>+O9+O11</f>
        <v>101654662725.53999</v>
      </c>
      <c r="P8" s="56">
        <f>+O8/O138</f>
        <v>0.44827002189694282</v>
      </c>
      <c r="Q8" s="56" t="s">
        <v>26</v>
      </c>
      <c r="R8" s="56" t="s">
        <v>26</v>
      </c>
      <c r="S8" s="55">
        <f>+S9+S11</f>
        <v>56781494043.089996</v>
      </c>
      <c r="T8" s="56">
        <f>+S8/S138</f>
        <v>0.50600729521287657</v>
      </c>
      <c r="U8" s="56" t="s">
        <v>26</v>
      </c>
      <c r="V8" s="56" t="s">
        <v>26</v>
      </c>
      <c r="W8" s="55">
        <f>+W9</f>
        <v>2101084606.6800001</v>
      </c>
      <c r="X8" s="56">
        <f>+W8/W138</f>
        <v>0.33613586561726172</v>
      </c>
      <c r="Y8" s="56" t="s">
        <v>26</v>
      </c>
      <c r="Z8" s="56" t="s">
        <v>26</v>
      </c>
      <c r="AA8" s="55">
        <f>+AA9+AA11</f>
        <v>68963800543.300003</v>
      </c>
      <c r="AB8" s="56">
        <f>+AA8/AA138</f>
        <v>0.49435917255867212</v>
      </c>
      <c r="AC8" s="56" t="s">
        <v>26</v>
      </c>
      <c r="AD8" s="56" t="s">
        <v>26</v>
      </c>
      <c r="AE8" s="55">
        <f>+AE9+AE11</f>
        <v>313326454433.15997</v>
      </c>
      <c r="AF8" s="56">
        <f>+AE8/AE138</f>
        <v>0.48479326785149351</v>
      </c>
      <c r="AG8" s="56" t="s">
        <v>26</v>
      </c>
      <c r="AH8" s="56" t="s">
        <v>26</v>
      </c>
      <c r="AI8" s="55">
        <v>7137918087.2600002</v>
      </c>
      <c r="AJ8" s="56">
        <v>0.41786266496508001</v>
      </c>
      <c r="AK8" s="56" t="s">
        <v>26</v>
      </c>
      <c r="AL8" s="56" t="s">
        <v>26</v>
      </c>
      <c r="AM8" s="55">
        <v>7585114962.54</v>
      </c>
      <c r="AN8" s="56">
        <v>0.31821425111499002</v>
      </c>
      <c r="AO8" s="56" t="s">
        <v>26</v>
      </c>
      <c r="AP8" s="56" t="s">
        <v>26</v>
      </c>
      <c r="AQ8" s="55">
        <v>14723033049.799999</v>
      </c>
      <c r="AR8" s="56">
        <v>0.35981383121351002</v>
      </c>
      <c r="AS8" s="56" t="s">
        <v>26</v>
      </c>
      <c r="AT8" s="56" t="s">
        <v>26</v>
      </c>
      <c r="AU8" s="55">
        <v>19822163727.299999</v>
      </c>
      <c r="AV8" s="56">
        <v>0.44005808672152003</v>
      </c>
      <c r="AW8" s="56" t="s">
        <v>26</v>
      </c>
      <c r="AX8" s="56" t="s">
        <v>26</v>
      </c>
      <c r="AY8" s="55">
        <f>+AY9+AY11</f>
        <v>347996006469.75</v>
      </c>
      <c r="AZ8" s="56">
        <f>+AY8/AY138</f>
        <v>0.47483471390693738</v>
      </c>
      <c r="BA8" s="56" t="s">
        <v>26</v>
      </c>
      <c r="BB8" s="56" t="s">
        <v>26</v>
      </c>
    </row>
    <row r="9" spans="1:56" s="8" customFormat="1">
      <c r="A9" s="5" t="s">
        <v>27</v>
      </c>
      <c r="B9" s="24" t="s">
        <v>25</v>
      </c>
      <c r="C9" s="10">
        <v>2644871894.4000001</v>
      </c>
      <c r="D9" s="11">
        <v>0.41940513502218002</v>
      </c>
      <c r="E9" s="11">
        <v>0.6</v>
      </c>
      <c r="F9" s="11">
        <f>E9-D9</f>
        <v>0.18059486497781996</v>
      </c>
      <c r="G9" s="10">
        <f>+G10</f>
        <v>75467300552.039993</v>
      </c>
      <c r="H9" s="11">
        <f>+G9/G138</f>
        <v>0.49590655325186556</v>
      </c>
      <c r="I9" s="11">
        <v>0.6</v>
      </c>
      <c r="J9" s="11">
        <f>+I9-H9</f>
        <v>0.10409344674813442</v>
      </c>
      <c r="K9" s="10">
        <v>818331030.75</v>
      </c>
      <c r="L9" s="11">
        <v>0.2796197302215</v>
      </c>
      <c r="M9" s="11">
        <v>0.6</v>
      </c>
      <c r="N9" s="11">
        <f>+M9-L9</f>
        <v>0.32038026977849998</v>
      </c>
      <c r="O9" s="10">
        <f>+O10</f>
        <v>100200348877.14</v>
      </c>
      <c r="P9" s="11">
        <f>+O9/O138</f>
        <v>0.44185688468131462</v>
      </c>
      <c r="Q9" s="11">
        <v>0.6</v>
      </c>
      <c r="R9" s="48">
        <f>+Q9-P9</f>
        <v>0.15814311531868536</v>
      </c>
      <c r="S9" s="10">
        <f>+S10</f>
        <v>55225558383.089996</v>
      </c>
      <c r="T9" s="11">
        <f>+S9/S138</f>
        <v>0.49214160167821214</v>
      </c>
      <c r="U9" s="11">
        <v>0.6</v>
      </c>
      <c r="V9" s="11">
        <f>+U9-T9</f>
        <v>0.10785839832178784</v>
      </c>
      <c r="W9" s="10">
        <f>+W10</f>
        <v>2101084606.6800001</v>
      </c>
      <c r="X9" s="11">
        <f>+W9/W138</f>
        <v>0.33613586561726172</v>
      </c>
      <c r="Y9" s="11">
        <v>0.6</v>
      </c>
      <c r="Z9" s="11">
        <f>+Y9-X9</f>
        <v>0.26386413438273826</v>
      </c>
      <c r="AA9" s="10">
        <f>+AA10</f>
        <v>67232474533.300003</v>
      </c>
      <c r="AB9" s="11">
        <f>+AA9/AA138</f>
        <v>0.48194835866804964</v>
      </c>
      <c r="AC9" s="11">
        <v>0.6</v>
      </c>
      <c r="AD9" s="11">
        <f>+AC9-AB9</f>
        <v>0.11805164133195034</v>
      </c>
      <c r="AE9" s="10">
        <f>+AE10</f>
        <v>303560686255.46997</v>
      </c>
      <c r="AF9" s="54">
        <f>+AE9/AE138</f>
        <v>0.46968321697338478</v>
      </c>
      <c r="AG9" s="11">
        <v>0.6</v>
      </c>
      <c r="AH9" s="54">
        <f>+AG9-AF9</f>
        <v>0.1303167830266152</v>
      </c>
      <c r="AI9" s="10">
        <v>7137918087.2600002</v>
      </c>
      <c r="AJ9" s="11">
        <v>0.41786266496508001</v>
      </c>
      <c r="AK9" s="11">
        <v>0.6</v>
      </c>
      <c r="AL9" s="11">
        <f>+AK9-AJ9</f>
        <v>0.18213733503491997</v>
      </c>
      <c r="AM9" s="10">
        <v>7585114962.54</v>
      </c>
      <c r="AN9" s="11">
        <v>0.31821425111499002</v>
      </c>
      <c r="AO9" s="11">
        <v>0.6</v>
      </c>
      <c r="AP9" s="11">
        <f>+AO9-AN9</f>
        <v>0.28178574888500996</v>
      </c>
      <c r="AQ9" s="10">
        <v>14723033049.799999</v>
      </c>
      <c r="AR9" s="11">
        <v>0.35981383121351002</v>
      </c>
      <c r="AS9" s="11">
        <v>0.6</v>
      </c>
      <c r="AT9" s="11">
        <f>+AS9-AR9</f>
        <v>0.24018616878648996</v>
      </c>
      <c r="AU9" s="10">
        <v>19822163727.299999</v>
      </c>
      <c r="AV9" s="11">
        <v>0.44005808672152003</v>
      </c>
      <c r="AW9" s="11">
        <v>0.6</v>
      </c>
      <c r="AX9" s="11">
        <f>+AW9-AV9</f>
        <v>0.15994191327847995</v>
      </c>
      <c r="AY9" s="10">
        <f>+AY10</f>
        <v>338230238292.06</v>
      </c>
      <c r="AZ9" s="11">
        <f>+AY9/AY138</f>
        <v>0.46150948702926053</v>
      </c>
      <c r="BA9" s="11">
        <v>0.6</v>
      </c>
      <c r="BB9" s="54">
        <f>+BA9-AZ9</f>
        <v>0.13849051297073944</v>
      </c>
      <c r="BD9" s="58"/>
    </row>
    <row r="10" spans="1:56" ht="17.25">
      <c r="A10" s="3" t="s">
        <v>128</v>
      </c>
      <c r="B10" s="36" t="s">
        <v>29</v>
      </c>
      <c r="C10" s="35">
        <v>2529480351.4499998</v>
      </c>
      <c r="D10" s="59">
        <v>1</v>
      </c>
      <c r="E10" s="59" t="s">
        <v>26</v>
      </c>
      <c r="F10" s="59" t="s">
        <v>26</v>
      </c>
      <c r="G10" s="35">
        <v>75467300552.039993</v>
      </c>
      <c r="H10" s="59">
        <v>0.93758107274642</v>
      </c>
      <c r="I10" s="59" t="s">
        <v>26</v>
      </c>
      <c r="J10" s="59" t="s">
        <v>26</v>
      </c>
      <c r="K10" s="35">
        <v>804438951.76999998</v>
      </c>
      <c r="L10" s="59">
        <v>1</v>
      </c>
      <c r="M10" s="59" t="s">
        <v>26</v>
      </c>
      <c r="N10" s="59" t="s">
        <v>26</v>
      </c>
      <c r="O10" s="35">
        <v>100200348877.14</v>
      </c>
      <c r="P10" s="59">
        <v>0.98569358444161004</v>
      </c>
      <c r="Q10" s="59" t="s">
        <v>26</v>
      </c>
      <c r="R10" s="59" t="s">
        <v>26</v>
      </c>
      <c r="S10" s="35">
        <v>55225558383.089996</v>
      </c>
      <c r="T10" s="59">
        <v>0.97259783867576</v>
      </c>
      <c r="U10" s="59" t="s">
        <v>26</v>
      </c>
      <c r="V10" s="59" t="s">
        <v>26</v>
      </c>
      <c r="W10" s="35">
        <v>2101084606.6800001</v>
      </c>
      <c r="X10" s="59">
        <v>1</v>
      </c>
      <c r="Y10" s="59" t="s">
        <v>26</v>
      </c>
      <c r="Z10" s="59" t="s">
        <v>26</v>
      </c>
      <c r="AA10" s="35">
        <v>67232474533.300003</v>
      </c>
      <c r="AB10" s="59">
        <v>0.97489514794195997</v>
      </c>
      <c r="AC10" s="59" t="s">
        <v>26</v>
      </c>
      <c r="AD10" s="59" t="s">
        <v>26</v>
      </c>
      <c r="AE10" s="35">
        <v>303560686255.46997</v>
      </c>
      <c r="AF10" s="59">
        <v>0.96883197049111003</v>
      </c>
      <c r="AG10" s="59" t="s">
        <v>26</v>
      </c>
      <c r="AH10" s="59" t="s">
        <v>26</v>
      </c>
      <c r="AI10" s="35">
        <v>7161362091.9499998</v>
      </c>
      <c r="AJ10" s="59">
        <v>1</v>
      </c>
      <c r="AK10" s="59" t="s">
        <v>26</v>
      </c>
      <c r="AL10" s="59" t="s">
        <v>26</v>
      </c>
      <c r="AM10" s="35">
        <v>7585545403.79</v>
      </c>
      <c r="AN10" s="59">
        <v>1</v>
      </c>
      <c r="AO10" s="59" t="s">
        <v>26</v>
      </c>
      <c r="AP10" s="59" t="s">
        <v>26</v>
      </c>
      <c r="AQ10" s="35">
        <v>14746907495.74</v>
      </c>
      <c r="AR10" s="59">
        <v>1</v>
      </c>
      <c r="AS10" s="59" t="s">
        <v>26</v>
      </c>
      <c r="AT10" s="59" t="s">
        <v>26</v>
      </c>
      <c r="AU10" s="35">
        <v>19922644540.849998</v>
      </c>
      <c r="AV10" s="59">
        <v>1</v>
      </c>
      <c r="AW10" s="59" t="s">
        <v>26</v>
      </c>
      <c r="AX10" s="59" t="s">
        <v>26</v>
      </c>
      <c r="AY10" s="35">
        <v>338230238292.06</v>
      </c>
      <c r="AZ10" s="59">
        <v>0.97193712572520996</v>
      </c>
      <c r="BA10" s="59" t="s">
        <v>26</v>
      </c>
      <c r="BB10" s="59" t="s">
        <v>26</v>
      </c>
    </row>
    <row r="11" spans="1:56" s="7" customFormat="1">
      <c r="A11" s="26" t="s">
        <v>27</v>
      </c>
      <c r="B11" s="24"/>
      <c r="C11" s="10" t="s">
        <v>26</v>
      </c>
      <c r="D11" s="11" t="s">
        <v>26</v>
      </c>
      <c r="E11" s="11" t="s">
        <v>26</v>
      </c>
      <c r="F11" s="11" t="s">
        <v>26</v>
      </c>
      <c r="G11" s="10">
        <f>+G12</f>
        <v>5024192659.29</v>
      </c>
      <c r="H11" s="11">
        <f>+G11/G138</f>
        <v>3.3014697045162543E-2</v>
      </c>
      <c r="I11" s="11">
        <v>0.1</v>
      </c>
      <c r="J11" s="11">
        <f>+I11-H11</f>
        <v>6.6985302954837456E-2</v>
      </c>
      <c r="K11" s="10" t="s">
        <v>26</v>
      </c>
      <c r="L11" s="11" t="s">
        <v>26</v>
      </c>
      <c r="M11" s="11" t="s">
        <v>26</v>
      </c>
      <c r="N11" s="11" t="s">
        <v>26</v>
      </c>
      <c r="O11" s="10">
        <f>+O12</f>
        <v>1454313848.4000001</v>
      </c>
      <c r="P11" s="11">
        <f>+O11/O138</f>
        <v>6.4131372156282186E-3</v>
      </c>
      <c r="Q11" s="11">
        <v>0.1</v>
      </c>
      <c r="R11" s="11">
        <f>+Q11-P11</f>
        <v>9.3586862784371783E-2</v>
      </c>
      <c r="S11" s="51">
        <f>+S12</f>
        <v>1555935660</v>
      </c>
      <c r="T11" s="11">
        <f>+S11/S138</f>
        <v>1.3865693534664469E-2</v>
      </c>
      <c r="U11" s="11">
        <v>0.1</v>
      </c>
      <c r="V11" s="11">
        <f>+U11-T11</f>
        <v>8.6134306465335542E-2</v>
      </c>
      <c r="W11" s="10" t="s">
        <v>26</v>
      </c>
      <c r="X11" s="11" t="s">
        <v>26</v>
      </c>
      <c r="Y11" s="11" t="s">
        <v>26</v>
      </c>
      <c r="Z11" s="11" t="s">
        <v>26</v>
      </c>
      <c r="AA11" s="10">
        <f>+AA12</f>
        <v>1731326010</v>
      </c>
      <c r="AB11" s="11">
        <f>+AA11/AA138</f>
        <v>1.2410813890622503E-2</v>
      </c>
      <c r="AC11" s="11">
        <v>0.1</v>
      </c>
      <c r="AD11" s="11">
        <f>+AC11-AB11</f>
        <v>8.7589186109377506E-2</v>
      </c>
      <c r="AE11" s="28">
        <f>+AE12</f>
        <v>9765768177.6900005</v>
      </c>
      <c r="AF11" s="54">
        <f>+AE11/AE138</f>
        <v>1.5110050878108719E-2</v>
      </c>
      <c r="AG11" s="54">
        <v>0.1</v>
      </c>
      <c r="AH11" s="54">
        <f>+AG11-AF11</f>
        <v>8.4889949121891281E-2</v>
      </c>
      <c r="AI11" s="10" t="s">
        <v>26</v>
      </c>
      <c r="AJ11" s="11" t="s">
        <v>26</v>
      </c>
      <c r="AK11" s="11" t="s">
        <v>26</v>
      </c>
      <c r="AL11" s="11" t="s">
        <v>26</v>
      </c>
      <c r="AM11" s="28" t="s">
        <v>26</v>
      </c>
      <c r="AN11" s="11" t="s">
        <v>26</v>
      </c>
      <c r="AO11" s="11" t="s">
        <v>26</v>
      </c>
      <c r="AP11" s="11" t="s">
        <v>26</v>
      </c>
      <c r="AQ11" s="10" t="s">
        <v>26</v>
      </c>
      <c r="AR11" s="11" t="s">
        <v>26</v>
      </c>
      <c r="AS11" s="11" t="s">
        <v>26</v>
      </c>
      <c r="AT11" s="11" t="s">
        <v>26</v>
      </c>
      <c r="AU11" s="10" t="s">
        <v>26</v>
      </c>
      <c r="AV11" s="11" t="s">
        <v>26</v>
      </c>
      <c r="AW11" s="11" t="s">
        <v>26</v>
      </c>
      <c r="AX11" s="11" t="s">
        <v>26</v>
      </c>
      <c r="AY11" s="28">
        <f>+AY12</f>
        <v>9765768177.6900005</v>
      </c>
      <c r="AZ11" s="11">
        <f>+AY11/AY138</f>
        <v>1.3325226877676805E-2</v>
      </c>
      <c r="BA11" s="54">
        <v>0.1</v>
      </c>
      <c r="BB11" s="54">
        <f>+BA11-AZ11</f>
        <v>8.6674773122323204E-2</v>
      </c>
    </row>
    <row r="12" spans="1:56" ht="17.25">
      <c r="A12" s="3" t="s">
        <v>113</v>
      </c>
      <c r="B12" s="36" t="s">
        <v>29</v>
      </c>
      <c r="C12" s="35" t="s">
        <v>26</v>
      </c>
      <c r="D12" s="59" t="s">
        <v>26</v>
      </c>
      <c r="E12" s="59" t="s">
        <v>26</v>
      </c>
      <c r="F12" s="59" t="s">
        <v>26</v>
      </c>
      <c r="G12" s="35">
        <v>5024192659.29</v>
      </c>
      <c r="H12" s="59">
        <v>6.2418927253580003E-2</v>
      </c>
      <c r="I12" s="59" t="s">
        <v>26</v>
      </c>
      <c r="J12" s="59" t="s">
        <v>26</v>
      </c>
      <c r="K12" s="35" t="s">
        <v>26</v>
      </c>
      <c r="L12" s="59" t="s">
        <v>26</v>
      </c>
      <c r="M12" s="59" t="s">
        <v>26</v>
      </c>
      <c r="N12" s="59" t="s">
        <v>26</v>
      </c>
      <c r="O12" s="35">
        <v>1454313848.4000001</v>
      </c>
      <c r="P12" s="59">
        <v>1.430641555839E-2</v>
      </c>
      <c r="Q12" s="59" t="s">
        <v>26</v>
      </c>
      <c r="R12" s="59" t="s">
        <v>26</v>
      </c>
      <c r="S12" s="35">
        <v>1555935660</v>
      </c>
      <c r="T12" s="59">
        <v>2.7402161324240001E-2</v>
      </c>
      <c r="U12" s="59" t="s">
        <v>26</v>
      </c>
      <c r="V12" s="59" t="s">
        <v>26</v>
      </c>
      <c r="W12" s="35" t="s">
        <v>26</v>
      </c>
      <c r="X12" s="59" t="s">
        <v>26</v>
      </c>
      <c r="Y12" s="59" t="s">
        <v>26</v>
      </c>
      <c r="Z12" s="59" t="s">
        <v>26</v>
      </c>
      <c r="AA12" s="35">
        <v>1731326010</v>
      </c>
      <c r="AB12" s="59">
        <v>2.510485205804E-2</v>
      </c>
      <c r="AC12" s="59" t="s">
        <v>26</v>
      </c>
      <c r="AD12" s="59" t="s">
        <v>26</v>
      </c>
      <c r="AE12" s="35">
        <v>9765768177.6900005</v>
      </c>
      <c r="AF12" s="59">
        <v>3.1168029508889999E-2</v>
      </c>
      <c r="AG12" s="59" t="s">
        <v>26</v>
      </c>
      <c r="AH12" s="59" t="s">
        <v>26</v>
      </c>
      <c r="AI12" s="35" t="s">
        <v>26</v>
      </c>
      <c r="AJ12" s="59" t="s">
        <v>26</v>
      </c>
      <c r="AK12" s="59" t="s">
        <v>26</v>
      </c>
      <c r="AL12" s="59" t="s">
        <v>26</v>
      </c>
      <c r="AM12" s="35" t="s">
        <v>26</v>
      </c>
      <c r="AN12" s="59" t="s">
        <v>26</v>
      </c>
      <c r="AO12" s="59" t="s">
        <v>26</v>
      </c>
      <c r="AP12" s="59" t="s">
        <v>26</v>
      </c>
      <c r="AQ12" s="35" t="s">
        <v>26</v>
      </c>
      <c r="AR12" s="59" t="s">
        <v>26</v>
      </c>
      <c r="AS12" s="59" t="s">
        <v>26</v>
      </c>
      <c r="AT12" s="59" t="s">
        <v>26</v>
      </c>
      <c r="AU12" s="35" t="s">
        <v>26</v>
      </c>
      <c r="AV12" s="59" t="s">
        <v>26</v>
      </c>
      <c r="AW12" s="59" t="s">
        <v>26</v>
      </c>
      <c r="AX12" s="59" t="s">
        <v>26</v>
      </c>
      <c r="AY12" s="35">
        <v>9765768177.6900005</v>
      </c>
      <c r="AZ12" s="59">
        <v>2.8062874274790001E-2</v>
      </c>
      <c r="BA12" s="59" t="s">
        <v>26</v>
      </c>
      <c r="BB12" s="59" t="s">
        <v>26</v>
      </c>
    </row>
    <row r="13" spans="1:56">
      <c r="A13" s="13" t="s">
        <v>30</v>
      </c>
      <c r="B13" s="25" t="s">
        <v>25</v>
      </c>
      <c r="C13" s="55">
        <v>2224834971.2399998</v>
      </c>
      <c r="D13" s="56">
        <v>0.34761082533144999</v>
      </c>
      <c r="E13" s="56" t="s">
        <v>26</v>
      </c>
      <c r="F13" s="56" t="s">
        <v>26</v>
      </c>
      <c r="G13" s="55">
        <v>50464292954.32</v>
      </c>
      <c r="H13" s="56">
        <v>0.33160610162922</v>
      </c>
      <c r="I13" s="56" t="s">
        <v>26</v>
      </c>
      <c r="J13" s="56" t="s">
        <v>26</v>
      </c>
      <c r="K13" s="55">
        <v>850575353.16999996</v>
      </c>
      <c r="L13" s="56">
        <v>0.2839058241331</v>
      </c>
      <c r="M13" s="56" t="s">
        <v>26</v>
      </c>
      <c r="N13" s="56" t="s">
        <v>26</v>
      </c>
      <c r="O13" s="55">
        <v>69439923888.160004</v>
      </c>
      <c r="P13" s="56">
        <v>0.30621126090541001</v>
      </c>
      <c r="Q13" s="56" t="s">
        <v>26</v>
      </c>
      <c r="R13" s="56" t="s">
        <v>26</v>
      </c>
      <c r="S13" s="55">
        <v>30554894164.240002</v>
      </c>
      <c r="T13" s="56">
        <v>0.27228902297042001</v>
      </c>
      <c r="U13" s="56" t="s">
        <v>26</v>
      </c>
      <c r="V13" s="56" t="s">
        <v>26</v>
      </c>
      <c r="W13" s="55">
        <v>3055964787.98</v>
      </c>
      <c r="X13" s="56">
        <v>0.48838299454563999</v>
      </c>
      <c r="Y13" s="56" t="s">
        <v>26</v>
      </c>
      <c r="Z13" s="56" t="s">
        <v>26</v>
      </c>
      <c r="AA13" s="55">
        <v>41860987162.739998</v>
      </c>
      <c r="AB13" s="56">
        <v>0.30007529975345998</v>
      </c>
      <c r="AC13" s="56" t="s">
        <v>26</v>
      </c>
      <c r="AD13" s="56" t="s">
        <v>26</v>
      </c>
      <c r="AE13" s="55">
        <v>198451473281.85001</v>
      </c>
      <c r="AF13" s="56">
        <v>0.30704693644421999</v>
      </c>
      <c r="AG13" s="56" t="s">
        <v>26</v>
      </c>
      <c r="AH13" s="56" t="s">
        <v>26</v>
      </c>
      <c r="AI13" s="55">
        <v>6564584730.9200001</v>
      </c>
      <c r="AJ13" s="56">
        <v>0.38428987024061001</v>
      </c>
      <c r="AK13" s="56" t="s">
        <v>26</v>
      </c>
      <c r="AL13" s="56" t="s">
        <v>26</v>
      </c>
      <c r="AM13" s="55">
        <v>11982420141.379999</v>
      </c>
      <c r="AN13" s="56">
        <v>0.50288410514715998</v>
      </c>
      <c r="AO13" s="56" t="s">
        <v>26</v>
      </c>
      <c r="AP13" s="56" t="s">
        <v>26</v>
      </c>
      <c r="AQ13" s="55">
        <v>18547004872.299999</v>
      </c>
      <c r="AR13" s="56">
        <v>0.45336363133655999</v>
      </c>
      <c r="AS13" s="56" t="s">
        <v>26</v>
      </c>
      <c r="AT13" s="56" t="s">
        <v>26</v>
      </c>
      <c r="AU13" s="55">
        <v>14146956615.129999</v>
      </c>
      <c r="AV13" s="56">
        <v>0.30983239173214999</v>
      </c>
      <c r="AW13" s="56" t="s">
        <v>26</v>
      </c>
      <c r="AX13" s="56" t="s">
        <v>26</v>
      </c>
      <c r="AY13" s="55">
        <v>231145434769.28</v>
      </c>
      <c r="AZ13" s="56">
        <v>0.31538781229680002</v>
      </c>
      <c r="BA13" s="56" t="s">
        <v>26</v>
      </c>
      <c r="BB13" s="56" t="s">
        <v>26</v>
      </c>
    </row>
    <row r="14" spans="1:56" s="7" customFormat="1">
      <c r="A14" s="5" t="s">
        <v>31</v>
      </c>
      <c r="B14" s="24" t="s">
        <v>25</v>
      </c>
      <c r="C14" s="10">
        <v>2224834971.2399998</v>
      </c>
      <c r="D14" s="11">
        <v>0.34761082533144999</v>
      </c>
      <c r="E14" s="11">
        <v>0.5</v>
      </c>
      <c r="F14" s="11">
        <v>0.15240000000000001</v>
      </c>
      <c r="G14" s="10">
        <v>50464292954.32</v>
      </c>
      <c r="H14" s="11">
        <v>0.33160610162922</v>
      </c>
      <c r="I14" s="11">
        <v>0.5</v>
      </c>
      <c r="J14" s="11">
        <v>0.16839999999999999</v>
      </c>
      <c r="K14" s="10">
        <v>850575353.16999996</v>
      </c>
      <c r="L14" s="11">
        <v>0.2839058241331</v>
      </c>
      <c r="M14" s="11">
        <v>0.5</v>
      </c>
      <c r="N14" s="11">
        <v>0.21609999999999999</v>
      </c>
      <c r="O14" s="10">
        <v>69439923888.160004</v>
      </c>
      <c r="P14" s="11">
        <v>0.30621126090541001</v>
      </c>
      <c r="Q14" s="11">
        <v>0.5</v>
      </c>
      <c r="R14" s="11">
        <v>0.1938</v>
      </c>
      <c r="S14" s="10">
        <v>30554894164.240002</v>
      </c>
      <c r="T14" s="11">
        <v>0.27228902297042001</v>
      </c>
      <c r="U14" s="11">
        <v>0.5</v>
      </c>
      <c r="V14" s="11">
        <v>0.22770000000000001</v>
      </c>
      <c r="W14" s="10">
        <v>3055964787.98</v>
      </c>
      <c r="X14" s="11">
        <v>0.48838299454563999</v>
      </c>
      <c r="Y14" s="11">
        <v>0.5</v>
      </c>
      <c r="Z14" s="11">
        <v>1.1599999999999999E-2</v>
      </c>
      <c r="AA14" s="10">
        <v>41860987162.739998</v>
      </c>
      <c r="AB14" s="11">
        <v>0.30007529975345998</v>
      </c>
      <c r="AC14" s="11">
        <v>0.50009999999999999</v>
      </c>
      <c r="AD14" s="11">
        <v>0.2</v>
      </c>
      <c r="AE14" s="10">
        <v>198451473281.85001</v>
      </c>
      <c r="AF14" s="11">
        <v>0.30704693644421999</v>
      </c>
      <c r="AG14" s="11">
        <v>0.5</v>
      </c>
      <c r="AH14" s="11">
        <v>0.193</v>
      </c>
      <c r="AI14" s="10">
        <v>6564584730.9200001</v>
      </c>
      <c r="AJ14" s="11">
        <v>0.38428987024061001</v>
      </c>
      <c r="AK14" s="11">
        <v>0.5</v>
      </c>
      <c r="AL14" s="11">
        <v>0.1157</v>
      </c>
      <c r="AM14" s="10">
        <v>11982420141.379999</v>
      </c>
      <c r="AN14" s="11">
        <v>0.50288410514715998</v>
      </c>
      <c r="AO14" s="11">
        <v>0.5</v>
      </c>
      <c r="AP14" s="11">
        <v>-2.8999999999999998E-3</v>
      </c>
      <c r="AQ14" s="10">
        <v>18547004872.299999</v>
      </c>
      <c r="AR14" s="11">
        <v>0.45336363133655999</v>
      </c>
      <c r="AS14" s="11">
        <v>0.5</v>
      </c>
      <c r="AT14" s="11">
        <v>4.6600000000000003E-2</v>
      </c>
      <c r="AU14" s="10">
        <v>14146956615.129999</v>
      </c>
      <c r="AV14" s="11">
        <v>0.30983239173214999</v>
      </c>
      <c r="AW14" s="11">
        <v>0.5</v>
      </c>
      <c r="AX14" s="11">
        <v>0.19020000000000001</v>
      </c>
      <c r="AY14" s="10">
        <v>231145434769.28</v>
      </c>
      <c r="AZ14" s="11">
        <v>0.31538781229680002</v>
      </c>
      <c r="BA14" s="11">
        <v>0.5</v>
      </c>
      <c r="BB14" s="11">
        <v>0.18459999999999999</v>
      </c>
    </row>
    <row r="15" spans="1:56">
      <c r="A15" s="3" t="s">
        <v>32</v>
      </c>
      <c r="B15" s="36" t="s">
        <v>29</v>
      </c>
      <c r="C15" s="35">
        <v>966904971.65999997</v>
      </c>
      <c r="D15" s="59">
        <v>0.43459626631143</v>
      </c>
      <c r="E15" s="59" t="s">
        <v>26</v>
      </c>
      <c r="F15" s="59" t="s">
        <v>26</v>
      </c>
      <c r="G15" s="35">
        <v>17798348581.27</v>
      </c>
      <c r="H15" s="59">
        <v>0.35269192411714001</v>
      </c>
      <c r="I15" s="59" t="s">
        <v>26</v>
      </c>
      <c r="J15" s="59" t="s">
        <v>26</v>
      </c>
      <c r="K15" s="35">
        <v>250978343.66</v>
      </c>
      <c r="L15" s="59">
        <v>0.29506891156043002</v>
      </c>
      <c r="M15" s="59" t="s">
        <v>26</v>
      </c>
      <c r="N15" s="59" t="s">
        <v>26</v>
      </c>
      <c r="O15" s="35">
        <v>20762195616.959999</v>
      </c>
      <c r="P15" s="59">
        <v>0.29899508027110999</v>
      </c>
      <c r="Q15" s="59" t="s">
        <v>26</v>
      </c>
      <c r="R15" s="59" t="s">
        <v>26</v>
      </c>
      <c r="S15" s="35">
        <v>11810219346.809999</v>
      </c>
      <c r="T15" s="59">
        <v>0.38652463606409998</v>
      </c>
      <c r="U15" s="59" t="s">
        <v>26</v>
      </c>
      <c r="V15" s="59" t="s">
        <v>26</v>
      </c>
      <c r="W15" s="35">
        <v>1260755069.7</v>
      </c>
      <c r="X15" s="59">
        <v>0.41255549627368998</v>
      </c>
      <c r="Y15" s="59" t="s">
        <v>26</v>
      </c>
      <c r="Z15" s="59" t="s">
        <v>26</v>
      </c>
      <c r="AA15" s="35">
        <v>18456223759.48</v>
      </c>
      <c r="AB15" s="59">
        <v>0.44089318027138003</v>
      </c>
      <c r="AC15" s="59" t="s">
        <v>26</v>
      </c>
      <c r="AD15" s="59" t="s">
        <v>26</v>
      </c>
      <c r="AE15" s="35">
        <v>71305625689.539993</v>
      </c>
      <c r="AF15" s="59">
        <v>0.35931013516976001</v>
      </c>
      <c r="AG15" s="59" t="s">
        <v>26</v>
      </c>
      <c r="AH15" s="59" t="s">
        <v>26</v>
      </c>
      <c r="AI15" s="35">
        <v>1715906481.26</v>
      </c>
      <c r="AJ15" s="59">
        <v>0.26138842769107001</v>
      </c>
      <c r="AK15" s="59" t="s">
        <v>26</v>
      </c>
      <c r="AL15" s="59" t="s">
        <v>26</v>
      </c>
      <c r="AM15" s="35">
        <v>6804016141.79</v>
      </c>
      <c r="AN15" s="59">
        <v>0.56783321411783005</v>
      </c>
      <c r="AO15" s="59" t="s">
        <v>26</v>
      </c>
      <c r="AP15" s="59" t="s">
        <v>26</v>
      </c>
      <c r="AQ15" s="35">
        <v>8519922623.0500002</v>
      </c>
      <c r="AR15" s="59">
        <v>0.45936919096702999</v>
      </c>
      <c r="AS15" s="59" t="s">
        <v>26</v>
      </c>
      <c r="AT15" s="59" t="s">
        <v>26</v>
      </c>
      <c r="AU15" s="35">
        <v>7820118495.0799999</v>
      </c>
      <c r="AV15" s="59">
        <v>0.55277744237347004</v>
      </c>
      <c r="AW15" s="59" t="s">
        <v>26</v>
      </c>
      <c r="AX15" s="59" t="s">
        <v>26</v>
      </c>
      <c r="AY15" s="35">
        <v>87645666807.669998</v>
      </c>
      <c r="AZ15" s="59">
        <v>0.37917974410853</v>
      </c>
      <c r="BA15" s="59" t="s">
        <v>26</v>
      </c>
      <c r="BB15" s="59" t="s">
        <v>26</v>
      </c>
    </row>
    <row r="16" spans="1:56">
      <c r="A16" s="3" t="s">
        <v>124</v>
      </c>
      <c r="B16" s="36" t="s">
        <v>39</v>
      </c>
      <c r="C16" s="35" t="s">
        <v>26</v>
      </c>
      <c r="D16" s="59" t="s">
        <v>26</v>
      </c>
      <c r="E16" s="59" t="s">
        <v>26</v>
      </c>
      <c r="F16" s="59" t="s">
        <v>26</v>
      </c>
      <c r="G16" s="35">
        <v>1688827785.0799999</v>
      </c>
      <c r="H16" s="59">
        <v>3.3465797026199999E-2</v>
      </c>
      <c r="I16" s="59" t="s">
        <v>26</v>
      </c>
      <c r="J16" s="59" t="s">
        <v>26</v>
      </c>
      <c r="K16" s="35" t="s">
        <v>26</v>
      </c>
      <c r="L16" s="59" t="s">
        <v>26</v>
      </c>
      <c r="M16" s="59" t="s">
        <v>26</v>
      </c>
      <c r="N16" s="59" t="s">
        <v>26</v>
      </c>
      <c r="O16" s="35" t="s">
        <v>26</v>
      </c>
      <c r="P16" s="59" t="s">
        <v>26</v>
      </c>
      <c r="Q16" s="59" t="s">
        <v>26</v>
      </c>
      <c r="R16" s="59" t="s">
        <v>26</v>
      </c>
      <c r="S16" s="35" t="s">
        <v>26</v>
      </c>
      <c r="T16" s="59" t="s">
        <v>26</v>
      </c>
      <c r="U16" s="59" t="s">
        <v>26</v>
      </c>
      <c r="V16" s="59" t="s">
        <v>26</v>
      </c>
      <c r="W16" s="35" t="s">
        <v>26</v>
      </c>
      <c r="X16" s="59" t="s">
        <v>26</v>
      </c>
      <c r="Y16" s="59" t="s">
        <v>26</v>
      </c>
      <c r="Z16" s="59" t="s">
        <v>26</v>
      </c>
      <c r="AA16" s="35">
        <v>4937575767.7799997</v>
      </c>
      <c r="AB16" s="59">
        <v>0.11795172790801001</v>
      </c>
      <c r="AC16" s="59" t="s">
        <v>26</v>
      </c>
      <c r="AD16" s="59" t="s">
        <v>26</v>
      </c>
      <c r="AE16" s="35">
        <v>6626403552.8599997</v>
      </c>
      <c r="AF16" s="59">
        <v>3.3390548547089997E-2</v>
      </c>
      <c r="AG16" s="59" t="s">
        <v>26</v>
      </c>
      <c r="AH16" s="59" t="s">
        <v>26</v>
      </c>
      <c r="AI16" s="35" t="s">
        <v>26</v>
      </c>
      <c r="AJ16" s="59" t="s">
        <v>26</v>
      </c>
      <c r="AK16" s="59" t="s">
        <v>26</v>
      </c>
      <c r="AL16" s="59" t="s">
        <v>26</v>
      </c>
      <c r="AM16" s="35">
        <v>304391495.29000002</v>
      </c>
      <c r="AN16" s="59">
        <v>2.5403173290409999E-2</v>
      </c>
      <c r="AO16" s="59" t="s">
        <v>26</v>
      </c>
      <c r="AP16" s="59" t="s">
        <v>26</v>
      </c>
      <c r="AQ16" s="35">
        <v>304391495.29000002</v>
      </c>
      <c r="AR16" s="59">
        <v>1.6411894933209999E-2</v>
      </c>
      <c r="AS16" s="59" t="s">
        <v>26</v>
      </c>
      <c r="AT16" s="59" t="s">
        <v>26</v>
      </c>
      <c r="AU16" s="35" t="s">
        <v>26</v>
      </c>
      <c r="AV16" s="59" t="s">
        <v>26</v>
      </c>
      <c r="AW16" s="59" t="s">
        <v>26</v>
      </c>
      <c r="AX16" s="59" t="s">
        <v>26</v>
      </c>
      <c r="AY16" s="35">
        <v>6930795048.1499996</v>
      </c>
      <c r="AZ16" s="59">
        <v>2.9984563852920001E-2</v>
      </c>
      <c r="BA16" s="59" t="s">
        <v>26</v>
      </c>
      <c r="BB16" s="59" t="s">
        <v>26</v>
      </c>
    </row>
    <row r="17" spans="1:54">
      <c r="A17" s="3" t="s">
        <v>33</v>
      </c>
      <c r="B17" s="36" t="s">
        <v>29</v>
      </c>
      <c r="C17" s="35">
        <v>1257929999.5799999</v>
      </c>
      <c r="D17" s="59">
        <v>0.56540373368857</v>
      </c>
      <c r="E17" s="59" t="s">
        <v>26</v>
      </c>
      <c r="F17" s="59" t="s">
        <v>26</v>
      </c>
      <c r="G17" s="35">
        <v>30977116587.970001</v>
      </c>
      <c r="H17" s="59">
        <v>0.61384227885665998</v>
      </c>
      <c r="I17" s="59" t="s">
        <v>26</v>
      </c>
      <c r="J17" s="59" t="s">
        <v>26</v>
      </c>
      <c r="K17" s="35">
        <v>599597009.50999999</v>
      </c>
      <c r="L17" s="59">
        <v>0.70493108843956998</v>
      </c>
      <c r="M17" s="59" t="s">
        <v>26</v>
      </c>
      <c r="N17" s="59" t="s">
        <v>26</v>
      </c>
      <c r="O17" s="35">
        <v>48677728271.199997</v>
      </c>
      <c r="P17" s="59">
        <v>0.70100491972889001</v>
      </c>
      <c r="Q17" s="59" t="s">
        <v>26</v>
      </c>
      <c r="R17" s="59" t="s">
        <v>26</v>
      </c>
      <c r="S17" s="35">
        <v>18744674817.43</v>
      </c>
      <c r="T17" s="59">
        <v>0.61347536393589996</v>
      </c>
      <c r="U17" s="59" t="s">
        <v>26</v>
      </c>
      <c r="V17" s="59" t="s">
        <v>26</v>
      </c>
      <c r="W17" s="35">
        <v>1795209718.28</v>
      </c>
      <c r="X17" s="59">
        <v>0.58744450372630996</v>
      </c>
      <c r="Y17" s="59" t="s">
        <v>26</v>
      </c>
      <c r="Z17" s="59" t="s">
        <v>26</v>
      </c>
      <c r="AA17" s="35">
        <v>18467187635.48</v>
      </c>
      <c r="AB17" s="59">
        <v>0.44115509182061002</v>
      </c>
      <c r="AC17" s="59" t="s">
        <v>26</v>
      </c>
      <c r="AD17" s="59" t="s">
        <v>26</v>
      </c>
      <c r="AE17" s="35">
        <v>120519444039.45</v>
      </c>
      <c r="AF17" s="59">
        <v>0.60729931628314004</v>
      </c>
      <c r="AG17" s="59" t="s">
        <v>26</v>
      </c>
      <c r="AH17" s="59" t="s">
        <v>26</v>
      </c>
      <c r="AI17" s="35">
        <v>4848678249.6599998</v>
      </c>
      <c r="AJ17" s="59">
        <v>0.73861157230893004</v>
      </c>
      <c r="AK17" s="59" t="s">
        <v>26</v>
      </c>
      <c r="AL17" s="59" t="s">
        <v>26</v>
      </c>
      <c r="AM17" s="35">
        <v>4874012504.3000002</v>
      </c>
      <c r="AN17" s="59">
        <v>0.40676361259176003</v>
      </c>
      <c r="AO17" s="59" t="s">
        <v>26</v>
      </c>
      <c r="AP17" s="59" t="s">
        <v>26</v>
      </c>
      <c r="AQ17" s="35">
        <v>9722690753.9599991</v>
      </c>
      <c r="AR17" s="59">
        <v>0.52421891409975996</v>
      </c>
      <c r="AS17" s="59" t="s">
        <v>26</v>
      </c>
      <c r="AT17" s="59" t="s">
        <v>26</v>
      </c>
      <c r="AU17" s="35">
        <v>6326838120.0500002</v>
      </c>
      <c r="AV17" s="59">
        <v>0.44722255762653002</v>
      </c>
      <c r="AW17" s="59" t="s">
        <v>26</v>
      </c>
      <c r="AX17" s="59" t="s">
        <v>26</v>
      </c>
      <c r="AY17" s="35">
        <v>136568972913.46001</v>
      </c>
      <c r="AZ17" s="59">
        <v>0.59083569203855002</v>
      </c>
      <c r="BA17" s="59" t="s">
        <v>26</v>
      </c>
      <c r="BB17" s="59" t="s">
        <v>26</v>
      </c>
    </row>
    <row r="18" spans="1:54">
      <c r="A18" s="13" t="s">
        <v>34</v>
      </c>
      <c r="B18" s="25" t="s">
        <v>25</v>
      </c>
      <c r="C18" s="55">
        <v>411278995.69999999</v>
      </c>
      <c r="D18" s="56">
        <v>6.4258712661769996E-2</v>
      </c>
      <c r="E18" s="56" t="s">
        <v>26</v>
      </c>
      <c r="F18" s="56" t="s">
        <v>26</v>
      </c>
      <c r="G18" s="55">
        <v>5888155191.21</v>
      </c>
      <c r="H18" s="56">
        <v>3.8691678302369997E-2</v>
      </c>
      <c r="I18" s="56" t="s">
        <v>26</v>
      </c>
      <c r="J18" s="56" t="s">
        <v>26</v>
      </c>
      <c r="K18" s="55">
        <v>302592360.86000001</v>
      </c>
      <c r="L18" s="56">
        <v>0.10099955667204</v>
      </c>
      <c r="M18" s="56" t="s">
        <v>26</v>
      </c>
      <c r="N18" s="56" t="s">
        <v>26</v>
      </c>
      <c r="O18" s="55">
        <v>13674006267.620001</v>
      </c>
      <c r="P18" s="56">
        <v>6.0298664894570003E-2</v>
      </c>
      <c r="Q18" s="56" t="s">
        <v>26</v>
      </c>
      <c r="R18" s="56" t="s">
        <v>26</v>
      </c>
      <c r="S18" s="55">
        <v>10103710333.959999</v>
      </c>
      <c r="T18" s="56">
        <v>9.0038911619920003E-2</v>
      </c>
      <c r="U18" s="56" t="s">
        <v>26</v>
      </c>
      <c r="V18" s="56" t="s">
        <v>26</v>
      </c>
      <c r="W18" s="55">
        <v>1024452076.12</v>
      </c>
      <c r="X18" s="56">
        <v>0.1637207911138</v>
      </c>
      <c r="Y18" s="56" t="s">
        <v>26</v>
      </c>
      <c r="Z18" s="56" t="s">
        <v>26</v>
      </c>
      <c r="AA18" s="55">
        <v>13975734665.74</v>
      </c>
      <c r="AB18" s="56">
        <v>0.10018332230898</v>
      </c>
      <c r="AC18" s="56" t="s">
        <v>26</v>
      </c>
      <c r="AD18" s="56" t="s">
        <v>26</v>
      </c>
      <c r="AE18" s="55">
        <v>45379929891.209999</v>
      </c>
      <c r="AF18" s="56">
        <v>7.0212471687519998E-2</v>
      </c>
      <c r="AG18" s="56" t="s">
        <v>26</v>
      </c>
      <c r="AH18" s="56" t="s">
        <v>26</v>
      </c>
      <c r="AI18" s="55">
        <v>1936692799.1400001</v>
      </c>
      <c r="AJ18" s="56">
        <v>0.1133737250693</v>
      </c>
      <c r="AK18" s="56" t="s">
        <v>26</v>
      </c>
      <c r="AL18" s="56" t="s">
        <v>26</v>
      </c>
      <c r="AM18" s="55">
        <v>1837833596.9400001</v>
      </c>
      <c r="AN18" s="56">
        <v>7.7131104810359993E-2</v>
      </c>
      <c r="AO18" s="56" t="s">
        <v>26</v>
      </c>
      <c r="AP18" s="56" t="s">
        <v>26</v>
      </c>
      <c r="AQ18" s="55">
        <v>3774526396.0799999</v>
      </c>
      <c r="AR18" s="56">
        <v>9.2264654335550006E-2</v>
      </c>
      <c r="AS18" s="56" t="s">
        <v>26</v>
      </c>
      <c r="AT18" s="56" t="s">
        <v>26</v>
      </c>
      <c r="AU18" s="55">
        <v>6825942734.46</v>
      </c>
      <c r="AV18" s="56">
        <v>0.14949492111841001</v>
      </c>
      <c r="AW18" s="56" t="s">
        <v>26</v>
      </c>
      <c r="AX18" s="56" t="s">
        <v>26</v>
      </c>
      <c r="AY18" s="55">
        <v>55980399021.75</v>
      </c>
      <c r="AZ18" s="56">
        <v>7.6382800277210006E-2</v>
      </c>
      <c r="BA18" s="56" t="s">
        <v>26</v>
      </c>
      <c r="BB18" s="56" t="s">
        <v>26</v>
      </c>
    </row>
    <row r="19" spans="1:54" s="7" customFormat="1">
      <c r="A19" s="5" t="s">
        <v>35</v>
      </c>
      <c r="B19" s="24" t="s">
        <v>25</v>
      </c>
      <c r="C19" s="10">
        <v>7135121.5499999998</v>
      </c>
      <c r="D19" s="11">
        <v>1.1147997594900001E-3</v>
      </c>
      <c r="E19" s="11">
        <v>0.15</v>
      </c>
      <c r="F19" s="11">
        <v>0.1489</v>
      </c>
      <c r="G19" s="10">
        <v>1010127202.02</v>
      </c>
      <c r="H19" s="11">
        <v>6.6376505842400003E-3</v>
      </c>
      <c r="I19" s="11">
        <v>0.15</v>
      </c>
      <c r="J19" s="11">
        <v>0.1434</v>
      </c>
      <c r="K19" s="10" t="s">
        <v>26</v>
      </c>
      <c r="L19" s="11" t="s">
        <v>26</v>
      </c>
      <c r="M19" s="11" t="s">
        <v>26</v>
      </c>
      <c r="N19" s="11" t="s">
        <v>26</v>
      </c>
      <c r="O19" s="10">
        <v>4562436047.1300001</v>
      </c>
      <c r="P19" s="11">
        <v>2.011910751864E-2</v>
      </c>
      <c r="Q19" s="11">
        <v>0.1368</v>
      </c>
      <c r="R19" s="11">
        <v>0.1167</v>
      </c>
      <c r="S19" s="10">
        <v>4489164056.6099997</v>
      </c>
      <c r="T19" s="11">
        <v>4.000505085561E-2</v>
      </c>
      <c r="U19" s="11">
        <v>0.05</v>
      </c>
      <c r="V19" s="11">
        <v>0.01</v>
      </c>
      <c r="W19" s="10">
        <v>357688633.63999999</v>
      </c>
      <c r="X19" s="11">
        <v>5.7163304596680002E-2</v>
      </c>
      <c r="Y19" s="11">
        <v>0.15</v>
      </c>
      <c r="Z19" s="11">
        <v>9.2799999999999994E-2</v>
      </c>
      <c r="AA19" s="10">
        <v>6439530776.6999998</v>
      </c>
      <c r="AB19" s="11">
        <v>4.6160978492400001E-2</v>
      </c>
      <c r="AC19" s="11">
        <v>0.14069999999999999</v>
      </c>
      <c r="AD19" s="11">
        <v>9.4500000000000001E-2</v>
      </c>
      <c r="AE19" s="10">
        <v>16866081837.65</v>
      </c>
      <c r="AF19" s="11">
        <v>2.6095441230170002E-2</v>
      </c>
      <c r="AG19" s="11">
        <v>0.14199999999999999</v>
      </c>
      <c r="AH19" s="11">
        <v>0.1159</v>
      </c>
      <c r="AI19" s="10">
        <v>773331782.44000006</v>
      </c>
      <c r="AJ19" s="11">
        <v>4.5270734175619998E-2</v>
      </c>
      <c r="AK19" s="11">
        <v>0.05</v>
      </c>
      <c r="AL19" s="11">
        <v>4.7000000000000002E-3</v>
      </c>
      <c r="AM19" s="10">
        <v>531528237.5</v>
      </c>
      <c r="AN19" s="11">
        <v>2.2307438641089999E-2</v>
      </c>
      <c r="AO19" s="11">
        <v>0.15</v>
      </c>
      <c r="AP19" s="11">
        <v>0.12770000000000001</v>
      </c>
      <c r="AQ19" s="10">
        <v>1304860019.9400001</v>
      </c>
      <c r="AR19" s="11">
        <v>3.189604365228E-2</v>
      </c>
      <c r="AS19" s="11">
        <v>0.1459</v>
      </c>
      <c r="AT19" s="11">
        <v>0.114</v>
      </c>
      <c r="AU19" s="10">
        <v>2218606439.1700001</v>
      </c>
      <c r="AV19" s="11">
        <v>4.8589683142540002E-2</v>
      </c>
      <c r="AW19" s="11">
        <v>0.05</v>
      </c>
      <c r="AX19" s="11">
        <v>1.4E-3</v>
      </c>
      <c r="AY19" s="10">
        <v>20389548296.759998</v>
      </c>
      <c r="AZ19" s="11">
        <v>2.7820644770480001E-2</v>
      </c>
      <c r="BA19" s="11">
        <v>0.14269999999999999</v>
      </c>
      <c r="BB19" s="11">
        <v>0.1149</v>
      </c>
    </row>
    <row r="20" spans="1:54">
      <c r="A20" s="3" t="s">
        <v>36</v>
      </c>
      <c r="B20" s="36" t="s">
        <v>37</v>
      </c>
      <c r="C20" s="35" t="s">
        <v>26</v>
      </c>
      <c r="D20" s="59" t="s">
        <v>26</v>
      </c>
      <c r="E20" s="59" t="s">
        <v>26</v>
      </c>
      <c r="F20" s="59" t="s">
        <v>26</v>
      </c>
      <c r="G20" s="35" t="s">
        <v>26</v>
      </c>
      <c r="H20" s="59" t="s">
        <v>26</v>
      </c>
      <c r="I20" s="59" t="s">
        <v>26</v>
      </c>
      <c r="J20" s="59" t="s">
        <v>26</v>
      </c>
      <c r="K20" s="35" t="s">
        <v>26</v>
      </c>
      <c r="L20" s="59" t="s">
        <v>26</v>
      </c>
      <c r="M20" s="59" t="s">
        <v>26</v>
      </c>
      <c r="N20" s="59" t="s">
        <v>26</v>
      </c>
      <c r="O20" s="35">
        <v>4001496200</v>
      </c>
      <c r="P20" s="59">
        <v>0.87705255671850002</v>
      </c>
      <c r="Q20" s="59" t="s">
        <v>26</v>
      </c>
      <c r="R20" s="59" t="s">
        <v>26</v>
      </c>
      <c r="S20" s="35">
        <v>986417127.29999995</v>
      </c>
      <c r="T20" s="59">
        <v>0.21973292017421001</v>
      </c>
      <c r="U20" s="59" t="s">
        <v>26</v>
      </c>
      <c r="V20" s="59" t="s">
        <v>26</v>
      </c>
      <c r="W20" s="35" t="s">
        <v>26</v>
      </c>
      <c r="X20" s="59" t="s">
        <v>26</v>
      </c>
      <c r="Y20" s="59" t="s">
        <v>26</v>
      </c>
      <c r="Z20" s="59" t="s">
        <v>26</v>
      </c>
      <c r="AA20" s="35">
        <v>4001496200</v>
      </c>
      <c r="AB20" s="59">
        <v>0.62139561697236001</v>
      </c>
      <c r="AC20" s="59" t="s">
        <v>26</v>
      </c>
      <c r="AD20" s="59" t="s">
        <v>26</v>
      </c>
      <c r="AE20" s="35">
        <v>8989409527.2999992</v>
      </c>
      <c r="AF20" s="59">
        <v>0.53298742492953999</v>
      </c>
      <c r="AG20" s="59" t="s">
        <v>26</v>
      </c>
      <c r="AH20" s="59" t="s">
        <v>26</v>
      </c>
      <c r="AI20" s="35">
        <v>358116367.89999998</v>
      </c>
      <c r="AJ20" s="59">
        <v>0.46308243891138001</v>
      </c>
      <c r="AK20" s="59" t="s">
        <v>26</v>
      </c>
      <c r="AL20" s="59" t="s">
        <v>26</v>
      </c>
      <c r="AM20" s="35" t="s">
        <v>26</v>
      </c>
      <c r="AN20" s="59" t="s">
        <v>26</v>
      </c>
      <c r="AO20" s="59" t="s">
        <v>26</v>
      </c>
      <c r="AP20" s="59" t="s">
        <v>26</v>
      </c>
      <c r="AQ20" s="35">
        <v>358116367.89999998</v>
      </c>
      <c r="AR20" s="59">
        <v>0.27444811123606999</v>
      </c>
      <c r="AS20" s="59" t="s">
        <v>26</v>
      </c>
      <c r="AT20" s="59" t="s">
        <v>26</v>
      </c>
      <c r="AU20" s="35">
        <v>639207706.95000005</v>
      </c>
      <c r="AV20" s="59">
        <v>0.28811225626350001</v>
      </c>
      <c r="AW20" s="59" t="s">
        <v>26</v>
      </c>
      <c r="AX20" s="59" t="s">
        <v>26</v>
      </c>
      <c r="AY20" s="35">
        <v>9986733602.1499996</v>
      </c>
      <c r="AZ20" s="59">
        <v>0.48979670646931001</v>
      </c>
      <c r="BA20" s="59" t="s">
        <v>26</v>
      </c>
      <c r="BB20" s="59" t="s">
        <v>26</v>
      </c>
    </row>
    <row r="21" spans="1:54">
      <c r="A21" s="3" t="s">
        <v>38</v>
      </c>
      <c r="B21" s="36" t="s">
        <v>39</v>
      </c>
      <c r="C21" s="35">
        <v>7135121.5499999998</v>
      </c>
      <c r="D21" s="59">
        <v>1</v>
      </c>
      <c r="E21" s="59" t="s">
        <v>26</v>
      </c>
      <c r="F21" s="59" t="s">
        <v>26</v>
      </c>
      <c r="G21" s="35">
        <v>1010127202.02</v>
      </c>
      <c r="H21" s="59">
        <v>1</v>
      </c>
      <c r="I21" s="59" t="s">
        <v>26</v>
      </c>
      <c r="J21" s="59" t="s">
        <v>26</v>
      </c>
      <c r="K21" s="35" t="s">
        <v>26</v>
      </c>
      <c r="L21" s="59" t="s">
        <v>26</v>
      </c>
      <c r="M21" s="59" t="s">
        <v>26</v>
      </c>
      <c r="N21" s="59" t="s">
        <v>26</v>
      </c>
      <c r="O21" s="35">
        <v>560939847.13</v>
      </c>
      <c r="P21" s="59">
        <v>0.12294744328149999</v>
      </c>
      <c r="Q21" s="59" t="s">
        <v>26</v>
      </c>
      <c r="R21" s="59" t="s">
        <v>26</v>
      </c>
      <c r="S21" s="35">
        <v>3502746929.3099999</v>
      </c>
      <c r="T21" s="59">
        <v>0.78026707982579002</v>
      </c>
      <c r="U21" s="59" t="s">
        <v>26</v>
      </c>
      <c r="V21" s="59" t="s">
        <v>26</v>
      </c>
      <c r="W21" s="35">
        <v>357688633.63999999</v>
      </c>
      <c r="X21" s="59">
        <v>1</v>
      </c>
      <c r="Y21" s="59" t="s">
        <v>26</v>
      </c>
      <c r="Z21" s="59" t="s">
        <v>26</v>
      </c>
      <c r="AA21" s="35">
        <v>2438034576.6999998</v>
      </c>
      <c r="AB21" s="59">
        <v>0.37860438302763999</v>
      </c>
      <c r="AC21" s="59" t="s">
        <v>26</v>
      </c>
      <c r="AD21" s="59" t="s">
        <v>26</v>
      </c>
      <c r="AE21" s="35">
        <v>7876672310.3500004</v>
      </c>
      <c r="AF21" s="59">
        <v>0.46701257507046001</v>
      </c>
      <c r="AG21" s="59" t="s">
        <v>26</v>
      </c>
      <c r="AH21" s="59" t="s">
        <v>26</v>
      </c>
      <c r="AI21" s="35">
        <v>415215414.54000002</v>
      </c>
      <c r="AJ21" s="59">
        <v>0.53691756108861999</v>
      </c>
      <c r="AK21" s="59" t="s">
        <v>26</v>
      </c>
      <c r="AL21" s="59" t="s">
        <v>26</v>
      </c>
      <c r="AM21" s="35">
        <v>531528237.5</v>
      </c>
      <c r="AN21" s="59">
        <v>1</v>
      </c>
      <c r="AO21" s="59" t="s">
        <v>26</v>
      </c>
      <c r="AP21" s="59" t="s">
        <v>26</v>
      </c>
      <c r="AQ21" s="35">
        <v>946743652.03999996</v>
      </c>
      <c r="AR21" s="59">
        <v>0.72555188876392995</v>
      </c>
      <c r="AS21" s="59" t="s">
        <v>26</v>
      </c>
      <c r="AT21" s="59" t="s">
        <v>26</v>
      </c>
      <c r="AU21" s="35">
        <v>1579398732.22</v>
      </c>
      <c r="AV21" s="59">
        <v>0.71188774373649999</v>
      </c>
      <c r="AW21" s="59" t="s">
        <v>26</v>
      </c>
      <c r="AX21" s="59" t="s">
        <v>26</v>
      </c>
      <c r="AY21" s="35">
        <v>10402814694.610001</v>
      </c>
      <c r="AZ21" s="59">
        <v>0.51020329353069005</v>
      </c>
      <c r="BA21" s="59" t="s">
        <v>26</v>
      </c>
      <c r="BB21" s="59" t="s">
        <v>26</v>
      </c>
    </row>
    <row r="22" spans="1:54" s="7" customFormat="1">
      <c r="A22" s="5" t="s">
        <v>41</v>
      </c>
      <c r="B22" s="24" t="s">
        <v>25</v>
      </c>
      <c r="C22" s="10" t="s">
        <v>26</v>
      </c>
      <c r="D22" s="11" t="s">
        <v>26</v>
      </c>
      <c r="E22" s="11" t="s">
        <v>26</v>
      </c>
      <c r="F22" s="11" t="s">
        <v>26</v>
      </c>
      <c r="G22" s="10" t="s">
        <v>26</v>
      </c>
      <c r="H22" s="11" t="s">
        <v>26</v>
      </c>
      <c r="I22" s="11" t="s">
        <v>26</v>
      </c>
      <c r="J22" s="11" t="s">
        <v>26</v>
      </c>
      <c r="K22" s="10" t="s">
        <v>26</v>
      </c>
      <c r="L22" s="11" t="s">
        <v>26</v>
      </c>
      <c r="M22" s="11" t="s">
        <v>26</v>
      </c>
      <c r="N22" s="11" t="s">
        <v>26</v>
      </c>
      <c r="O22" s="10" t="s">
        <v>26</v>
      </c>
      <c r="P22" s="11" t="s">
        <v>26</v>
      </c>
      <c r="Q22" s="11" t="s">
        <v>26</v>
      </c>
      <c r="R22" s="11" t="s">
        <v>26</v>
      </c>
      <c r="S22" s="10" t="s">
        <v>26</v>
      </c>
      <c r="T22" s="11" t="s">
        <v>26</v>
      </c>
      <c r="U22" s="11" t="s">
        <v>26</v>
      </c>
      <c r="V22" s="11" t="s">
        <v>26</v>
      </c>
      <c r="W22" s="10">
        <v>51829177.789999999</v>
      </c>
      <c r="X22" s="11">
        <v>8.2829779824300006E-3</v>
      </c>
      <c r="Y22" s="11">
        <v>0.15</v>
      </c>
      <c r="Z22" s="11">
        <v>0.14169999999999999</v>
      </c>
      <c r="AA22" s="10" t="s">
        <v>26</v>
      </c>
      <c r="AB22" s="11" t="s">
        <v>26</v>
      </c>
      <c r="AC22" s="11" t="s">
        <v>26</v>
      </c>
      <c r="AD22" s="11" t="s">
        <v>26</v>
      </c>
      <c r="AE22" s="10">
        <v>51829177.789999999</v>
      </c>
      <c r="AF22" s="11">
        <v>8.0190839579999995E-5</v>
      </c>
      <c r="AG22" s="11">
        <v>0.15</v>
      </c>
      <c r="AH22" s="11">
        <v>0.14990000000000001</v>
      </c>
      <c r="AI22" s="10" t="s">
        <v>26</v>
      </c>
      <c r="AJ22" s="11" t="s">
        <v>26</v>
      </c>
      <c r="AK22" s="11" t="s">
        <v>26</v>
      </c>
      <c r="AL22" s="11" t="s">
        <v>26</v>
      </c>
      <c r="AM22" s="10" t="s">
        <v>26</v>
      </c>
      <c r="AN22" s="11" t="s">
        <v>26</v>
      </c>
      <c r="AO22" s="11" t="s">
        <v>26</v>
      </c>
      <c r="AP22" s="11" t="s">
        <v>26</v>
      </c>
      <c r="AQ22" s="10" t="s">
        <v>26</v>
      </c>
      <c r="AR22" s="11" t="s">
        <v>26</v>
      </c>
      <c r="AS22" s="11" t="s">
        <v>26</v>
      </c>
      <c r="AT22" s="11" t="s">
        <v>26</v>
      </c>
      <c r="AU22" s="10" t="s">
        <v>26</v>
      </c>
      <c r="AV22" s="11" t="s">
        <v>26</v>
      </c>
      <c r="AW22" s="11" t="s">
        <v>26</v>
      </c>
      <c r="AX22" s="11" t="s">
        <v>26</v>
      </c>
      <c r="AY22" s="10">
        <v>51829177.789999999</v>
      </c>
      <c r="AZ22" s="11">
        <v>7.0718640900000005E-5</v>
      </c>
      <c r="BA22" s="11">
        <v>0.15</v>
      </c>
      <c r="BB22" s="11">
        <v>0.14990000000000001</v>
      </c>
    </row>
    <row r="23" spans="1:54">
      <c r="A23" s="3" t="s">
        <v>38</v>
      </c>
      <c r="B23" s="36" t="s">
        <v>39</v>
      </c>
      <c r="C23" s="35" t="s">
        <v>26</v>
      </c>
      <c r="D23" s="59" t="s">
        <v>26</v>
      </c>
      <c r="E23" s="59" t="s">
        <v>26</v>
      </c>
      <c r="F23" s="59" t="s">
        <v>26</v>
      </c>
      <c r="G23" s="35" t="s">
        <v>26</v>
      </c>
      <c r="H23" s="59" t="s">
        <v>26</v>
      </c>
      <c r="I23" s="59" t="s">
        <v>26</v>
      </c>
      <c r="J23" s="59" t="s">
        <v>26</v>
      </c>
      <c r="K23" s="35" t="s">
        <v>26</v>
      </c>
      <c r="L23" s="59" t="s">
        <v>26</v>
      </c>
      <c r="M23" s="59" t="s">
        <v>26</v>
      </c>
      <c r="N23" s="59" t="s">
        <v>26</v>
      </c>
      <c r="O23" s="35" t="s">
        <v>26</v>
      </c>
      <c r="P23" s="59" t="s">
        <v>26</v>
      </c>
      <c r="Q23" s="59" t="s">
        <v>26</v>
      </c>
      <c r="R23" s="59" t="s">
        <v>26</v>
      </c>
      <c r="S23" s="35" t="s">
        <v>26</v>
      </c>
      <c r="T23" s="59" t="s">
        <v>26</v>
      </c>
      <c r="U23" s="59" t="s">
        <v>26</v>
      </c>
      <c r="V23" s="59" t="s">
        <v>26</v>
      </c>
      <c r="W23" s="35">
        <v>51829177.789999999</v>
      </c>
      <c r="X23" s="59">
        <v>1</v>
      </c>
      <c r="Y23" s="59" t="s">
        <v>26</v>
      </c>
      <c r="Z23" s="59" t="s">
        <v>26</v>
      </c>
      <c r="AA23" s="35" t="s">
        <v>26</v>
      </c>
      <c r="AB23" s="59" t="s">
        <v>26</v>
      </c>
      <c r="AC23" s="59" t="s">
        <v>26</v>
      </c>
      <c r="AD23" s="59" t="s">
        <v>26</v>
      </c>
      <c r="AE23" s="35">
        <v>51829177.789999999</v>
      </c>
      <c r="AF23" s="59">
        <v>1</v>
      </c>
      <c r="AG23" s="59" t="s">
        <v>26</v>
      </c>
      <c r="AH23" s="59" t="s">
        <v>26</v>
      </c>
      <c r="AI23" s="35" t="s">
        <v>26</v>
      </c>
      <c r="AJ23" s="59" t="s">
        <v>26</v>
      </c>
      <c r="AK23" s="59" t="s">
        <v>26</v>
      </c>
      <c r="AL23" s="59" t="s">
        <v>26</v>
      </c>
      <c r="AM23" s="35" t="s">
        <v>26</v>
      </c>
      <c r="AN23" s="59" t="s">
        <v>26</v>
      </c>
      <c r="AO23" s="59" t="s">
        <v>26</v>
      </c>
      <c r="AP23" s="59" t="s">
        <v>26</v>
      </c>
      <c r="AQ23" s="35" t="s">
        <v>26</v>
      </c>
      <c r="AR23" s="59" t="s">
        <v>26</v>
      </c>
      <c r="AS23" s="59" t="s">
        <v>26</v>
      </c>
      <c r="AT23" s="59" t="s">
        <v>26</v>
      </c>
      <c r="AU23" s="35" t="s">
        <v>26</v>
      </c>
      <c r="AV23" s="59" t="s">
        <v>26</v>
      </c>
      <c r="AW23" s="59" t="s">
        <v>26</v>
      </c>
      <c r="AX23" s="59" t="s">
        <v>26</v>
      </c>
      <c r="AY23" s="35">
        <v>51829177.789999999</v>
      </c>
      <c r="AZ23" s="59">
        <v>1</v>
      </c>
      <c r="BA23" s="59" t="s">
        <v>26</v>
      </c>
      <c r="BB23" s="59" t="s">
        <v>26</v>
      </c>
    </row>
    <row r="24" spans="1:54" s="7" customFormat="1">
      <c r="A24" s="5" t="s">
        <v>42</v>
      </c>
      <c r="B24" s="24" t="s">
        <v>25</v>
      </c>
      <c r="C24" s="10">
        <v>176425130.66999999</v>
      </c>
      <c r="D24" s="11">
        <v>2.756486933825E-2</v>
      </c>
      <c r="E24" s="11">
        <v>0.13500000000000001</v>
      </c>
      <c r="F24" s="11">
        <v>0.1074</v>
      </c>
      <c r="G24" s="10" t="s">
        <v>26</v>
      </c>
      <c r="H24" s="11" t="s">
        <v>26</v>
      </c>
      <c r="I24" s="11" t="s">
        <v>26</v>
      </c>
      <c r="J24" s="11" t="s">
        <v>26</v>
      </c>
      <c r="K24" s="10" t="s">
        <v>26</v>
      </c>
      <c r="L24" s="11" t="s">
        <v>26</v>
      </c>
      <c r="M24" s="11" t="s">
        <v>26</v>
      </c>
      <c r="N24" s="11" t="s">
        <v>26</v>
      </c>
      <c r="O24" s="10" t="s">
        <v>26</v>
      </c>
      <c r="P24" s="11" t="s">
        <v>26</v>
      </c>
      <c r="Q24" s="11" t="s">
        <v>26</v>
      </c>
      <c r="R24" s="11" t="s">
        <v>26</v>
      </c>
      <c r="S24" s="10" t="s">
        <v>26</v>
      </c>
      <c r="T24" s="11" t="s">
        <v>26</v>
      </c>
      <c r="U24" s="11" t="s">
        <v>26</v>
      </c>
      <c r="V24" s="11" t="s">
        <v>26</v>
      </c>
      <c r="W24" s="10" t="s">
        <v>26</v>
      </c>
      <c r="X24" s="11" t="s">
        <v>26</v>
      </c>
      <c r="Y24" s="11" t="s">
        <v>26</v>
      </c>
      <c r="Z24" s="11" t="s">
        <v>26</v>
      </c>
      <c r="AA24" s="10" t="s">
        <v>26</v>
      </c>
      <c r="AB24" s="11" t="s">
        <v>26</v>
      </c>
      <c r="AC24" s="11" t="s">
        <v>26</v>
      </c>
      <c r="AD24" s="11" t="s">
        <v>26</v>
      </c>
      <c r="AE24" s="10">
        <v>176425130.66999999</v>
      </c>
      <c r="AF24" s="11">
        <v>2.7296746650000002E-4</v>
      </c>
      <c r="AG24" s="11">
        <v>0.13500000000000001</v>
      </c>
      <c r="AH24" s="11">
        <v>0.13469999999999999</v>
      </c>
      <c r="AI24" s="10" t="s">
        <v>26</v>
      </c>
      <c r="AJ24" s="11" t="s">
        <v>26</v>
      </c>
      <c r="AK24" s="11" t="s">
        <v>26</v>
      </c>
      <c r="AL24" s="11" t="s">
        <v>26</v>
      </c>
      <c r="AM24" s="10" t="s">
        <v>26</v>
      </c>
      <c r="AN24" s="11" t="s">
        <v>26</v>
      </c>
      <c r="AO24" s="11" t="s">
        <v>26</v>
      </c>
      <c r="AP24" s="11" t="s">
        <v>26</v>
      </c>
      <c r="AQ24" s="10" t="s">
        <v>26</v>
      </c>
      <c r="AR24" s="11" t="s">
        <v>26</v>
      </c>
      <c r="AS24" s="11" t="s">
        <v>26</v>
      </c>
      <c r="AT24" s="11" t="s">
        <v>26</v>
      </c>
      <c r="AU24" s="10" t="s">
        <v>26</v>
      </c>
      <c r="AV24" s="11" t="s">
        <v>26</v>
      </c>
      <c r="AW24" s="11" t="s">
        <v>26</v>
      </c>
      <c r="AX24" s="11" t="s">
        <v>26</v>
      </c>
      <c r="AY24" s="10">
        <v>176425130.66999999</v>
      </c>
      <c r="AZ24" s="11">
        <v>2.407243563E-4</v>
      </c>
      <c r="BA24" s="11">
        <v>0.13500000000000001</v>
      </c>
      <c r="BB24" s="11">
        <v>0.1348</v>
      </c>
    </row>
    <row r="25" spans="1:54">
      <c r="A25" s="3" t="s">
        <v>38</v>
      </c>
      <c r="B25" s="36" t="s">
        <v>43</v>
      </c>
      <c r="C25" s="35">
        <v>176425130.66999999</v>
      </c>
      <c r="D25" s="59">
        <v>1</v>
      </c>
      <c r="E25" s="59" t="s">
        <v>26</v>
      </c>
      <c r="F25" s="59" t="s">
        <v>26</v>
      </c>
      <c r="G25" s="35" t="s">
        <v>26</v>
      </c>
      <c r="H25" s="59" t="s">
        <v>26</v>
      </c>
      <c r="I25" s="59" t="s">
        <v>26</v>
      </c>
      <c r="J25" s="59" t="s">
        <v>26</v>
      </c>
      <c r="K25" s="35" t="s">
        <v>26</v>
      </c>
      <c r="L25" s="59" t="s">
        <v>26</v>
      </c>
      <c r="M25" s="59" t="s">
        <v>26</v>
      </c>
      <c r="N25" s="59" t="s">
        <v>26</v>
      </c>
      <c r="O25" s="35" t="s">
        <v>26</v>
      </c>
      <c r="P25" s="59" t="s">
        <v>26</v>
      </c>
      <c r="Q25" s="59" t="s">
        <v>26</v>
      </c>
      <c r="R25" s="59" t="s">
        <v>26</v>
      </c>
      <c r="S25" s="35" t="s">
        <v>26</v>
      </c>
      <c r="T25" s="59" t="s">
        <v>26</v>
      </c>
      <c r="U25" s="59" t="s">
        <v>26</v>
      </c>
      <c r="V25" s="59" t="s">
        <v>26</v>
      </c>
      <c r="W25" s="35" t="s">
        <v>26</v>
      </c>
      <c r="X25" s="59" t="s">
        <v>26</v>
      </c>
      <c r="Y25" s="59" t="s">
        <v>26</v>
      </c>
      <c r="Z25" s="59" t="s">
        <v>26</v>
      </c>
      <c r="AA25" s="35" t="s">
        <v>26</v>
      </c>
      <c r="AB25" s="59" t="s">
        <v>26</v>
      </c>
      <c r="AC25" s="59" t="s">
        <v>26</v>
      </c>
      <c r="AD25" s="59" t="s">
        <v>26</v>
      </c>
      <c r="AE25" s="35">
        <v>176425130.66999999</v>
      </c>
      <c r="AF25" s="59">
        <v>1</v>
      </c>
      <c r="AG25" s="59" t="s">
        <v>26</v>
      </c>
      <c r="AH25" s="59" t="s">
        <v>26</v>
      </c>
      <c r="AI25" s="35" t="s">
        <v>26</v>
      </c>
      <c r="AJ25" s="59" t="s">
        <v>26</v>
      </c>
      <c r="AK25" s="59" t="s">
        <v>26</v>
      </c>
      <c r="AL25" s="59" t="s">
        <v>26</v>
      </c>
      <c r="AM25" s="35" t="s">
        <v>26</v>
      </c>
      <c r="AN25" s="59" t="s">
        <v>26</v>
      </c>
      <c r="AO25" s="59" t="s">
        <v>26</v>
      </c>
      <c r="AP25" s="59" t="s">
        <v>26</v>
      </c>
      <c r="AQ25" s="35" t="s">
        <v>26</v>
      </c>
      <c r="AR25" s="59" t="s">
        <v>26</v>
      </c>
      <c r="AS25" s="59" t="s">
        <v>26</v>
      </c>
      <c r="AT25" s="59" t="s">
        <v>26</v>
      </c>
      <c r="AU25" s="35" t="s">
        <v>26</v>
      </c>
      <c r="AV25" s="59" t="s">
        <v>26</v>
      </c>
      <c r="AW25" s="59" t="s">
        <v>26</v>
      </c>
      <c r="AX25" s="59" t="s">
        <v>26</v>
      </c>
      <c r="AY25" s="35">
        <v>176425130.66999999</v>
      </c>
      <c r="AZ25" s="59">
        <v>1</v>
      </c>
      <c r="BA25" s="59" t="s">
        <v>26</v>
      </c>
      <c r="BB25" s="59" t="s">
        <v>26</v>
      </c>
    </row>
    <row r="26" spans="1:54" s="7" customFormat="1">
      <c r="A26" s="5" t="s">
        <v>44</v>
      </c>
      <c r="B26" s="24" t="s">
        <v>25</v>
      </c>
      <c r="C26" s="10">
        <v>20824971.800000001</v>
      </c>
      <c r="D26" s="11">
        <v>3.2537180188500002E-3</v>
      </c>
      <c r="E26" s="11">
        <v>0.13500000000000001</v>
      </c>
      <c r="F26" s="11">
        <v>0.13170000000000001</v>
      </c>
      <c r="G26" s="10">
        <v>1493319254.0999999</v>
      </c>
      <c r="H26" s="11">
        <v>9.8127556604900006E-3</v>
      </c>
      <c r="I26" s="11">
        <v>0.13500000000000001</v>
      </c>
      <c r="J26" s="11">
        <v>0.12520000000000001</v>
      </c>
      <c r="K26" s="10" t="s">
        <v>26</v>
      </c>
      <c r="L26" s="11" t="s">
        <v>26</v>
      </c>
      <c r="M26" s="11" t="s">
        <v>26</v>
      </c>
      <c r="N26" s="11" t="s">
        <v>26</v>
      </c>
      <c r="O26" s="10">
        <v>2085262362.1500001</v>
      </c>
      <c r="P26" s="11">
        <v>9.1954423547600007E-3</v>
      </c>
      <c r="Q26" s="11">
        <v>0.1381</v>
      </c>
      <c r="R26" s="11">
        <v>0.12889999999999999</v>
      </c>
      <c r="S26" s="10">
        <v>1537625007.9100001</v>
      </c>
      <c r="T26" s="11">
        <v>1.370249914296E-2</v>
      </c>
      <c r="U26" s="11">
        <v>0.1419</v>
      </c>
      <c r="V26" s="11">
        <v>0.12820000000000001</v>
      </c>
      <c r="W26" s="10" t="s">
        <v>26</v>
      </c>
      <c r="X26" s="11" t="s">
        <v>26</v>
      </c>
      <c r="Y26" s="11" t="s">
        <v>26</v>
      </c>
      <c r="Z26" s="11" t="s">
        <v>26</v>
      </c>
      <c r="AA26" s="10">
        <v>2845835660.0100002</v>
      </c>
      <c r="AB26" s="11">
        <v>2.04000203198E-2</v>
      </c>
      <c r="AC26" s="11">
        <v>0.05</v>
      </c>
      <c r="AD26" s="11">
        <v>2.9600000000000001E-2</v>
      </c>
      <c r="AE26" s="10">
        <v>7982867255.9700003</v>
      </c>
      <c r="AF26" s="11">
        <v>1.235120553378E-2</v>
      </c>
      <c r="AG26" s="11">
        <v>0.1394</v>
      </c>
      <c r="AH26" s="11">
        <v>0.127</v>
      </c>
      <c r="AI26" s="10">
        <v>22303716.690000001</v>
      </c>
      <c r="AJ26" s="11">
        <v>1.30565644957E-3</v>
      </c>
      <c r="AK26" s="11">
        <v>0.15</v>
      </c>
      <c r="AL26" s="11">
        <v>0.1487</v>
      </c>
      <c r="AM26" s="10" t="s">
        <v>26</v>
      </c>
      <c r="AN26" s="11" t="s">
        <v>26</v>
      </c>
      <c r="AO26" s="11" t="s">
        <v>26</v>
      </c>
      <c r="AP26" s="11" t="s">
        <v>26</v>
      </c>
      <c r="AQ26" s="10">
        <v>22303716.690000001</v>
      </c>
      <c r="AR26" s="11">
        <v>5.4519282549999996E-4</v>
      </c>
      <c r="AS26" s="11">
        <v>0.15</v>
      </c>
      <c r="AT26" s="11">
        <v>0.14949999999999999</v>
      </c>
      <c r="AU26" s="10">
        <v>972976252.5</v>
      </c>
      <c r="AV26" s="11">
        <v>2.1309145677889999E-2</v>
      </c>
      <c r="AW26" s="11">
        <v>0.13500000000000001</v>
      </c>
      <c r="AX26" s="11">
        <v>0.1137</v>
      </c>
      <c r="AY26" s="10">
        <v>8978147225.1599998</v>
      </c>
      <c r="AZ26" s="11">
        <v>1.2250288285589999E-2</v>
      </c>
      <c r="BA26" s="11">
        <v>0.1389</v>
      </c>
      <c r="BB26" s="11">
        <v>0.12659999999999999</v>
      </c>
    </row>
    <row r="27" spans="1:54">
      <c r="A27" s="3" t="s">
        <v>36</v>
      </c>
      <c r="B27" s="36" t="s">
        <v>37</v>
      </c>
      <c r="C27" s="35">
        <v>20824971.800000001</v>
      </c>
      <c r="D27" s="59">
        <v>1</v>
      </c>
      <c r="E27" s="59" t="s">
        <v>26</v>
      </c>
      <c r="F27" s="59" t="s">
        <v>26</v>
      </c>
      <c r="G27" s="35">
        <v>1493319254.0999999</v>
      </c>
      <c r="H27" s="59">
        <v>1</v>
      </c>
      <c r="I27" s="59" t="s">
        <v>26</v>
      </c>
      <c r="J27" s="59" t="s">
        <v>26</v>
      </c>
      <c r="K27" s="35" t="s">
        <v>26</v>
      </c>
      <c r="L27" s="59" t="s">
        <v>26</v>
      </c>
      <c r="M27" s="59" t="s">
        <v>26</v>
      </c>
      <c r="N27" s="59" t="s">
        <v>26</v>
      </c>
      <c r="O27" s="35">
        <v>1651814074.5</v>
      </c>
      <c r="P27" s="59">
        <v>0.79213728904448</v>
      </c>
      <c r="Q27" s="59" t="s">
        <v>26</v>
      </c>
      <c r="R27" s="59" t="s">
        <v>26</v>
      </c>
      <c r="S27" s="35">
        <v>828946395</v>
      </c>
      <c r="T27" s="59">
        <v>0.53910829411310002</v>
      </c>
      <c r="U27" s="59" t="s">
        <v>26</v>
      </c>
      <c r="V27" s="59" t="s">
        <v>26</v>
      </c>
      <c r="W27" s="35" t="s">
        <v>26</v>
      </c>
      <c r="X27" s="59" t="s">
        <v>26</v>
      </c>
      <c r="Y27" s="59" t="s">
        <v>26</v>
      </c>
      <c r="Z27" s="59" t="s">
        <v>26</v>
      </c>
      <c r="AA27" s="35">
        <v>1670725325.1600001</v>
      </c>
      <c r="AB27" s="59">
        <v>0.58707723310843996</v>
      </c>
      <c r="AC27" s="59" t="s">
        <v>26</v>
      </c>
      <c r="AD27" s="59" t="s">
        <v>26</v>
      </c>
      <c r="AE27" s="35">
        <v>5665630020.5600004</v>
      </c>
      <c r="AF27" s="59">
        <v>0.70972369186309003</v>
      </c>
      <c r="AG27" s="59" t="s">
        <v>26</v>
      </c>
      <c r="AH27" s="59" t="s">
        <v>26</v>
      </c>
      <c r="AI27" s="35" t="s">
        <v>26</v>
      </c>
      <c r="AJ27" s="59" t="s">
        <v>26</v>
      </c>
      <c r="AK27" s="59" t="s">
        <v>26</v>
      </c>
      <c r="AL27" s="59" t="s">
        <v>26</v>
      </c>
      <c r="AM27" s="35" t="s">
        <v>26</v>
      </c>
      <c r="AN27" s="59" t="s">
        <v>26</v>
      </c>
      <c r="AO27" s="59" t="s">
        <v>26</v>
      </c>
      <c r="AP27" s="59" t="s">
        <v>26</v>
      </c>
      <c r="AQ27" s="35" t="s">
        <v>26</v>
      </c>
      <c r="AR27" s="59" t="s">
        <v>26</v>
      </c>
      <c r="AS27" s="59" t="s">
        <v>26</v>
      </c>
      <c r="AT27" s="59" t="s">
        <v>26</v>
      </c>
      <c r="AU27" s="35">
        <v>972976252.5</v>
      </c>
      <c r="AV27" s="59">
        <v>1</v>
      </c>
      <c r="AW27" s="59" t="s">
        <v>26</v>
      </c>
      <c r="AX27" s="59" t="s">
        <v>26</v>
      </c>
      <c r="AY27" s="35">
        <v>6638606273.0600004</v>
      </c>
      <c r="AZ27" s="59">
        <v>0.73941829049719998</v>
      </c>
      <c r="BA27" s="59" t="s">
        <v>26</v>
      </c>
      <c r="BB27" s="59" t="s">
        <v>26</v>
      </c>
    </row>
    <row r="28" spans="1:54">
      <c r="A28" s="3" t="s">
        <v>38</v>
      </c>
      <c r="B28" s="36" t="s">
        <v>39</v>
      </c>
      <c r="C28" s="35" t="s">
        <v>26</v>
      </c>
      <c r="D28" s="59" t="s">
        <v>26</v>
      </c>
      <c r="E28" s="59" t="s">
        <v>26</v>
      </c>
      <c r="F28" s="59" t="s">
        <v>26</v>
      </c>
      <c r="G28" s="35" t="s">
        <v>26</v>
      </c>
      <c r="H28" s="59" t="s">
        <v>26</v>
      </c>
      <c r="I28" s="59" t="s">
        <v>26</v>
      </c>
      <c r="J28" s="59" t="s">
        <v>26</v>
      </c>
      <c r="K28" s="35" t="s">
        <v>26</v>
      </c>
      <c r="L28" s="59" t="s">
        <v>26</v>
      </c>
      <c r="M28" s="59" t="s">
        <v>26</v>
      </c>
      <c r="N28" s="59" t="s">
        <v>26</v>
      </c>
      <c r="O28" s="35">
        <v>433448287.64999998</v>
      </c>
      <c r="P28" s="59">
        <v>0.20786271095552</v>
      </c>
      <c r="Q28" s="59" t="s">
        <v>26</v>
      </c>
      <c r="R28" s="59" t="s">
        <v>26</v>
      </c>
      <c r="S28" s="35">
        <v>708678612.90999997</v>
      </c>
      <c r="T28" s="59">
        <v>0.46089170588689998</v>
      </c>
      <c r="U28" s="59" t="s">
        <v>26</v>
      </c>
      <c r="V28" s="59" t="s">
        <v>26</v>
      </c>
      <c r="W28" s="35" t="s">
        <v>26</v>
      </c>
      <c r="X28" s="59" t="s">
        <v>26</v>
      </c>
      <c r="Y28" s="59" t="s">
        <v>26</v>
      </c>
      <c r="Z28" s="59" t="s">
        <v>26</v>
      </c>
      <c r="AA28" s="35">
        <v>1175110334.8499999</v>
      </c>
      <c r="AB28" s="59">
        <v>0.41292276689155999</v>
      </c>
      <c r="AC28" s="59" t="s">
        <v>26</v>
      </c>
      <c r="AD28" s="59" t="s">
        <v>26</v>
      </c>
      <c r="AE28" s="35">
        <v>2317237235.4099998</v>
      </c>
      <c r="AF28" s="59">
        <v>0.29027630813691002</v>
      </c>
      <c r="AG28" s="59" t="s">
        <v>26</v>
      </c>
      <c r="AH28" s="59" t="s">
        <v>26</v>
      </c>
      <c r="AI28" s="35">
        <v>22303716.690000001</v>
      </c>
      <c r="AJ28" s="59">
        <v>1</v>
      </c>
      <c r="AK28" s="59" t="s">
        <v>26</v>
      </c>
      <c r="AL28" s="59" t="s">
        <v>26</v>
      </c>
      <c r="AM28" s="35" t="s">
        <v>26</v>
      </c>
      <c r="AN28" s="59" t="s">
        <v>26</v>
      </c>
      <c r="AO28" s="59" t="s">
        <v>26</v>
      </c>
      <c r="AP28" s="59" t="s">
        <v>26</v>
      </c>
      <c r="AQ28" s="35">
        <v>22303716.690000001</v>
      </c>
      <c r="AR28" s="59">
        <v>1</v>
      </c>
      <c r="AS28" s="59" t="s">
        <v>26</v>
      </c>
      <c r="AT28" s="59" t="s">
        <v>26</v>
      </c>
      <c r="AU28" s="35" t="s">
        <v>26</v>
      </c>
      <c r="AV28" s="59" t="s">
        <v>26</v>
      </c>
      <c r="AW28" s="59" t="s">
        <v>26</v>
      </c>
      <c r="AX28" s="59" t="s">
        <v>26</v>
      </c>
      <c r="AY28" s="35">
        <v>2339540952.0999999</v>
      </c>
      <c r="AZ28" s="59">
        <v>0.26058170950280002</v>
      </c>
      <c r="BA28" s="59" t="s">
        <v>26</v>
      </c>
      <c r="BB28" s="59" t="s">
        <v>26</v>
      </c>
    </row>
    <row r="29" spans="1:54" s="7" customFormat="1">
      <c r="A29" s="5" t="s">
        <v>45</v>
      </c>
      <c r="B29" s="24" t="s">
        <v>25</v>
      </c>
      <c r="C29" s="10">
        <v>32937921.899999999</v>
      </c>
      <c r="D29" s="11">
        <v>5.1462595492999998E-3</v>
      </c>
      <c r="E29" s="11">
        <v>0.09</v>
      </c>
      <c r="F29" s="11">
        <v>8.4900000000000003E-2</v>
      </c>
      <c r="G29" s="10">
        <v>40032243.539999999</v>
      </c>
      <c r="H29" s="11">
        <v>2.6305602323000002E-4</v>
      </c>
      <c r="I29" s="11">
        <v>0.09</v>
      </c>
      <c r="J29" s="11">
        <v>8.9700000000000002E-2</v>
      </c>
      <c r="K29" s="10" t="s">
        <v>26</v>
      </c>
      <c r="L29" s="11" t="s">
        <v>26</v>
      </c>
      <c r="M29" s="11" t="s">
        <v>26</v>
      </c>
      <c r="N29" s="11" t="s">
        <v>26</v>
      </c>
      <c r="O29" s="10" t="s">
        <v>26</v>
      </c>
      <c r="P29" s="11" t="s">
        <v>26</v>
      </c>
      <c r="Q29" s="11" t="s">
        <v>26</v>
      </c>
      <c r="R29" s="11" t="s">
        <v>26</v>
      </c>
      <c r="S29" s="10">
        <v>43466306.049999997</v>
      </c>
      <c r="T29" s="11">
        <v>3.8734868275999999E-4</v>
      </c>
      <c r="U29" s="11">
        <v>0.10879999999999999</v>
      </c>
      <c r="V29" s="11">
        <v>0.1084</v>
      </c>
      <c r="W29" s="10" t="s">
        <v>26</v>
      </c>
      <c r="X29" s="11" t="s">
        <v>26</v>
      </c>
      <c r="Y29" s="11" t="s">
        <v>26</v>
      </c>
      <c r="Z29" s="11" t="s">
        <v>26</v>
      </c>
      <c r="AA29" s="10">
        <v>35471608.200000003</v>
      </c>
      <c r="AB29" s="11">
        <v>2.5427382832999998E-4</v>
      </c>
      <c r="AC29" s="11">
        <v>0.09</v>
      </c>
      <c r="AD29" s="11">
        <v>8.9700000000000002E-2</v>
      </c>
      <c r="AE29" s="10">
        <v>151908079.69</v>
      </c>
      <c r="AF29" s="11">
        <v>2.350343372E-4</v>
      </c>
      <c r="AG29" s="11">
        <v>9.5399999999999999E-2</v>
      </c>
      <c r="AH29" s="11">
        <v>9.5200000000000007E-2</v>
      </c>
      <c r="AI29" s="10" t="s">
        <v>26</v>
      </c>
      <c r="AJ29" s="11" t="s">
        <v>26</v>
      </c>
      <c r="AK29" s="11" t="s">
        <v>26</v>
      </c>
      <c r="AL29" s="11" t="s">
        <v>26</v>
      </c>
      <c r="AM29" s="10">
        <v>270218052.47000003</v>
      </c>
      <c r="AN29" s="11">
        <v>1.134064420273E-2</v>
      </c>
      <c r="AO29" s="11">
        <v>0.13500000000000001</v>
      </c>
      <c r="AP29" s="11">
        <v>0.1237</v>
      </c>
      <c r="AQ29" s="10">
        <v>270218052.47000003</v>
      </c>
      <c r="AR29" s="11">
        <v>6.6052194607200002E-3</v>
      </c>
      <c r="AS29" s="11">
        <v>0.13500000000000001</v>
      </c>
      <c r="AT29" s="11">
        <v>0.12839999999999999</v>
      </c>
      <c r="AU29" s="10" t="s">
        <v>26</v>
      </c>
      <c r="AV29" s="11" t="s">
        <v>26</v>
      </c>
      <c r="AW29" s="11" t="s">
        <v>26</v>
      </c>
      <c r="AX29" s="11" t="s">
        <v>26</v>
      </c>
      <c r="AY29" s="10">
        <v>422126132.16000003</v>
      </c>
      <c r="AZ29" s="11">
        <v>5.7597260127000005E-4</v>
      </c>
      <c r="BA29" s="11">
        <v>0.1207</v>
      </c>
      <c r="BB29" s="11">
        <v>0.1201</v>
      </c>
    </row>
    <row r="30" spans="1:54">
      <c r="A30" s="3" t="s">
        <v>36</v>
      </c>
      <c r="B30" s="36" t="s">
        <v>46</v>
      </c>
      <c r="C30" s="35">
        <v>32937921.899999999</v>
      </c>
      <c r="D30" s="59">
        <v>1</v>
      </c>
      <c r="E30" s="59" t="s">
        <v>26</v>
      </c>
      <c r="F30" s="59" t="s">
        <v>26</v>
      </c>
      <c r="G30" s="35">
        <v>40032243.539999999</v>
      </c>
      <c r="H30" s="59">
        <v>1</v>
      </c>
      <c r="I30" s="59" t="s">
        <v>26</v>
      </c>
      <c r="J30" s="59" t="s">
        <v>26</v>
      </c>
      <c r="K30" s="35" t="s">
        <v>26</v>
      </c>
      <c r="L30" s="59" t="s">
        <v>26</v>
      </c>
      <c r="M30" s="59" t="s">
        <v>26</v>
      </c>
      <c r="N30" s="59" t="s">
        <v>26</v>
      </c>
      <c r="O30" s="35" t="s">
        <v>26</v>
      </c>
      <c r="P30" s="59" t="s">
        <v>26</v>
      </c>
      <c r="Q30" s="59" t="s">
        <v>26</v>
      </c>
      <c r="R30" s="59" t="s">
        <v>26</v>
      </c>
      <c r="S30" s="35">
        <v>25336863</v>
      </c>
      <c r="T30" s="59">
        <v>0.58290812591376995</v>
      </c>
      <c r="U30" s="59" t="s">
        <v>26</v>
      </c>
      <c r="V30" s="59" t="s">
        <v>26</v>
      </c>
      <c r="W30" s="35" t="s">
        <v>26</v>
      </c>
      <c r="X30" s="59" t="s">
        <v>26</v>
      </c>
      <c r="Y30" s="59" t="s">
        <v>26</v>
      </c>
      <c r="Z30" s="59" t="s">
        <v>26</v>
      </c>
      <c r="AA30" s="35">
        <v>35471608.200000003</v>
      </c>
      <c r="AB30" s="59">
        <v>1</v>
      </c>
      <c r="AC30" s="59" t="s">
        <v>26</v>
      </c>
      <c r="AD30" s="59" t="s">
        <v>26</v>
      </c>
      <c r="AE30" s="35">
        <v>133778636.64</v>
      </c>
      <c r="AF30" s="59">
        <v>0.88065517589981002</v>
      </c>
      <c r="AG30" s="59" t="s">
        <v>26</v>
      </c>
      <c r="AH30" s="59" t="s">
        <v>26</v>
      </c>
      <c r="AI30" s="35" t="s">
        <v>26</v>
      </c>
      <c r="AJ30" s="59" t="s">
        <v>26</v>
      </c>
      <c r="AK30" s="59" t="s">
        <v>26</v>
      </c>
      <c r="AL30" s="59" t="s">
        <v>26</v>
      </c>
      <c r="AM30" s="35" t="s">
        <v>26</v>
      </c>
      <c r="AN30" s="59" t="s">
        <v>26</v>
      </c>
      <c r="AO30" s="59" t="s">
        <v>26</v>
      </c>
      <c r="AP30" s="59" t="s">
        <v>26</v>
      </c>
      <c r="AQ30" s="35" t="s">
        <v>26</v>
      </c>
      <c r="AR30" s="59" t="s">
        <v>26</v>
      </c>
      <c r="AS30" s="59" t="s">
        <v>26</v>
      </c>
      <c r="AT30" s="59" t="s">
        <v>26</v>
      </c>
      <c r="AU30" s="35" t="s">
        <v>26</v>
      </c>
      <c r="AV30" s="59" t="s">
        <v>26</v>
      </c>
      <c r="AW30" s="59" t="s">
        <v>26</v>
      </c>
      <c r="AX30" s="59" t="s">
        <v>26</v>
      </c>
      <c r="AY30" s="35">
        <v>133778636.64</v>
      </c>
      <c r="AZ30" s="59">
        <v>0.31691626376093002</v>
      </c>
      <c r="BA30" s="59" t="s">
        <v>26</v>
      </c>
      <c r="BB30" s="59" t="s">
        <v>26</v>
      </c>
    </row>
    <row r="31" spans="1:54">
      <c r="A31" s="3" t="s">
        <v>38</v>
      </c>
      <c r="B31" s="36" t="s">
        <v>43</v>
      </c>
      <c r="C31" s="35" t="s">
        <v>26</v>
      </c>
      <c r="D31" s="59" t="s">
        <v>26</v>
      </c>
      <c r="E31" s="59" t="s">
        <v>26</v>
      </c>
      <c r="F31" s="59" t="s">
        <v>26</v>
      </c>
      <c r="G31" s="35" t="s">
        <v>26</v>
      </c>
      <c r="H31" s="59" t="s">
        <v>26</v>
      </c>
      <c r="I31" s="59" t="s">
        <v>26</v>
      </c>
      <c r="J31" s="59" t="s">
        <v>26</v>
      </c>
      <c r="K31" s="35" t="s">
        <v>26</v>
      </c>
      <c r="L31" s="59" t="s">
        <v>26</v>
      </c>
      <c r="M31" s="59" t="s">
        <v>26</v>
      </c>
      <c r="N31" s="59" t="s">
        <v>26</v>
      </c>
      <c r="O31" s="35" t="s">
        <v>26</v>
      </c>
      <c r="P31" s="59" t="s">
        <v>26</v>
      </c>
      <c r="Q31" s="59" t="s">
        <v>26</v>
      </c>
      <c r="R31" s="59" t="s">
        <v>26</v>
      </c>
      <c r="S31" s="35">
        <v>18129443.050000001</v>
      </c>
      <c r="T31" s="59">
        <v>0.41709187408623</v>
      </c>
      <c r="U31" s="59" t="s">
        <v>26</v>
      </c>
      <c r="V31" s="59" t="s">
        <v>26</v>
      </c>
      <c r="W31" s="35" t="s">
        <v>26</v>
      </c>
      <c r="X31" s="59" t="s">
        <v>26</v>
      </c>
      <c r="Y31" s="59" t="s">
        <v>26</v>
      </c>
      <c r="Z31" s="59" t="s">
        <v>26</v>
      </c>
      <c r="AA31" s="35" t="s">
        <v>26</v>
      </c>
      <c r="AB31" s="59" t="s">
        <v>26</v>
      </c>
      <c r="AC31" s="59" t="s">
        <v>26</v>
      </c>
      <c r="AD31" s="59" t="s">
        <v>26</v>
      </c>
      <c r="AE31" s="35">
        <v>18129443.050000001</v>
      </c>
      <c r="AF31" s="59">
        <v>0.11934482410019</v>
      </c>
      <c r="AG31" s="59" t="s">
        <v>26</v>
      </c>
      <c r="AH31" s="59" t="s">
        <v>26</v>
      </c>
      <c r="AI31" s="35" t="s">
        <v>26</v>
      </c>
      <c r="AJ31" s="59" t="s">
        <v>26</v>
      </c>
      <c r="AK31" s="59" t="s">
        <v>26</v>
      </c>
      <c r="AL31" s="59" t="s">
        <v>26</v>
      </c>
      <c r="AM31" s="35">
        <v>270218052.47000003</v>
      </c>
      <c r="AN31" s="59">
        <v>1</v>
      </c>
      <c r="AO31" s="59" t="s">
        <v>26</v>
      </c>
      <c r="AP31" s="59" t="s">
        <v>26</v>
      </c>
      <c r="AQ31" s="35">
        <v>270218052.47000003</v>
      </c>
      <c r="AR31" s="59">
        <v>1</v>
      </c>
      <c r="AS31" s="59" t="s">
        <v>26</v>
      </c>
      <c r="AT31" s="59" t="s">
        <v>26</v>
      </c>
      <c r="AU31" s="35" t="s">
        <v>26</v>
      </c>
      <c r="AV31" s="59" t="s">
        <v>26</v>
      </c>
      <c r="AW31" s="59" t="s">
        <v>26</v>
      </c>
      <c r="AX31" s="59" t="s">
        <v>26</v>
      </c>
      <c r="AY31" s="35">
        <v>288347495.51999998</v>
      </c>
      <c r="AZ31" s="59">
        <v>0.68308373623907004</v>
      </c>
      <c r="BA31" s="59" t="s">
        <v>26</v>
      </c>
      <c r="BB31" s="59" t="s">
        <v>26</v>
      </c>
    </row>
    <row r="32" spans="1:54" s="7" customFormat="1">
      <c r="A32" s="5" t="s">
        <v>47</v>
      </c>
      <c r="B32" s="24" t="s">
        <v>25</v>
      </c>
      <c r="C32" s="10" t="s">
        <v>26</v>
      </c>
      <c r="D32" s="11" t="s">
        <v>26</v>
      </c>
      <c r="E32" s="11" t="s">
        <v>26</v>
      </c>
      <c r="F32" s="11" t="s">
        <v>26</v>
      </c>
      <c r="G32" s="10" t="s">
        <v>26</v>
      </c>
      <c r="H32" s="11" t="s">
        <v>26</v>
      </c>
      <c r="I32" s="11" t="s">
        <v>26</v>
      </c>
      <c r="J32" s="11" t="s">
        <v>26</v>
      </c>
      <c r="K32" s="10">
        <v>26134960.43</v>
      </c>
      <c r="L32" s="11">
        <v>8.7233511433299996E-3</v>
      </c>
      <c r="M32" s="11">
        <v>0.13500000000000001</v>
      </c>
      <c r="N32" s="11">
        <v>0.1263</v>
      </c>
      <c r="O32" s="10" t="s">
        <v>26</v>
      </c>
      <c r="P32" s="11" t="s">
        <v>26</v>
      </c>
      <c r="Q32" s="11" t="s">
        <v>26</v>
      </c>
      <c r="R32" s="11" t="s">
        <v>26</v>
      </c>
      <c r="S32" s="10" t="s">
        <v>26</v>
      </c>
      <c r="T32" s="11" t="s">
        <v>26</v>
      </c>
      <c r="U32" s="11" t="s">
        <v>26</v>
      </c>
      <c r="V32" s="11" t="s">
        <v>26</v>
      </c>
      <c r="W32" s="10" t="s">
        <v>26</v>
      </c>
      <c r="X32" s="11" t="s">
        <v>26</v>
      </c>
      <c r="Y32" s="11" t="s">
        <v>26</v>
      </c>
      <c r="Z32" s="11" t="s">
        <v>26</v>
      </c>
      <c r="AA32" s="10" t="s">
        <v>26</v>
      </c>
      <c r="AB32" s="11" t="s">
        <v>26</v>
      </c>
      <c r="AC32" s="11" t="s">
        <v>26</v>
      </c>
      <c r="AD32" s="11" t="s">
        <v>26</v>
      </c>
      <c r="AE32" s="10">
        <v>26134960.43</v>
      </c>
      <c r="AF32" s="11">
        <v>4.043638176E-5</v>
      </c>
      <c r="AG32" s="11">
        <v>0.13500000000000001</v>
      </c>
      <c r="AH32" s="11">
        <v>0.13500000000000001</v>
      </c>
      <c r="AI32" s="10">
        <v>4536229.12</v>
      </c>
      <c r="AJ32" s="11">
        <v>2.6555021701000001E-4</v>
      </c>
      <c r="AK32" s="11">
        <v>0.13500000000000001</v>
      </c>
      <c r="AL32" s="11">
        <v>0.13469999999999999</v>
      </c>
      <c r="AM32" s="10" t="s">
        <v>26</v>
      </c>
      <c r="AN32" s="11" t="s">
        <v>26</v>
      </c>
      <c r="AO32" s="11" t="s">
        <v>26</v>
      </c>
      <c r="AP32" s="11" t="s">
        <v>26</v>
      </c>
      <c r="AQ32" s="10">
        <v>4536229.12</v>
      </c>
      <c r="AR32" s="11">
        <v>1.1088374218E-4</v>
      </c>
      <c r="AS32" s="11">
        <v>0.13500000000000001</v>
      </c>
      <c r="AT32" s="11">
        <v>0.13489999999999999</v>
      </c>
      <c r="AU32" s="10" t="s">
        <v>26</v>
      </c>
      <c r="AV32" s="11" t="s">
        <v>26</v>
      </c>
      <c r="AW32" s="11" t="s">
        <v>26</v>
      </c>
      <c r="AX32" s="11" t="s">
        <v>26</v>
      </c>
      <c r="AY32" s="10">
        <v>30671189.550000001</v>
      </c>
      <c r="AZ32" s="11">
        <v>4.1849493510000002E-5</v>
      </c>
      <c r="BA32" s="11">
        <v>0.13500000000000001</v>
      </c>
      <c r="BB32" s="11">
        <v>0.13500000000000001</v>
      </c>
    </row>
    <row r="33" spans="1:54">
      <c r="A33" s="3" t="s">
        <v>38</v>
      </c>
      <c r="B33" s="36" t="s">
        <v>43</v>
      </c>
      <c r="C33" s="35" t="s">
        <v>26</v>
      </c>
      <c r="D33" s="59" t="s">
        <v>26</v>
      </c>
      <c r="E33" s="59" t="s">
        <v>26</v>
      </c>
      <c r="F33" s="59" t="s">
        <v>26</v>
      </c>
      <c r="G33" s="35" t="s">
        <v>26</v>
      </c>
      <c r="H33" s="59" t="s">
        <v>26</v>
      </c>
      <c r="I33" s="59" t="s">
        <v>26</v>
      </c>
      <c r="J33" s="59" t="s">
        <v>26</v>
      </c>
      <c r="K33" s="35">
        <v>26134960.43</v>
      </c>
      <c r="L33" s="59">
        <v>1</v>
      </c>
      <c r="M33" s="59" t="s">
        <v>26</v>
      </c>
      <c r="N33" s="59" t="s">
        <v>26</v>
      </c>
      <c r="O33" s="35" t="s">
        <v>26</v>
      </c>
      <c r="P33" s="59" t="s">
        <v>26</v>
      </c>
      <c r="Q33" s="59" t="s">
        <v>26</v>
      </c>
      <c r="R33" s="59" t="s">
        <v>26</v>
      </c>
      <c r="S33" s="35" t="s">
        <v>26</v>
      </c>
      <c r="T33" s="59" t="s">
        <v>26</v>
      </c>
      <c r="U33" s="59" t="s">
        <v>26</v>
      </c>
      <c r="V33" s="59" t="s">
        <v>26</v>
      </c>
      <c r="W33" s="35" t="s">
        <v>26</v>
      </c>
      <c r="X33" s="59" t="s">
        <v>26</v>
      </c>
      <c r="Y33" s="59" t="s">
        <v>26</v>
      </c>
      <c r="Z33" s="59" t="s">
        <v>26</v>
      </c>
      <c r="AA33" s="35" t="s">
        <v>26</v>
      </c>
      <c r="AB33" s="59" t="s">
        <v>26</v>
      </c>
      <c r="AC33" s="59" t="s">
        <v>26</v>
      </c>
      <c r="AD33" s="59" t="s">
        <v>26</v>
      </c>
      <c r="AE33" s="35">
        <v>26134960.43</v>
      </c>
      <c r="AF33" s="59">
        <v>1</v>
      </c>
      <c r="AG33" s="59" t="s">
        <v>26</v>
      </c>
      <c r="AH33" s="59" t="s">
        <v>26</v>
      </c>
      <c r="AI33" s="35">
        <v>4536229.12</v>
      </c>
      <c r="AJ33" s="59">
        <v>1</v>
      </c>
      <c r="AK33" s="59" t="s">
        <v>26</v>
      </c>
      <c r="AL33" s="59" t="s">
        <v>26</v>
      </c>
      <c r="AM33" s="35" t="s">
        <v>26</v>
      </c>
      <c r="AN33" s="59" t="s">
        <v>26</v>
      </c>
      <c r="AO33" s="59" t="s">
        <v>26</v>
      </c>
      <c r="AP33" s="59" t="s">
        <v>26</v>
      </c>
      <c r="AQ33" s="35">
        <v>4536229.12</v>
      </c>
      <c r="AR33" s="59">
        <v>1</v>
      </c>
      <c r="AS33" s="59" t="s">
        <v>26</v>
      </c>
      <c r="AT33" s="59" t="s">
        <v>26</v>
      </c>
      <c r="AU33" s="35" t="s">
        <v>26</v>
      </c>
      <c r="AV33" s="59" t="s">
        <v>26</v>
      </c>
      <c r="AW33" s="59" t="s">
        <v>26</v>
      </c>
      <c r="AX33" s="59" t="s">
        <v>26</v>
      </c>
      <c r="AY33" s="35">
        <v>30671189.550000001</v>
      </c>
      <c r="AZ33" s="59">
        <v>1</v>
      </c>
      <c r="BA33" s="59" t="s">
        <v>26</v>
      </c>
      <c r="BB33" s="59" t="s">
        <v>26</v>
      </c>
    </row>
    <row r="34" spans="1:54" s="7" customFormat="1">
      <c r="A34" s="5" t="s">
        <v>48</v>
      </c>
      <c r="B34" s="24" t="s">
        <v>25</v>
      </c>
      <c r="C34" s="10" t="s">
        <v>26</v>
      </c>
      <c r="D34" s="11" t="s">
        <v>26</v>
      </c>
      <c r="E34" s="11" t="s">
        <v>26</v>
      </c>
      <c r="F34" s="11" t="s">
        <v>26</v>
      </c>
      <c r="G34" s="10" t="s">
        <v>26</v>
      </c>
      <c r="H34" s="11" t="s">
        <v>26</v>
      </c>
      <c r="I34" s="11" t="s">
        <v>26</v>
      </c>
      <c r="J34" s="11" t="s">
        <v>26</v>
      </c>
      <c r="K34" s="10">
        <v>111604910.42</v>
      </c>
      <c r="L34" s="11">
        <v>3.7251589705719998E-2</v>
      </c>
      <c r="M34" s="11">
        <v>0.13500000000000001</v>
      </c>
      <c r="N34" s="11">
        <v>9.7699999999999995E-2</v>
      </c>
      <c r="O34" s="10" t="s">
        <v>26</v>
      </c>
      <c r="P34" s="11" t="s">
        <v>26</v>
      </c>
      <c r="Q34" s="11" t="s">
        <v>26</v>
      </c>
      <c r="R34" s="11" t="s">
        <v>26</v>
      </c>
      <c r="S34" s="10" t="s">
        <v>26</v>
      </c>
      <c r="T34" s="11" t="s">
        <v>26</v>
      </c>
      <c r="U34" s="11" t="s">
        <v>26</v>
      </c>
      <c r="V34" s="11" t="s">
        <v>26</v>
      </c>
      <c r="W34" s="10" t="s">
        <v>26</v>
      </c>
      <c r="X34" s="11" t="s">
        <v>26</v>
      </c>
      <c r="Y34" s="11" t="s">
        <v>26</v>
      </c>
      <c r="Z34" s="11" t="s">
        <v>26</v>
      </c>
      <c r="AA34" s="10" t="s">
        <v>26</v>
      </c>
      <c r="AB34" s="11" t="s">
        <v>26</v>
      </c>
      <c r="AC34" s="11" t="s">
        <v>26</v>
      </c>
      <c r="AD34" s="11" t="s">
        <v>26</v>
      </c>
      <c r="AE34" s="10">
        <v>111604910.42</v>
      </c>
      <c r="AF34" s="11">
        <v>1.7267670161E-4</v>
      </c>
      <c r="AG34" s="11">
        <v>0.13500000000000001</v>
      </c>
      <c r="AH34" s="11">
        <v>0.1348</v>
      </c>
      <c r="AI34" s="10">
        <v>48535259.090000004</v>
      </c>
      <c r="AJ34" s="11">
        <v>2.8412472657900001E-3</v>
      </c>
      <c r="AK34" s="11">
        <v>0.13500000000000001</v>
      </c>
      <c r="AL34" s="11">
        <v>0.13220000000000001</v>
      </c>
      <c r="AM34" s="10" t="s">
        <v>26</v>
      </c>
      <c r="AN34" s="11" t="s">
        <v>26</v>
      </c>
      <c r="AO34" s="11" t="s">
        <v>26</v>
      </c>
      <c r="AP34" s="11" t="s">
        <v>26</v>
      </c>
      <c r="AQ34" s="10">
        <v>48535259.090000004</v>
      </c>
      <c r="AR34" s="11">
        <v>1.18639755909E-3</v>
      </c>
      <c r="AS34" s="11">
        <v>0.13500000000000001</v>
      </c>
      <c r="AT34" s="11">
        <v>0.1338</v>
      </c>
      <c r="AU34" s="10" t="s">
        <v>26</v>
      </c>
      <c r="AV34" s="11" t="s">
        <v>26</v>
      </c>
      <c r="AW34" s="11" t="s">
        <v>26</v>
      </c>
      <c r="AX34" s="11" t="s">
        <v>26</v>
      </c>
      <c r="AY34" s="10">
        <v>160140169.50999999</v>
      </c>
      <c r="AZ34" s="11">
        <v>2.1850424072999999E-4</v>
      </c>
      <c r="BA34" s="11">
        <v>0.13500000000000001</v>
      </c>
      <c r="BB34" s="11">
        <v>0.1348</v>
      </c>
    </row>
    <row r="35" spans="1:54">
      <c r="A35" s="3" t="s">
        <v>38</v>
      </c>
      <c r="B35" s="36" t="s">
        <v>43</v>
      </c>
      <c r="C35" s="35" t="s">
        <v>26</v>
      </c>
      <c r="D35" s="59" t="s">
        <v>26</v>
      </c>
      <c r="E35" s="59" t="s">
        <v>26</v>
      </c>
      <c r="F35" s="59" t="s">
        <v>26</v>
      </c>
      <c r="G35" s="35" t="s">
        <v>26</v>
      </c>
      <c r="H35" s="59" t="s">
        <v>26</v>
      </c>
      <c r="I35" s="59" t="s">
        <v>26</v>
      </c>
      <c r="J35" s="59" t="s">
        <v>26</v>
      </c>
      <c r="K35" s="35">
        <v>111604910.42</v>
      </c>
      <c r="L35" s="59">
        <v>1</v>
      </c>
      <c r="M35" s="59" t="s">
        <v>26</v>
      </c>
      <c r="N35" s="59" t="s">
        <v>26</v>
      </c>
      <c r="O35" s="35" t="s">
        <v>26</v>
      </c>
      <c r="P35" s="59" t="s">
        <v>26</v>
      </c>
      <c r="Q35" s="59" t="s">
        <v>26</v>
      </c>
      <c r="R35" s="59" t="s">
        <v>26</v>
      </c>
      <c r="S35" s="35" t="s">
        <v>26</v>
      </c>
      <c r="T35" s="59" t="s">
        <v>26</v>
      </c>
      <c r="U35" s="59" t="s">
        <v>26</v>
      </c>
      <c r="V35" s="59" t="s">
        <v>26</v>
      </c>
      <c r="W35" s="35" t="s">
        <v>26</v>
      </c>
      <c r="X35" s="59" t="s">
        <v>26</v>
      </c>
      <c r="Y35" s="59" t="s">
        <v>26</v>
      </c>
      <c r="Z35" s="59" t="s">
        <v>26</v>
      </c>
      <c r="AA35" s="35" t="s">
        <v>26</v>
      </c>
      <c r="AB35" s="59" t="s">
        <v>26</v>
      </c>
      <c r="AC35" s="59" t="s">
        <v>26</v>
      </c>
      <c r="AD35" s="59" t="s">
        <v>26</v>
      </c>
      <c r="AE35" s="35">
        <v>111604910.42</v>
      </c>
      <c r="AF35" s="59">
        <v>1</v>
      </c>
      <c r="AG35" s="59" t="s">
        <v>26</v>
      </c>
      <c r="AH35" s="59" t="s">
        <v>26</v>
      </c>
      <c r="AI35" s="35">
        <v>48535259.090000004</v>
      </c>
      <c r="AJ35" s="59">
        <v>1</v>
      </c>
      <c r="AK35" s="59" t="s">
        <v>26</v>
      </c>
      <c r="AL35" s="59" t="s">
        <v>26</v>
      </c>
      <c r="AM35" s="35" t="s">
        <v>26</v>
      </c>
      <c r="AN35" s="59" t="s">
        <v>26</v>
      </c>
      <c r="AO35" s="59" t="s">
        <v>26</v>
      </c>
      <c r="AP35" s="59" t="s">
        <v>26</v>
      </c>
      <c r="AQ35" s="35">
        <v>48535259.090000004</v>
      </c>
      <c r="AR35" s="59">
        <v>1</v>
      </c>
      <c r="AS35" s="59" t="s">
        <v>26</v>
      </c>
      <c r="AT35" s="59" t="s">
        <v>26</v>
      </c>
      <c r="AU35" s="35" t="s">
        <v>26</v>
      </c>
      <c r="AV35" s="59" t="s">
        <v>26</v>
      </c>
      <c r="AW35" s="59" t="s">
        <v>26</v>
      </c>
      <c r="AX35" s="59" t="s">
        <v>26</v>
      </c>
      <c r="AY35" s="35">
        <v>160140169.50999999</v>
      </c>
      <c r="AZ35" s="59">
        <v>1</v>
      </c>
      <c r="BA35" s="59" t="s">
        <v>26</v>
      </c>
      <c r="BB35" s="59" t="s">
        <v>26</v>
      </c>
    </row>
    <row r="36" spans="1:54" s="7" customFormat="1">
      <c r="A36" s="5" t="s">
        <v>49</v>
      </c>
      <c r="B36" s="24" t="s">
        <v>25</v>
      </c>
      <c r="C36" s="10">
        <v>149305827.38999999</v>
      </c>
      <c r="D36" s="11">
        <v>2.3327717586580001E-2</v>
      </c>
      <c r="E36" s="11">
        <v>0.13500000000000001</v>
      </c>
      <c r="F36" s="11">
        <v>0.11169999999999999</v>
      </c>
      <c r="G36" s="10">
        <v>568077113.73000002</v>
      </c>
      <c r="H36" s="11">
        <v>3.7328936180500002E-3</v>
      </c>
      <c r="I36" s="11">
        <v>0.09</v>
      </c>
      <c r="J36" s="11">
        <v>8.6300000000000002E-2</v>
      </c>
      <c r="K36" s="10" t="s">
        <v>26</v>
      </c>
      <c r="L36" s="11" t="s">
        <v>26</v>
      </c>
      <c r="M36" s="11" t="s">
        <v>26</v>
      </c>
      <c r="N36" s="11" t="s">
        <v>26</v>
      </c>
      <c r="O36" s="10">
        <v>942384388.67999995</v>
      </c>
      <c r="P36" s="11">
        <v>4.1556599684599996E-3</v>
      </c>
      <c r="Q36" s="11">
        <v>0.10829999999999999</v>
      </c>
      <c r="R36" s="11">
        <v>0.1041</v>
      </c>
      <c r="S36" s="10">
        <v>655924749.52999997</v>
      </c>
      <c r="T36" s="11">
        <v>5.8452537335500002E-3</v>
      </c>
      <c r="U36" s="11">
        <v>0.1142</v>
      </c>
      <c r="V36" s="11">
        <v>0.1084</v>
      </c>
      <c r="W36" s="10" t="s">
        <v>26</v>
      </c>
      <c r="X36" s="11" t="s">
        <v>26</v>
      </c>
      <c r="Y36" s="11" t="s">
        <v>26</v>
      </c>
      <c r="Z36" s="11" t="s">
        <v>26</v>
      </c>
      <c r="AA36" s="10">
        <v>609116561.92999995</v>
      </c>
      <c r="AB36" s="11">
        <v>4.36637660252E-3</v>
      </c>
      <c r="AC36" s="11">
        <v>9.3700000000000006E-2</v>
      </c>
      <c r="AD36" s="11">
        <v>8.9300000000000004E-2</v>
      </c>
      <c r="AE36" s="10">
        <v>2924808641.2600002</v>
      </c>
      <c r="AF36" s="11">
        <v>4.5253054468800003E-3</v>
      </c>
      <c r="AG36" s="11">
        <v>0.10440000000000001</v>
      </c>
      <c r="AH36" s="11">
        <v>9.9900000000000003E-2</v>
      </c>
      <c r="AI36" s="10">
        <v>185794875.90000001</v>
      </c>
      <c r="AJ36" s="11">
        <v>1.087640599941E-2</v>
      </c>
      <c r="AK36" s="11">
        <v>0.1225</v>
      </c>
      <c r="AL36" s="11">
        <v>0.1116</v>
      </c>
      <c r="AM36" s="10">
        <v>729258066.48000002</v>
      </c>
      <c r="AN36" s="11">
        <v>3.06058614083E-2</v>
      </c>
      <c r="AO36" s="11">
        <v>0.13500000000000001</v>
      </c>
      <c r="AP36" s="11">
        <v>0.10440000000000001</v>
      </c>
      <c r="AQ36" s="10">
        <v>915052942.38</v>
      </c>
      <c r="AR36" s="11">
        <v>2.2367585908290001E-2</v>
      </c>
      <c r="AS36" s="11">
        <v>0.13250000000000001</v>
      </c>
      <c r="AT36" s="11">
        <v>0.1101</v>
      </c>
      <c r="AU36" s="10">
        <v>40770507.329999998</v>
      </c>
      <c r="AV36" s="11">
        <v>8.9291457815999999E-4</v>
      </c>
      <c r="AW36" s="11">
        <v>0.13500000000000001</v>
      </c>
      <c r="AX36" s="11">
        <v>0.1341</v>
      </c>
      <c r="AY36" s="10">
        <v>3880632090.9699998</v>
      </c>
      <c r="AZ36" s="11">
        <v>5.2949523607100004E-3</v>
      </c>
      <c r="BA36" s="11">
        <v>0.1113</v>
      </c>
      <c r="BB36" s="11">
        <v>0.106</v>
      </c>
    </row>
    <row r="37" spans="1:54">
      <c r="A37" s="3" t="s">
        <v>36</v>
      </c>
      <c r="B37" s="36" t="s">
        <v>46</v>
      </c>
      <c r="C37" s="35" t="s">
        <v>26</v>
      </c>
      <c r="D37" s="59" t="s">
        <v>26</v>
      </c>
      <c r="E37" s="59" t="s">
        <v>26</v>
      </c>
      <c r="F37" s="59" t="s">
        <v>26</v>
      </c>
      <c r="G37" s="35">
        <v>568077113.73000002</v>
      </c>
      <c r="H37" s="59">
        <v>1</v>
      </c>
      <c r="I37" s="59" t="s">
        <v>26</v>
      </c>
      <c r="J37" s="59" t="s">
        <v>26</v>
      </c>
      <c r="K37" s="35" t="s">
        <v>26</v>
      </c>
      <c r="L37" s="59" t="s">
        <v>26</v>
      </c>
      <c r="M37" s="59" t="s">
        <v>26</v>
      </c>
      <c r="N37" s="59" t="s">
        <v>26</v>
      </c>
      <c r="O37" s="35">
        <v>558999906.96000004</v>
      </c>
      <c r="P37" s="59">
        <v>0.59317611122887004</v>
      </c>
      <c r="Q37" s="59" t="s">
        <v>26</v>
      </c>
      <c r="R37" s="59" t="s">
        <v>26</v>
      </c>
      <c r="S37" s="35">
        <v>303566472</v>
      </c>
      <c r="T37" s="59">
        <v>0.46280685736819999</v>
      </c>
      <c r="U37" s="59" t="s">
        <v>26</v>
      </c>
      <c r="V37" s="59" t="s">
        <v>26</v>
      </c>
      <c r="W37" s="35" t="s">
        <v>26</v>
      </c>
      <c r="X37" s="59" t="s">
        <v>26</v>
      </c>
      <c r="Y37" s="59" t="s">
        <v>26</v>
      </c>
      <c r="Z37" s="59" t="s">
        <v>26</v>
      </c>
      <c r="AA37" s="35">
        <v>558999906.96000004</v>
      </c>
      <c r="AB37" s="59">
        <v>0.91772238992943</v>
      </c>
      <c r="AC37" s="59" t="s">
        <v>26</v>
      </c>
      <c r="AD37" s="59" t="s">
        <v>26</v>
      </c>
      <c r="AE37" s="35">
        <v>1989643399.6500001</v>
      </c>
      <c r="AF37" s="59">
        <v>0.68026446981258004</v>
      </c>
      <c r="AG37" s="59" t="s">
        <v>26</v>
      </c>
      <c r="AH37" s="59" t="s">
        <v>26</v>
      </c>
      <c r="AI37" s="35">
        <v>51579763</v>
      </c>
      <c r="AJ37" s="59">
        <v>0.27761671440154001</v>
      </c>
      <c r="AK37" s="59" t="s">
        <v>26</v>
      </c>
      <c r="AL37" s="59" t="s">
        <v>26</v>
      </c>
      <c r="AM37" s="35" t="s">
        <v>26</v>
      </c>
      <c r="AN37" s="59" t="s">
        <v>26</v>
      </c>
      <c r="AO37" s="59" t="s">
        <v>26</v>
      </c>
      <c r="AP37" s="59" t="s">
        <v>26</v>
      </c>
      <c r="AQ37" s="35">
        <v>51579763</v>
      </c>
      <c r="AR37" s="59">
        <v>5.6368064197299998E-2</v>
      </c>
      <c r="AS37" s="59" t="s">
        <v>26</v>
      </c>
      <c r="AT37" s="59" t="s">
        <v>26</v>
      </c>
      <c r="AU37" s="35" t="s">
        <v>26</v>
      </c>
      <c r="AV37" s="59" t="s">
        <v>26</v>
      </c>
      <c r="AW37" s="59" t="s">
        <v>26</v>
      </c>
      <c r="AX37" s="59" t="s">
        <v>26</v>
      </c>
      <c r="AY37" s="35">
        <v>2041223162.6500001</v>
      </c>
      <c r="AZ37" s="59">
        <v>0.52600275285044995</v>
      </c>
      <c r="BA37" s="59" t="s">
        <v>26</v>
      </c>
      <c r="BB37" s="59" t="s">
        <v>26</v>
      </c>
    </row>
    <row r="38" spans="1:54">
      <c r="A38" s="3" t="s">
        <v>38</v>
      </c>
      <c r="B38" s="36" t="s">
        <v>43</v>
      </c>
      <c r="C38" s="35">
        <v>149305827.38999999</v>
      </c>
      <c r="D38" s="59">
        <v>1</v>
      </c>
      <c r="E38" s="59" t="s">
        <v>26</v>
      </c>
      <c r="F38" s="59" t="s">
        <v>26</v>
      </c>
      <c r="G38" s="35" t="s">
        <v>26</v>
      </c>
      <c r="H38" s="59" t="s">
        <v>26</v>
      </c>
      <c r="I38" s="59" t="s">
        <v>26</v>
      </c>
      <c r="J38" s="59" t="s">
        <v>26</v>
      </c>
      <c r="K38" s="35" t="s">
        <v>26</v>
      </c>
      <c r="L38" s="59" t="s">
        <v>26</v>
      </c>
      <c r="M38" s="59" t="s">
        <v>26</v>
      </c>
      <c r="N38" s="59" t="s">
        <v>26</v>
      </c>
      <c r="O38" s="35">
        <v>383384481.72000003</v>
      </c>
      <c r="P38" s="59">
        <v>0.40682388877113002</v>
      </c>
      <c r="Q38" s="59" t="s">
        <v>26</v>
      </c>
      <c r="R38" s="59" t="s">
        <v>26</v>
      </c>
      <c r="S38" s="35">
        <v>352358277.52999997</v>
      </c>
      <c r="T38" s="59">
        <v>0.53719314263179996</v>
      </c>
      <c r="U38" s="59" t="s">
        <v>26</v>
      </c>
      <c r="V38" s="59" t="s">
        <v>26</v>
      </c>
      <c r="W38" s="35" t="s">
        <v>26</v>
      </c>
      <c r="X38" s="59" t="s">
        <v>26</v>
      </c>
      <c r="Y38" s="59" t="s">
        <v>26</v>
      </c>
      <c r="Z38" s="59" t="s">
        <v>26</v>
      </c>
      <c r="AA38" s="35">
        <v>50116654.969999999</v>
      </c>
      <c r="AB38" s="59">
        <v>8.2277610070569995E-2</v>
      </c>
      <c r="AC38" s="59" t="s">
        <v>26</v>
      </c>
      <c r="AD38" s="59" t="s">
        <v>26</v>
      </c>
      <c r="AE38" s="35">
        <v>935165241.61000001</v>
      </c>
      <c r="AF38" s="59">
        <v>0.31973553018742001</v>
      </c>
      <c r="AG38" s="59" t="s">
        <v>26</v>
      </c>
      <c r="AH38" s="59" t="s">
        <v>26</v>
      </c>
      <c r="AI38" s="35">
        <v>134215112.90000001</v>
      </c>
      <c r="AJ38" s="59">
        <v>0.72238328559845999</v>
      </c>
      <c r="AK38" s="59" t="s">
        <v>26</v>
      </c>
      <c r="AL38" s="59" t="s">
        <v>26</v>
      </c>
      <c r="AM38" s="35">
        <v>729258066.48000002</v>
      </c>
      <c r="AN38" s="59">
        <v>1</v>
      </c>
      <c r="AO38" s="59" t="s">
        <v>26</v>
      </c>
      <c r="AP38" s="59" t="s">
        <v>26</v>
      </c>
      <c r="AQ38" s="35">
        <v>863473179.38</v>
      </c>
      <c r="AR38" s="59">
        <v>0.94363193580269999</v>
      </c>
      <c r="AS38" s="59" t="s">
        <v>26</v>
      </c>
      <c r="AT38" s="59" t="s">
        <v>26</v>
      </c>
      <c r="AU38" s="35">
        <v>40770507.329999998</v>
      </c>
      <c r="AV38" s="59">
        <v>1</v>
      </c>
      <c r="AW38" s="59" t="s">
        <v>26</v>
      </c>
      <c r="AX38" s="59" t="s">
        <v>26</v>
      </c>
      <c r="AY38" s="35">
        <v>1839408928.3199999</v>
      </c>
      <c r="AZ38" s="59">
        <v>0.47399724714954999</v>
      </c>
      <c r="BA38" s="59" t="s">
        <v>26</v>
      </c>
      <c r="BB38" s="59" t="s">
        <v>26</v>
      </c>
    </row>
    <row r="39" spans="1:54" s="7" customFormat="1">
      <c r="A39" s="5" t="s">
        <v>50</v>
      </c>
      <c r="B39" s="24" t="s">
        <v>25</v>
      </c>
      <c r="C39" s="10" t="s">
        <v>26</v>
      </c>
      <c r="D39" s="11" t="s">
        <v>26</v>
      </c>
      <c r="E39" s="11" t="s">
        <v>26</v>
      </c>
      <c r="F39" s="11" t="s">
        <v>26</v>
      </c>
      <c r="G39" s="10" t="s">
        <v>26</v>
      </c>
      <c r="H39" s="11" t="s">
        <v>26</v>
      </c>
      <c r="I39" s="11" t="s">
        <v>26</v>
      </c>
      <c r="J39" s="11" t="s">
        <v>26</v>
      </c>
      <c r="K39" s="10" t="s">
        <v>26</v>
      </c>
      <c r="L39" s="11" t="s">
        <v>26</v>
      </c>
      <c r="M39" s="11" t="s">
        <v>26</v>
      </c>
      <c r="N39" s="11" t="s">
        <v>26</v>
      </c>
      <c r="O39" s="10">
        <v>100463157.78</v>
      </c>
      <c r="P39" s="11">
        <v>4.4301532166999999E-4</v>
      </c>
      <c r="Q39" s="11">
        <v>0.13500000000000001</v>
      </c>
      <c r="R39" s="11">
        <v>0.1346</v>
      </c>
      <c r="S39" s="10">
        <v>37442792.009999998</v>
      </c>
      <c r="T39" s="11">
        <v>3.3367031805000001E-4</v>
      </c>
      <c r="U39" s="11">
        <v>0.13500000000000001</v>
      </c>
      <c r="V39" s="11">
        <v>0.13469999999999999</v>
      </c>
      <c r="W39" s="10" t="s">
        <v>26</v>
      </c>
      <c r="X39" s="11" t="s">
        <v>26</v>
      </c>
      <c r="Y39" s="11" t="s">
        <v>26</v>
      </c>
      <c r="Z39" s="11" t="s">
        <v>26</v>
      </c>
      <c r="AA39" s="10" t="s">
        <v>26</v>
      </c>
      <c r="AB39" s="11" t="s">
        <v>26</v>
      </c>
      <c r="AC39" s="11" t="s">
        <v>26</v>
      </c>
      <c r="AD39" s="11" t="s">
        <v>26</v>
      </c>
      <c r="AE39" s="10">
        <v>137905949.78999999</v>
      </c>
      <c r="AF39" s="11">
        <v>2.1337004306000001E-4</v>
      </c>
      <c r="AG39" s="11">
        <v>0.13500000000000001</v>
      </c>
      <c r="AH39" s="11">
        <v>0.1348</v>
      </c>
      <c r="AI39" s="10">
        <v>29430138.030000001</v>
      </c>
      <c r="AJ39" s="11">
        <v>1.7228361561800001E-3</v>
      </c>
      <c r="AK39" s="11">
        <v>0.13500000000000001</v>
      </c>
      <c r="AL39" s="11">
        <v>0.1333</v>
      </c>
      <c r="AM39" s="10" t="s">
        <v>26</v>
      </c>
      <c r="AN39" s="11" t="s">
        <v>26</v>
      </c>
      <c r="AO39" s="11" t="s">
        <v>26</v>
      </c>
      <c r="AP39" s="11" t="s">
        <v>26</v>
      </c>
      <c r="AQ39" s="10">
        <v>29430138.030000001</v>
      </c>
      <c r="AR39" s="11">
        <v>7.1939131626999999E-4</v>
      </c>
      <c r="AS39" s="11">
        <v>0.13500000000000001</v>
      </c>
      <c r="AT39" s="11">
        <v>0.1343</v>
      </c>
      <c r="AU39" s="10">
        <v>114598443.45999999</v>
      </c>
      <c r="AV39" s="11">
        <v>2.50981965888E-3</v>
      </c>
      <c r="AW39" s="11">
        <v>0.13500000000000001</v>
      </c>
      <c r="AX39" s="11">
        <v>0.13250000000000001</v>
      </c>
      <c r="AY39" s="10">
        <v>281934531.27999997</v>
      </c>
      <c r="AZ39" s="11">
        <v>3.8468730788999999E-4</v>
      </c>
      <c r="BA39" s="11">
        <v>0.13500000000000001</v>
      </c>
      <c r="BB39" s="11">
        <v>0.1346</v>
      </c>
    </row>
    <row r="40" spans="1:54">
      <c r="A40" s="3" t="s">
        <v>38</v>
      </c>
      <c r="B40" s="36" t="s">
        <v>43</v>
      </c>
      <c r="C40" s="35" t="s">
        <v>26</v>
      </c>
      <c r="D40" s="59" t="s">
        <v>26</v>
      </c>
      <c r="E40" s="59" t="s">
        <v>26</v>
      </c>
      <c r="F40" s="59" t="s">
        <v>26</v>
      </c>
      <c r="G40" s="35" t="s">
        <v>26</v>
      </c>
      <c r="H40" s="59" t="s">
        <v>26</v>
      </c>
      <c r="I40" s="59" t="s">
        <v>26</v>
      </c>
      <c r="J40" s="59" t="s">
        <v>26</v>
      </c>
      <c r="K40" s="35" t="s">
        <v>26</v>
      </c>
      <c r="L40" s="59" t="s">
        <v>26</v>
      </c>
      <c r="M40" s="59" t="s">
        <v>26</v>
      </c>
      <c r="N40" s="59" t="s">
        <v>26</v>
      </c>
      <c r="O40" s="35">
        <v>100463157.78</v>
      </c>
      <c r="P40" s="59">
        <v>1</v>
      </c>
      <c r="Q40" s="59" t="s">
        <v>26</v>
      </c>
      <c r="R40" s="59" t="s">
        <v>26</v>
      </c>
      <c r="S40" s="35">
        <v>37442792.009999998</v>
      </c>
      <c r="T40" s="59">
        <v>1</v>
      </c>
      <c r="U40" s="59" t="s">
        <v>26</v>
      </c>
      <c r="V40" s="59" t="s">
        <v>26</v>
      </c>
      <c r="W40" s="35" t="s">
        <v>26</v>
      </c>
      <c r="X40" s="59" t="s">
        <v>26</v>
      </c>
      <c r="Y40" s="59" t="s">
        <v>26</v>
      </c>
      <c r="Z40" s="59" t="s">
        <v>26</v>
      </c>
      <c r="AA40" s="35" t="s">
        <v>26</v>
      </c>
      <c r="AB40" s="59" t="s">
        <v>26</v>
      </c>
      <c r="AC40" s="59" t="s">
        <v>26</v>
      </c>
      <c r="AD40" s="59" t="s">
        <v>26</v>
      </c>
      <c r="AE40" s="35">
        <v>137905949.78999999</v>
      </c>
      <c r="AF40" s="59">
        <v>1</v>
      </c>
      <c r="AG40" s="59" t="s">
        <v>26</v>
      </c>
      <c r="AH40" s="59" t="s">
        <v>26</v>
      </c>
      <c r="AI40" s="35">
        <v>29430138.030000001</v>
      </c>
      <c r="AJ40" s="59">
        <v>1</v>
      </c>
      <c r="AK40" s="59" t="s">
        <v>26</v>
      </c>
      <c r="AL40" s="59" t="s">
        <v>26</v>
      </c>
      <c r="AM40" s="35" t="s">
        <v>26</v>
      </c>
      <c r="AN40" s="59" t="s">
        <v>26</v>
      </c>
      <c r="AO40" s="59" t="s">
        <v>26</v>
      </c>
      <c r="AP40" s="59" t="s">
        <v>26</v>
      </c>
      <c r="AQ40" s="35">
        <v>29430138.030000001</v>
      </c>
      <c r="AR40" s="59">
        <v>1</v>
      </c>
      <c r="AS40" s="59" t="s">
        <v>26</v>
      </c>
      <c r="AT40" s="59" t="s">
        <v>26</v>
      </c>
      <c r="AU40" s="35">
        <v>114598443.45999999</v>
      </c>
      <c r="AV40" s="59">
        <v>1</v>
      </c>
      <c r="AW40" s="59" t="s">
        <v>26</v>
      </c>
      <c r="AX40" s="59" t="s">
        <v>26</v>
      </c>
      <c r="AY40" s="35">
        <v>281934531.27999997</v>
      </c>
      <c r="AZ40" s="59">
        <v>1</v>
      </c>
      <c r="BA40" s="59" t="s">
        <v>26</v>
      </c>
      <c r="BB40" s="59" t="s">
        <v>26</v>
      </c>
    </row>
    <row r="41" spans="1:54" s="7" customFormat="1">
      <c r="A41" s="5" t="s">
        <v>51</v>
      </c>
      <c r="B41" s="24" t="s">
        <v>25</v>
      </c>
      <c r="C41" s="10">
        <v>24650022.390000001</v>
      </c>
      <c r="D41" s="11">
        <v>3.85134840929E-3</v>
      </c>
      <c r="E41" s="11">
        <v>0.13500000000000001</v>
      </c>
      <c r="F41" s="11">
        <v>0.13109999999999999</v>
      </c>
      <c r="G41" s="10">
        <v>2705112213</v>
      </c>
      <c r="H41" s="11">
        <v>1.7775572843840001E-2</v>
      </c>
      <c r="I41" s="11">
        <v>0.13500000000000001</v>
      </c>
      <c r="J41" s="11">
        <v>0.1172</v>
      </c>
      <c r="K41" s="10" t="s">
        <v>26</v>
      </c>
      <c r="L41" s="11" t="s">
        <v>26</v>
      </c>
      <c r="M41" s="11" t="s">
        <v>26</v>
      </c>
      <c r="N41" s="11" t="s">
        <v>26</v>
      </c>
      <c r="O41" s="10">
        <v>4801423745.6000004</v>
      </c>
      <c r="P41" s="11">
        <v>2.1172978554090002E-2</v>
      </c>
      <c r="Q41" s="11">
        <v>0.05</v>
      </c>
      <c r="R41" s="11">
        <v>2.8799999999999999E-2</v>
      </c>
      <c r="S41" s="10">
        <v>3309773307.6399999</v>
      </c>
      <c r="T41" s="11">
        <v>2.949494556737E-2</v>
      </c>
      <c r="U41" s="11">
        <v>0.14019999999999999</v>
      </c>
      <c r="V41" s="11">
        <v>0.11070000000000001</v>
      </c>
      <c r="W41" s="10">
        <v>614934264.69000006</v>
      </c>
      <c r="X41" s="11">
        <v>9.8274508534680005E-2</v>
      </c>
      <c r="Y41" s="11">
        <v>0.15</v>
      </c>
      <c r="Z41" s="11">
        <v>5.1700000000000003E-2</v>
      </c>
      <c r="AA41" s="10">
        <v>3955920096</v>
      </c>
      <c r="AB41" s="11">
        <v>2.8357523055850001E-2</v>
      </c>
      <c r="AC41" s="11">
        <v>0.13500000000000001</v>
      </c>
      <c r="AD41" s="11">
        <v>0.1066</v>
      </c>
      <c r="AE41" s="10">
        <v>15411813649.32</v>
      </c>
      <c r="AF41" s="11">
        <v>2.3845376846119998E-2</v>
      </c>
      <c r="AG41" s="11">
        <v>0.1368</v>
      </c>
      <c r="AH41" s="11">
        <v>0.113</v>
      </c>
      <c r="AI41" s="10">
        <v>672350787.17999995</v>
      </c>
      <c r="AJ41" s="11">
        <v>3.9359320863749998E-2</v>
      </c>
      <c r="AK41" s="11">
        <v>0.14460000000000001</v>
      </c>
      <c r="AL41" s="11">
        <v>0.1052</v>
      </c>
      <c r="AM41" s="10" t="s">
        <v>26</v>
      </c>
      <c r="AN41" s="11" t="s">
        <v>26</v>
      </c>
      <c r="AO41" s="11" t="s">
        <v>26</v>
      </c>
      <c r="AP41" s="11" t="s">
        <v>26</v>
      </c>
      <c r="AQ41" s="10">
        <v>672350787.17999995</v>
      </c>
      <c r="AR41" s="11">
        <v>1.6434965996220002E-2</v>
      </c>
      <c r="AS41" s="11">
        <v>0.14460000000000001</v>
      </c>
      <c r="AT41" s="11">
        <v>0.12820000000000001</v>
      </c>
      <c r="AU41" s="10">
        <v>3062715905.02</v>
      </c>
      <c r="AV41" s="11">
        <v>6.7076518283340006E-2</v>
      </c>
      <c r="AW41" s="11">
        <v>0.14460000000000001</v>
      </c>
      <c r="AX41" s="11">
        <v>7.7499999999999999E-2</v>
      </c>
      <c r="AY41" s="10">
        <v>19146880341.52</v>
      </c>
      <c r="AZ41" s="11">
        <v>2.6125078824280001E-2</v>
      </c>
      <c r="BA41" s="11">
        <v>0.13830000000000001</v>
      </c>
      <c r="BB41" s="11">
        <v>0.11219999999999999</v>
      </c>
    </row>
    <row r="42" spans="1:54">
      <c r="A42" s="3" t="s">
        <v>36</v>
      </c>
      <c r="B42" s="36" t="s">
        <v>37</v>
      </c>
      <c r="C42" s="35">
        <v>24650022.390000001</v>
      </c>
      <c r="D42" s="59">
        <v>1</v>
      </c>
      <c r="E42" s="59" t="s">
        <v>26</v>
      </c>
      <c r="F42" s="59" t="s">
        <v>26</v>
      </c>
      <c r="G42" s="35">
        <v>2705112213</v>
      </c>
      <c r="H42" s="59">
        <v>1</v>
      </c>
      <c r="I42" s="59" t="s">
        <v>26</v>
      </c>
      <c r="J42" s="59" t="s">
        <v>26</v>
      </c>
      <c r="K42" s="35" t="s">
        <v>26</v>
      </c>
      <c r="L42" s="59" t="s">
        <v>26</v>
      </c>
      <c r="M42" s="59" t="s">
        <v>26</v>
      </c>
      <c r="N42" s="59" t="s">
        <v>26</v>
      </c>
      <c r="O42" s="35">
        <v>4699511515.9300003</v>
      </c>
      <c r="P42" s="59">
        <v>0.97877458123469996</v>
      </c>
      <c r="Q42" s="59" t="s">
        <v>26</v>
      </c>
      <c r="R42" s="59" t="s">
        <v>26</v>
      </c>
      <c r="S42" s="35">
        <v>2164512684.5799999</v>
      </c>
      <c r="T42" s="59">
        <v>0.65397611358566998</v>
      </c>
      <c r="U42" s="59" t="s">
        <v>26</v>
      </c>
      <c r="V42" s="59" t="s">
        <v>26</v>
      </c>
      <c r="W42" s="35" t="s">
        <v>26</v>
      </c>
      <c r="X42" s="59" t="s">
        <v>26</v>
      </c>
      <c r="Y42" s="59" t="s">
        <v>26</v>
      </c>
      <c r="Z42" s="59" t="s">
        <v>26</v>
      </c>
      <c r="AA42" s="35">
        <v>3955920096</v>
      </c>
      <c r="AB42" s="59">
        <v>1</v>
      </c>
      <c r="AC42" s="59" t="s">
        <v>26</v>
      </c>
      <c r="AD42" s="59" t="s">
        <v>26</v>
      </c>
      <c r="AE42" s="35">
        <v>13549706531.9</v>
      </c>
      <c r="AF42" s="59">
        <v>0.87917663944099</v>
      </c>
      <c r="AG42" s="59" t="s">
        <v>26</v>
      </c>
      <c r="AH42" s="59" t="s">
        <v>26</v>
      </c>
      <c r="AI42" s="35">
        <v>240110199.40000001</v>
      </c>
      <c r="AJ42" s="59">
        <v>0.35712042579302999</v>
      </c>
      <c r="AK42" s="59" t="s">
        <v>26</v>
      </c>
      <c r="AL42" s="59" t="s">
        <v>26</v>
      </c>
      <c r="AM42" s="35" t="s">
        <v>26</v>
      </c>
      <c r="AN42" s="59" t="s">
        <v>26</v>
      </c>
      <c r="AO42" s="59" t="s">
        <v>26</v>
      </c>
      <c r="AP42" s="59" t="s">
        <v>26</v>
      </c>
      <c r="AQ42" s="35">
        <v>240110199.40000001</v>
      </c>
      <c r="AR42" s="59">
        <v>0.35712042579302999</v>
      </c>
      <c r="AS42" s="59" t="s">
        <v>26</v>
      </c>
      <c r="AT42" s="59" t="s">
        <v>26</v>
      </c>
      <c r="AU42" s="35">
        <v>1110268643.6199999</v>
      </c>
      <c r="AV42" s="59">
        <v>0.36251114306755999</v>
      </c>
      <c r="AW42" s="59" t="s">
        <v>26</v>
      </c>
      <c r="AX42" s="59" t="s">
        <v>26</v>
      </c>
      <c r="AY42" s="35">
        <v>14900085374.92</v>
      </c>
      <c r="AZ42" s="59">
        <v>0.77819911699188005</v>
      </c>
      <c r="BA42" s="59" t="s">
        <v>26</v>
      </c>
      <c r="BB42" s="59" t="s">
        <v>26</v>
      </c>
    </row>
    <row r="43" spans="1:54">
      <c r="A43" s="3" t="s">
        <v>38</v>
      </c>
      <c r="B43" s="36" t="s">
        <v>39</v>
      </c>
      <c r="C43" s="35" t="s">
        <v>26</v>
      </c>
      <c r="D43" s="59" t="s">
        <v>26</v>
      </c>
      <c r="E43" s="59" t="s">
        <v>26</v>
      </c>
      <c r="F43" s="59" t="s">
        <v>26</v>
      </c>
      <c r="G43" s="35" t="s">
        <v>26</v>
      </c>
      <c r="H43" s="59" t="s">
        <v>26</v>
      </c>
      <c r="I43" s="59" t="s">
        <v>26</v>
      </c>
      <c r="J43" s="59" t="s">
        <v>26</v>
      </c>
      <c r="K43" s="35" t="s">
        <v>26</v>
      </c>
      <c r="L43" s="59" t="s">
        <v>26</v>
      </c>
      <c r="M43" s="59" t="s">
        <v>26</v>
      </c>
      <c r="N43" s="59" t="s">
        <v>26</v>
      </c>
      <c r="O43" s="35">
        <v>101912229.67</v>
      </c>
      <c r="P43" s="59">
        <v>2.12254187653E-2</v>
      </c>
      <c r="Q43" s="59" t="s">
        <v>26</v>
      </c>
      <c r="R43" s="59" t="s">
        <v>26</v>
      </c>
      <c r="S43" s="35">
        <v>1145260623.0599999</v>
      </c>
      <c r="T43" s="59">
        <v>0.34602388641433002</v>
      </c>
      <c r="U43" s="59" t="s">
        <v>26</v>
      </c>
      <c r="V43" s="59" t="s">
        <v>26</v>
      </c>
      <c r="W43" s="35">
        <v>614934264.69000006</v>
      </c>
      <c r="X43" s="59">
        <v>1</v>
      </c>
      <c r="Y43" s="59" t="s">
        <v>26</v>
      </c>
      <c r="Z43" s="59" t="s">
        <v>26</v>
      </c>
      <c r="AA43" s="35" t="s">
        <v>26</v>
      </c>
      <c r="AB43" s="59" t="s">
        <v>26</v>
      </c>
      <c r="AC43" s="59" t="s">
        <v>26</v>
      </c>
      <c r="AD43" s="59" t="s">
        <v>26</v>
      </c>
      <c r="AE43" s="35">
        <v>1862107117.4200001</v>
      </c>
      <c r="AF43" s="59">
        <v>0.12082336055901</v>
      </c>
      <c r="AG43" s="59" t="s">
        <v>26</v>
      </c>
      <c r="AH43" s="59" t="s">
        <v>26</v>
      </c>
      <c r="AI43" s="35">
        <v>432240587.77999997</v>
      </c>
      <c r="AJ43" s="59">
        <v>0.64287957420696995</v>
      </c>
      <c r="AK43" s="59" t="s">
        <v>26</v>
      </c>
      <c r="AL43" s="59" t="s">
        <v>26</v>
      </c>
      <c r="AM43" s="35" t="s">
        <v>26</v>
      </c>
      <c r="AN43" s="59" t="s">
        <v>26</v>
      </c>
      <c r="AO43" s="59" t="s">
        <v>26</v>
      </c>
      <c r="AP43" s="59" t="s">
        <v>26</v>
      </c>
      <c r="AQ43" s="35">
        <v>432240587.77999997</v>
      </c>
      <c r="AR43" s="59">
        <v>0.64287957420696995</v>
      </c>
      <c r="AS43" s="59" t="s">
        <v>26</v>
      </c>
      <c r="AT43" s="59" t="s">
        <v>26</v>
      </c>
      <c r="AU43" s="35">
        <v>1952447261.4000001</v>
      </c>
      <c r="AV43" s="59">
        <v>0.63748885693243995</v>
      </c>
      <c r="AW43" s="59" t="s">
        <v>26</v>
      </c>
      <c r="AX43" s="59" t="s">
        <v>26</v>
      </c>
      <c r="AY43" s="35">
        <v>4246794966.5999999</v>
      </c>
      <c r="AZ43" s="59">
        <v>0.22180088300812001</v>
      </c>
      <c r="BA43" s="59" t="s">
        <v>26</v>
      </c>
      <c r="BB43" s="59" t="s">
        <v>26</v>
      </c>
    </row>
    <row r="44" spans="1:54" s="7" customFormat="1">
      <c r="A44" s="5" t="s">
        <v>52</v>
      </c>
      <c r="B44" s="24" t="s">
        <v>25</v>
      </c>
      <c r="C44" s="10" t="s">
        <v>26</v>
      </c>
      <c r="D44" s="11" t="s">
        <v>26</v>
      </c>
      <c r="E44" s="11" t="s">
        <v>26</v>
      </c>
      <c r="F44" s="11" t="s">
        <v>26</v>
      </c>
      <c r="G44" s="10">
        <v>25006762.710000001</v>
      </c>
      <c r="H44" s="11">
        <v>1.6432203071E-4</v>
      </c>
      <c r="I44" s="11">
        <v>0.15</v>
      </c>
      <c r="J44" s="11">
        <v>0.14979999999999999</v>
      </c>
      <c r="K44" s="10">
        <v>164852490.00999999</v>
      </c>
      <c r="L44" s="11">
        <v>5.5024615822990001E-2</v>
      </c>
      <c r="M44" s="11">
        <v>0.15</v>
      </c>
      <c r="N44" s="11">
        <v>9.5000000000000001E-2</v>
      </c>
      <c r="O44" s="10" t="s">
        <v>26</v>
      </c>
      <c r="P44" s="11" t="s">
        <v>26</v>
      </c>
      <c r="Q44" s="11" t="s">
        <v>26</v>
      </c>
      <c r="R44" s="11" t="s">
        <v>26</v>
      </c>
      <c r="S44" s="10" t="s">
        <v>26</v>
      </c>
      <c r="T44" s="11" t="s">
        <v>26</v>
      </c>
      <c r="U44" s="11" t="s">
        <v>26</v>
      </c>
      <c r="V44" s="11" t="s">
        <v>26</v>
      </c>
      <c r="W44" s="10" t="s">
        <v>26</v>
      </c>
      <c r="X44" s="11" t="s">
        <v>26</v>
      </c>
      <c r="Y44" s="11" t="s">
        <v>26</v>
      </c>
      <c r="Z44" s="11" t="s">
        <v>26</v>
      </c>
      <c r="AA44" s="10">
        <v>89859962.900000006</v>
      </c>
      <c r="AB44" s="11">
        <v>6.4415001009000003E-4</v>
      </c>
      <c r="AC44" s="11">
        <v>0.15</v>
      </c>
      <c r="AD44" s="11">
        <v>0.14940000000000001</v>
      </c>
      <c r="AE44" s="10">
        <v>279719215.62</v>
      </c>
      <c r="AF44" s="11">
        <v>4.3278554097000001E-4</v>
      </c>
      <c r="AG44" s="11">
        <v>0.15</v>
      </c>
      <c r="AH44" s="11">
        <v>0.14960000000000001</v>
      </c>
      <c r="AI44" s="10" t="s">
        <v>26</v>
      </c>
      <c r="AJ44" s="11" t="s">
        <v>26</v>
      </c>
      <c r="AK44" s="11" t="s">
        <v>26</v>
      </c>
      <c r="AL44" s="11" t="s">
        <v>26</v>
      </c>
      <c r="AM44" s="10">
        <v>306829240.49000001</v>
      </c>
      <c r="AN44" s="11">
        <v>1.287716055824E-2</v>
      </c>
      <c r="AO44" s="11">
        <v>0.15</v>
      </c>
      <c r="AP44" s="11">
        <v>0.1371</v>
      </c>
      <c r="AQ44" s="10">
        <v>306829240.49000001</v>
      </c>
      <c r="AR44" s="11">
        <v>7.5001446123800003E-3</v>
      </c>
      <c r="AS44" s="11">
        <v>0.15</v>
      </c>
      <c r="AT44" s="11">
        <v>0.14249999999999999</v>
      </c>
      <c r="AU44" s="10" t="s">
        <v>26</v>
      </c>
      <c r="AV44" s="11" t="s">
        <v>26</v>
      </c>
      <c r="AW44" s="11" t="s">
        <v>26</v>
      </c>
      <c r="AX44" s="11" t="s">
        <v>26</v>
      </c>
      <c r="AY44" s="10">
        <v>586548456.11000001</v>
      </c>
      <c r="AZ44" s="11">
        <v>8.0031965399999995E-4</v>
      </c>
      <c r="BA44" s="11">
        <v>0.15</v>
      </c>
      <c r="BB44" s="11">
        <v>0.1492</v>
      </c>
    </row>
    <row r="45" spans="1:54">
      <c r="A45" s="3" t="s">
        <v>38</v>
      </c>
      <c r="B45" s="36" t="s">
        <v>39</v>
      </c>
      <c r="C45" s="35" t="s">
        <v>26</v>
      </c>
      <c r="D45" s="59" t="s">
        <v>26</v>
      </c>
      <c r="E45" s="59" t="s">
        <v>26</v>
      </c>
      <c r="F45" s="59" t="s">
        <v>26</v>
      </c>
      <c r="G45" s="35">
        <v>25006762.710000001</v>
      </c>
      <c r="H45" s="59">
        <v>1</v>
      </c>
      <c r="I45" s="59" t="s">
        <v>26</v>
      </c>
      <c r="J45" s="59" t="s">
        <v>26</v>
      </c>
      <c r="K45" s="35">
        <v>164852490.00999999</v>
      </c>
      <c r="L45" s="59">
        <v>1</v>
      </c>
      <c r="M45" s="59" t="s">
        <v>26</v>
      </c>
      <c r="N45" s="59" t="s">
        <v>26</v>
      </c>
      <c r="O45" s="35" t="s">
        <v>26</v>
      </c>
      <c r="P45" s="59" t="s">
        <v>26</v>
      </c>
      <c r="Q45" s="59" t="s">
        <v>26</v>
      </c>
      <c r="R45" s="59" t="s">
        <v>26</v>
      </c>
      <c r="S45" s="35" t="s">
        <v>26</v>
      </c>
      <c r="T45" s="59" t="s">
        <v>26</v>
      </c>
      <c r="U45" s="59" t="s">
        <v>26</v>
      </c>
      <c r="V45" s="59" t="s">
        <v>26</v>
      </c>
      <c r="W45" s="35" t="s">
        <v>26</v>
      </c>
      <c r="X45" s="59" t="s">
        <v>26</v>
      </c>
      <c r="Y45" s="59" t="s">
        <v>26</v>
      </c>
      <c r="Z45" s="59" t="s">
        <v>26</v>
      </c>
      <c r="AA45" s="35">
        <v>89859962.900000006</v>
      </c>
      <c r="AB45" s="59">
        <v>1</v>
      </c>
      <c r="AC45" s="59" t="s">
        <v>26</v>
      </c>
      <c r="AD45" s="59" t="s">
        <v>26</v>
      </c>
      <c r="AE45" s="35">
        <v>279719215.62</v>
      </c>
      <c r="AF45" s="59">
        <v>1</v>
      </c>
      <c r="AG45" s="59" t="s">
        <v>26</v>
      </c>
      <c r="AH45" s="59" t="s">
        <v>26</v>
      </c>
      <c r="AI45" s="35" t="s">
        <v>26</v>
      </c>
      <c r="AJ45" s="59" t="s">
        <v>26</v>
      </c>
      <c r="AK45" s="59" t="s">
        <v>26</v>
      </c>
      <c r="AL45" s="59" t="s">
        <v>26</v>
      </c>
      <c r="AM45" s="35">
        <v>306829240.49000001</v>
      </c>
      <c r="AN45" s="59">
        <v>1</v>
      </c>
      <c r="AO45" s="59" t="s">
        <v>26</v>
      </c>
      <c r="AP45" s="59" t="s">
        <v>26</v>
      </c>
      <c r="AQ45" s="35">
        <v>306829240.49000001</v>
      </c>
      <c r="AR45" s="59">
        <v>1</v>
      </c>
      <c r="AS45" s="59" t="s">
        <v>26</v>
      </c>
      <c r="AT45" s="59" t="s">
        <v>26</v>
      </c>
      <c r="AU45" s="35" t="s">
        <v>26</v>
      </c>
      <c r="AV45" s="59" t="s">
        <v>26</v>
      </c>
      <c r="AW45" s="59" t="s">
        <v>26</v>
      </c>
      <c r="AX45" s="59" t="s">
        <v>26</v>
      </c>
      <c r="AY45" s="35">
        <v>586548456.11000001</v>
      </c>
      <c r="AZ45" s="59">
        <v>1</v>
      </c>
      <c r="BA45" s="59" t="s">
        <v>26</v>
      </c>
      <c r="BB45" s="59" t="s">
        <v>26</v>
      </c>
    </row>
    <row r="46" spans="1:54" s="7" customFormat="1">
      <c r="A46" s="5" t="s">
        <v>53</v>
      </c>
      <c r="B46" s="24" t="s">
        <v>25</v>
      </c>
      <c r="C46" s="10" t="s">
        <v>26</v>
      </c>
      <c r="D46" s="11" t="s">
        <v>26</v>
      </c>
      <c r="E46" s="11" t="s">
        <v>26</v>
      </c>
      <c r="F46" s="11" t="s">
        <v>26</v>
      </c>
      <c r="G46" s="10" t="s">
        <v>26</v>
      </c>
      <c r="H46" s="11" t="s">
        <v>26</v>
      </c>
      <c r="I46" s="11" t="s">
        <v>26</v>
      </c>
      <c r="J46" s="11" t="s">
        <v>26</v>
      </c>
      <c r="K46" s="10" t="s">
        <v>26</v>
      </c>
      <c r="L46" s="11" t="s">
        <v>26</v>
      </c>
      <c r="M46" s="11" t="s">
        <v>26</v>
      </c>
      <c r="N46" s="11" t="s">
        <v>26</v>
      </c>
      <c r="O46" s="10">
        <v>1182036566.28</v>
      </c>
      <c r="P46" s="11">
        <v>5.2124611769399998E-3</v>
      </c>
      <c r="Q46" s="11">
        <v>0.15</v>
      </c>
      <c r="R46" s="11">
        <v>0.14480000000000001</v>
      </c>
      <c r="S46" s="10">
        <v>30314114.210000001</v>
      </c>
      <c r="T46" s="11">
        <v>2.7014331963000002E-4</v>
      </c>
      <c r="U46" s="11">
        <v>0.15</v>
      </c>
      <c r="V46" s="11">
        <v>0.1497</v>
      </c>
      <c r="W46" s="10" t="s">
        <v>26</v>
      </c>
      <c r="X46" s="11" t="s">
        <v>26</v>
      </c>
      <c r="Y46" s="11" t="s">
        <v>26</v>
      </c>
      <c r="Z46" s="11" t="s">
        <v>26</v>
      </c>
      <c r="AA46" s="10" t="s">
        <v>26</v>
      </c>
      <c r="AB46" s="11" t="s">
        <v>26</v>
      </c>
      <c r="AC46" s="11" t="s">
        <v>26</v>
      </c>
      <c r="AD46" s="11" t="s">
        <v>26</v>
      </c>
      <c r="AE46" s="10">
        <v>1212350680.49</v>
      </c>
      <c r="AF46" s="11">
        <v>1.8757661819500001E-3</v>
      </c>
      <c r="AG46" s="11">
        <v>0.15</v>
      </c>
      <c r="AH46" s="11">
        <v>0.14810000000000001</v>
      </c>
      <c r="AI46" s="10">
        <v>200410010.69</v>
      </c>
      <c r="AJ46" s="11">
        <v>1.173197394197E-2</v>
      </c>
      <c r="AK46" s="11">
        <v>0.15</v>
      </c>
      <c r="AL46" s="11">
        <v>0.13830000000000001</v>
      </c>
      <c r="AM46" s="10" t="s">
        <v>26</v>
      </c>
      <c r="AN46" s="11" t="s">
        <v>26</v>
      </c>
      <c r="AO46" s="11" t="s">
        <v>26</v>
      </c>
      <c r="AP46" s="11" t="s">
        <v>26</v>
      </c>
      <c r="AQ46" s="10">
        <v>200410010.69</v>
      </c>
      <c r="AR46" s="11">
        <v>4.8988292626299997E-3</v>
      </c>
      <c r="AS46" s="11">
        <v>0.15</v>
      </c>
      <c r="AT46" s="11">
        <v>0.14510000000000001</v>
      </c>
      <c r="AU46" s="10">
        <v>416275186.98000002</v>
      </c>
      <c r="AV46" s="11">
        <v>9.1168397775999999E-3</v>
      </c>
      <c r="AW46" s="11">
        <v>0.15</v>
      </c>
      <c r="AX46" s="11">
        <v>0.1409</v>
      </c>
      <c r="AY46" s="10">
        <v>1829035878.1600001</v>
      </c>
      <c r="AZ46" s="11">
        <v>2.4956392705799998E-3</v>
      </c>
      <c r="BA46" s="11">
        <v>0.15</v>
      </c>
      <c r="BB46" s="11">
        <v>0.14749999999999999</v>
      </c>
    </row>
    <row r="47" spans="1:54">
      <c r="A47" s="3" t="s">
        <v>38</v>
      </c>
      <c r="B47" s="36" t="s">
        <v>39</v>
      </c>
      <c r="C47" s="35" t="s">
        <v>26</v>
      </c>
      <c r="D47" s="59" t="s">
        <v>26</v>
      </c>
      <c r="E47" s="59" t="s">
        <v>26</v>
      </c>
      <c r="F47" s="59" t="s">
        <v>26</v>
      </c>
      <c r="G47" s="35" t="s">
        <v>26</v>
      </c>
      <c r="H47" s="59" t="s">
        <v>26</v>
      </c>
      <c r="I47" s="59" t="s">
        <v>26</v>
      </c>
      <c r="J47" s="59" t="s">
        <v>26</v>
      </c>
      <c r="K47" s="35" t="s">
        <v>26</v>
      </c>
      <c r="L47" s="59" t="s">
        <v>26</v>
      </c>
      <c r="M47" s="59" t="s">
        <v>26</v>
      </c>
      <c r="N47" s="59" t="s">
        <v>26</v>
      </c>
      <c r="O47" s="35">
        <v>1182036566.28</v>
      </c>
      <c r="P47" s="59">
        <v>1</v>
      </c>
      <c r="Q47" s="59" t="s">
        <v>26</v>
      </c>
      <c r="R47" s="59" t="s">
        <v>26</v>
      </c>
      <c r="S47" s="35">
        <v>30314114.210000001</v>
      </c>
      <c r="T47" s="59">
        <v>1</v>
      </c>
      <c r="U47" s="59" t="s">
        <v>26</v>
      </c>
      <c r="V47" s="59" t="s">
        <v>26</v>
      </c>
      <c r="W47" s="35" t="s">
        <v>26</v>
      </c>
      <c r="X47" s="59" t="s">
        <v>26</v>
      </c>
      <c r="Y47" s="59" t="s">
        <v>26</v>
      </c>
      <c r="Z47" s="59" t="s">
        <v>26</v>
      </c>
      <c r="AA47" s="35" t="s">
        <v>26</v>
      </c>
      <c r="AB47" s="59" t="s">
        <v>26</v>
      </c>
      <c r="AC47" s="59" t="s">
        <v>26</v>
      </c>
      <c r="AD47" s="59" t="s">
        <v>26</v>
      </c>
      <c r="AE47" s="35">
        <v>1212350680.49</v>
      </c>
      <c r="AF47" s="59">
        <v>1</v>
      </c>
      <c r="AG47" s="59" t="s">
        <v>26</v>
      </c>
      <c r="AH47" s="59" t="s">
        <v>26</v>
      </c>
      <c r="AI47" s="35">
        <v>200410010.69</v>
      </c>
      <c r="AJ47" s="59">
        <v>1</v>
      </c>
      <c r="AK47" s="59" t="s">
        <v>26</v>
      </c>
      <c r="AL47" s="59" t="s">
        <v>26</v>
      </c>
      <c r="AM47" s="35" t="s">
        <v>26</v>
      </c>
      <c r="AN47" s="59" t="s">
        <v>26</v>
      </c>
      <c r="AO47" s="59" t="s">
        <v>26</v>
      </c>
      <c r="AP47" s="59" t="s">
        <v>26</v>
      </c>
      <c r="AQ47" s="35">
        <v>200410010.69</v>
      </c>
      <c r="AR47" s="59">
        <v>1</v>
      </c>
      <c r="AS47" s="59" t="s">
        <v>26</v>
      </c>
      <c r="AT47" s="59" t="s">
        <v>26</v>
      </c>
      <c r="AU47" s="35">
        <v>416275186.98000002</v>
      </c>
      <c r="AV47" s="59">
        <v>1</v>
      </c>
      <c r="AW47" s="59" t="s">
        <v>26</v>
      </c>
      <c r="AX47" s="59" t="s">
        <v>26</v>
      </c>
      <c r="AY47" s="35">
        <v>1829035878.1600001</v>
      </c>
      <c r="AZ47" s="59">
        <v>1</v>
      </c>
      <c r="BA47" s="59" t="s">
        <v>26</v>
      </c>
      <c r="BB47" s="59" t="s">
        <v>26</v>
      </c>
    </row>
    <row r="48" spans="1:54" s="7" customFormat="1">
      <c r="A48" s="5" t="s">
        <v>110</v>
      </c>
      <c r="B48" s="24" t="s">
        <v>25</v>
      </c>
      <c r="C48" s="10" t="s">
        <v>26</v>
      </c>
      <c r="D48" s="11" t="s">
        <v>26</v>
      </c>
      <c r="E48" s="11" t="s">
        <v>26</v>
      </c>
      <c r="F48" s="11" t="s">
        <v>26</v>
      </c>
      <c r="G48" s="10">
        <v>46480402.109999999</v>
      </c>
      <c r="H48" s="11">
        <v>3.0542754179999998E-4</v>
      </c>
      <c r="I48" s="11">
        <v>0.05</v>
      </c>
      <c r="J48" s="11">
        <v>4.9700000000000001E-2</v>
      </c>
      <c r="K48" s="10" t="s">
        <v>26</v>
      </c>
      <c r="L48" s="11" t="s">
        <v>26</v>
      </c>
      <c r="M48" s="11" t="s">
        <v>26</v>
      </c>
      <c r="N48" s="11" t="s">
        <v>26</v>
      </c>
      <c r="O48" s="10" t="s">
        <v>26</v>
      </c>
      <c r="P48" s="11" t="s">
        <v>26</v>
      </c>
      <c r="Q48" s="11" t="s">
        <v>26</v>
      </c>
      <c r="R48" s="11" t="s">
        <v>26</v>
      </c>
      <c r="S48" s="10" t="s">
        <v>26</v>
      </c>
      <c r="T48" s="11" t="s">
        <v>26</v>
      </c>
      <c r="U48" s="11" t="s">
        <v>26</v>
      </c>
      <c r="V48" s="11" t="s">
        <v>26</v>
      </c>
      <c r="W48" s="10" t="s">
        <v>26</v>
      </c>
      <c r="X48" s="11" t="s">
        <v>26</v>
      </c>
      <c r="Y48" s="11" t="s">
        <v>26</v>
      </c>
      <c r="Z48" s="11" t="s">
        <v>26</v>
      </c>
      <c r="AA48" s="10" t="s">
        <v>26</v>
      </c>
      <c r="AB48" s="11" t="s">
        <v>26</v>
      </c>
      <c r="AC48" s="11" t="s">
        <v>26</v>
      </c>
      <c r="AD48" s="11" t="s">
        <v>26</v>
      </c>
      <c r="AE48" s="10">
        <v>46480402.109999999</v>
      </c>
      <c r="AF48" s="11">
        <v>7.191513793E-5</v>
      </c>
      <c r="AG48" s="11">
        <v>0.15</v>
      </c>
      <c r="AH48" s="11">
        <v>0.14990000000000001</v>
      </c>
      <c r="AI48" s="10" t="s">
        <v>26</v>
      </c>
      <c r="AJ48" s="11" t="s">
        <v>26</v>
      </c>
      <c r="AK48" s="11" t="s">
        <v>26</v>
      </c>
      <c r="AL48" s="11" t="s">
        <v>26</v>
      </c>
      <c r="AM48" s="10" t="s">
        <v>26</v>
      </c>
      <c r="AN48" s="11" t="s">
        <v>26</v>
      </c>
      <c r="AO48" s="11" t="s">
        <v>26</v>
      </c>
      <c r="AP48" s="11" t="s">
        <v>26</v>
      </c>
      <c r="AQ48" s="10" t="s">
        <v>26</v>
      </c>
      <c r="AR48" s="11" t="s">
        <v>26</v>
      </c>
      <c r="AS48" s="11" t="s">
        <v>26</v>
      </c>
      <c r="AT48" s="11" t="s">
        <v>26</v>
      </c>
      <c r="AU48" s="10" t="s">
        <v>26</v>
      </c>
      <c r="AV48" s="11" t="s">
        <v>26</v>
      </c>
      <c r="AW48" s="11" t="s">
        <v>26</v>
      </c>
      <c r="AX48" s="11" t="s">
        <v>26</v>
      </c>
      <c r="AY48" s="10">
        <v>46480402.109999999</v>
      </c>
      <c r="AZ48" s="11">
        <v>6.3420470970000005E-5</v>
      </c>
      <c r="BA48" s="11">
        <v>0.15</v>
      </c>
      <c r="BB48" s="11">
        <v>0.14990000000000001</v>
      </c>
    </row>
    <row r="49" spans="1:54">
      <c r="A49" s="3" t="s">
        <v>38</v>
      </c>
      <c r="B49" s="36" t="s">
        <v>39</v>
      </c>
      <c r="C49" s="35" t="s">
        <v>26</v>
      </c>
      <c r="D49" s="59" t="s">
        <v>26</v>
      </c>
      <c r="E49" s="59" t="s">
        <v>26</v>
      </c>
      <c r="F49" s="59" t="s">
        <v>26</v>
      </c>
      <c r="G49" s="35">
        <v>46480402.109999999</v>
      </c>
      <c r="H49" s="59">
        <v>1</v>
      </c>
      <c r="I49" s="59" t="s">
        <v>26</v>
      </c>
      <c r="J49" s="59" t="s">
        <v>26</v>
      </c>
      <c r="K49" s="35" t="s">
        <v>26</v>
      </c>
      <c r="L49" s="59" t="s">
        <v>26</v>
      </c>
      <c r="M49" s="59" t="s">
        <v>26</v>
      </c>
      <c r="N49" s="59" t="s">
        <v>26</v>
      </c>
      <c r="O49" s="35" t="s">
        <v>26</v>
      </c>
      <c r="P49" s="59" t="s">
        <v>26</v>
      </c>
      <c r="Q49" s="59" t="s">
        <v>26</v>
      </c>
      <c r="R49" s="59" t="s">
        <v>26</v>
      </c>
      <c r="S49" s="35" t="s">
        <v>26</v>
      </c>
      <c r="T49" s="59" t="s">
        <v>26</v>
      </c>
      <c r="U49" s="59" t="s">
        <v>26</v>
      </c>
      <c r="V49" s="59" t="s">
        <v>26</v>
      </c>
      <c r="W49" s="35" t="s">
        <v>26</v>
      </c>
      <c r="X49" s="59" t="s">
        <v>26</v>
      </c>
      <c r="Y49" s="59" t="s">
        <v>26</v>
      </c>
      <c r="Z49" s="59" t="s">
        <v>26</v>
      </c>
      <c r="AA49" s="35" t="s">
        <v>26</v>
      </c>
      <c r="AB49" s="59" t="s">
        <v>26</v>
      </c>
      <c r="AC49" s="59" t="s">
        <v>26</v>
      </c>
      <c r="AD49" s="59" t="s">
        <v>26</v>
      </c>
      <c r="AE49" s="35">
        <v>46480402.109999999</v>
      </c>
      <c r="AF49" s="59">
        <v>1</v>
      </c>
      <c r="AG49" s="59" t="s">
        <v>26</v>
      </c>
      <c r="AH49" s="59" t="s">
        <v>26</v>
      </c>
      <c r="AI49" s="35" t="s">
        <v>26</v>
      </c>
      <c r="AJ49" s="59" t="s">
        <v>26</v>
      </c>
      <c r="AK49" s="59" t="s">
        <v>26</v>
      </c>
      <c r="AL49" s="59" t="s">
        <v>26</v>
      </c>
      <c r="AM49" s="35" t="s">
        <v>26</v>
      </c>
      <c r="AN49" s="59" t="s">
        <v>26</v>
      </c>
      <c r="AO49" s="59" t="s">
        <v>26</v>
      </c>
      <c r="AP49" s="59" t="s">
        <v>26</v>
      </c>
      <c r="AQ49" s="35" t="s">
        <v>26</v>
      </c>
      <c r="AR49" s="59" t="s">
        <v>26</v>
      </c>
      <c r="AS49" s="59" t="s">
        <v>26</v>
      </c>
      <c r="AT49" s="59" t="s">
        <v>26</v>
      </c>
      <c r="AU49" s="35" t="s">
        <v>26</v>
      </c>
      <c r="AV49" s="59" t="s">
        <v>26</v>
      </c>
      <c r="AW49" s="59" t="s">
        <v>26</v>
      </c>
      <c r="AX49" s="59" t="s">
        <v>26</v>
      </c>
      <c r="AY49" s="35">
        <v>46480402.109999999</v>
      </c>
      <c r="AZ49" s="59">
        <v>1</v>
      </c>
      <c r="BA49" s="59" t="s">
        <v>26</v>
      </c>
      <c r="BB49" s="59" t="s">
        <v>26</v>
      </c>
    </row>
    <row r="50" spans="1:54">
      <c r="A50" s="13" t="s">
        <v>54</v>
      </c>
      <c r="B50" s="25" t="s">
        <v>25</v>
      </c>
      <c r="C50" s="55">
        <v>73585497.219999999</v>
      </c>
      <c r="D50" s="56">
        <v>1.1497084391300001E-2</v>
      </c>
      <c r="E50" s="56" t="s">
        <v>26</v>
      </c>
      <c r="F50" s="56" t="s">
        <v>26</v>
      </c>
      <c r="G50" s="55">
        <v>308375901</v>
      </c>
      <c r="H50" s="56">
        <v>2.0263700208700002E-3</v>
      </c>
      <c r="I50" s="56" t="s">
        <v>26</v>
      </c>
      <c r="J50" s="56" t="s">
        <v>26</v>
      </c>
      <c r="K50" s="55">
        <v>97572394.480000004</v>
      </c>
      <c r="L50" s="56">
        <v>3.2567803621679998E-2</v>
      </c>
      <c r="M50" s="56" t="s">
        <v>26</v>
      </c>
      <c r="N50" s="56" t="s">
        <v>26</v>
      </c>
      <c r="O50" s="55">
        <v>3443708264.9699998</v>
      </c>
      <c r="P50" s="56">
        <v>1.5185820936460001E-2</v>
      </c>
      <c r="Q50" s="56" t="s">
        <v>26</v>
      </c>
      <c r="R50" s="56" t="s">
        <v>26</v>
      </c>
      <c r="S50" s="55">
        <v>1282200991.72</v>
      </c>
      <c r="T50" s="56">
        <v>1.1426295683119999E-2</v>
      </c>
      <c r="U50" s="56" t="s">
        <v>26</v>
      </c>
      <c r="V50" s="56" t="s">
        <v>26</v>
      </c>
      <c r="W50" s="55">
        <v>69198979.829999998</v>
      </c>
      <c r="X50" s="56">
        <v>1.105889868948E-2</v>
      </c>
      <c r="Y50" s="56" t="s">
        <v>26</v>
      </c>
      <c r="Z50" s="56" t="s">
        <v>26</v>
      </c>
      <c r="AA50" s="55">
        <v>2501333668.98</v>
      </c>
      <c r="AB50" s="56">
        <v>1.7930500482100001E-2</v>
      </c>
      <c r="AC50" s="56" t="s">
        <v>26</v>
      </c>
      <c r="AD50" s="56" t="s">
        <v>26</v>
      </c>
      <c r="AE50" s="55">
        <v>7775975698.1999998</v>
      </c>
      <c r="AF50" s="56">
        <v>1.203109997881E-2</v>
      </c>
      <c r="AG50" s="56" t="s">
        <v>26</v>
      </c>
      <c r="AH50" s="56" t="s">
        <v>26</v>
      </c>
      <c r="AI50" s="55">
        <v>326020140.14999998</v>
      </c>
      <c r="AJ50" s="56">
        <v>1.9085173318570001E-2</v>
      </c>
      <c r="AK50" s="56" t="s">
        <v>26</v>
      </c>
      <c r="AL50" s="56" t="s">
        <v>26</v>
      </c>
      <c r="AM50" s="55">
        <v>219969667.12</v>
      </c>
      <c r="AN50" s="56">
        <v>9.2317952386899993E-3</v>
      </c>
      <c r="AO50" s="56" t="s">
        <v>26</v>
      </c>
      <c r="AP50" s="56" t="s">
        <v>26</v>
      </c>
      <c r="AQ50" s="55">
        <v>545989807.26999998</v>
      </c>
      <c r="AR50" s="56">
        <v>1.334619381409E-2</v>
      </c>
      <c r="AS50" s="56" t="s">
        <v>26</v>
      </c>
      <c r="AT50" s="56" t="s">
        <v>26</v>
      </c>
      <c r="AU50" s="55">
        <v>708908077.39999998</v>
      </c>
      <c r="AV50" s="56">
        <v>1.552579053676E-2</v>
      </c>
      <c r="AW50" s="56" t="s">
        <v>26</v>
      </c>
      <c r="AX50" s="56" t="s">
        <v>26</v>
      </c>
      <c r="AY50" s="55">
        <v>9030873582.8700008</v>
      </c>
      <c r="AZ50" s="56">
        <v>1.232223108916E-2</v>
      </c>
      <c r="BA50" s="56" t="s">
        <v>26</v>
      </c>
      <c r="BB50" s="56" t="s">
        <v>26</v>
      </c>
    </row>
    <row r="51" spans="1:54" s="7" customFormat="1">
      <c r="A51" s="5" t="s">
        <v>55</v>
      </c>
      <c r="B51" s="24" t="s">
        <v>25</v>
      </c>
      <c r="C51" s="10">
        <v>35447494.950000003</v>
      </c>
      <c r="D51" s="11">
        <v>5.5383581860199999E-3</v>
      </c>
      <c r="E51" s="11">
        <v>0.12</v>
      </c>
      <c r="F51" s="11">
        <v>0.1145</v>
      </c>
      <c r="G51" s="10" t="s">
        <v>26</v>
      </c>
      <c r="H51" s="11" t="s">
        <v>26</v>
      </c>
      <c r="I51" s="11" t="s">
        <v>26</v>
      </c>
      <c r="J51" s="11" t="s">
        <v>26</v>
      </c>
      <c r="K51" s="10">
        <v>30383567.100000001</v>
      </c>
      <c r="L51" s="11">
        <v>1.0141454987469999E-2</v>
      </c>
      <c r="M51" s="11">
        <v>0.12</v>
      </c>
      <c r="N51" s="11">
        <v>0.1099</v>
      </c>
      <c r="O51" s="10">
        <v>813266812.71000004</v>
      </c>
      <c r="P51" s="11">
        <v>3.5862864218200001E-3</v>
      </c>
      <c r="Q51" s="11">
        <v>0.12</v>
      </c>
      <c r="R51" s="11">
        <v>0.1164</v>
      </c>
      <c r="S51" s="10">
        <v>303835671</v>
      </c>
      <c r="T51" s="11">
        <v>2.7076224697599998E-3</v>
      </c>
      <c r="U51" s="11">
        <v>0.12</v>
      </c>
      <c r="V51" s="11">
        <v>0.1173</v>
      </c>
      <c r="W51" s="10" t="s">
        <v>26</v>
      </c>
      <c r="X51" s="11" t="s">
        <v>26</v>
      </c>
      <c r="Y51" s="11" t="s">
        <v>26</v>
      </c>
      <c r="Z51" s="11" t="s">
        <v>26</v>
      </c>
      <c r="AA51" s="10">
        <v>891251301.60000002</v>
      </c>
      <c r="AB51" s="11">
        <v>6.3888245263700001E-3</v>
      </c>
      <c r="AC51" s="11">
        <v>0.12</v>
      </c>
      <c r="AD51" s="11">
        <v>0.11360000000000001</v>
      </c>
      <c r="AE51" s="10">
        <v>2074184847.3599999</v>
      </c>
      <c r="AF51" s="11">
        <v>3.2092082385099998E-3</v>
      </c>
      <c r="AG51" s="11">
        <v>0.12</v>
      </c>
      <c r="AH51" s="11">
        <v>0.1168</v>
      </c>
      <c r="AI51" s="10" t="s">
        <v>26</v>
      </c>
      <c r="AJ51" s="11" t="s">
        <v>26</v>
      </c>
      <c r="AK51" s="11" t="s">
        <v>26</v>
      </c>
      <c r="AL51" s="11" t="s">
        <v>26</v>
      </c>
      <c r="AM51" s="10" t="s">
        <v>26</v>
      </c>
      <c r="AN51" s="11" t="s">
        <v>26</v>
      </c>
      <c r="AO51" s="11" t="s">
        <v>26</v>
      </c>
      <c r="AP51" s="11" t="s">
        <v>26</v>
      </c>
      <c r="AQ51" s="10" t="s">
        <v>26</v>
      </c>
      <c r="AR51" s="11" t="s">
        <v>26</v>
      </c>
      <c r="AS51" s="11" t="s">
        <v>26</v>
      </c>
      <c r="AT51" s="11" t="s">
        <v>26</v>
      </c>
      <c r="AU51" s="10">
        <v>202557114</v>
      </c>
      <c r="AV51" s="11">
        <v>4.4362018489399998E-3</v>
      </c>
      <c r="AW51" s="11">
        <v>0.12</v>
      </c>
      <c r="AX51" s="11">
        <v>0.11559999999999999</v>
      </c>
      <c r="AY51" s="10">
        <v>2276741961.3600001</v>
      </c>
      <c r="AZ51" s="11">
        <v>3.10651459361E-3</v>
      </c>
      <c r="BA51" s="11">
        <v>0.12</v>
      </c>
      <c r="BB51" s="11">
        <v>0.1169</v>
      </c>
    </row>
    <row r="52" spans="1:54">
      <c r="A52" s="3" t="s">
        <v>36</v>
      </c>
      <c r="B52" s="36" t="s">
        <v>56</v>
      </c>
      <c r="C52" s="35">
        <v>35447494.950000003</v>
      </c>
      <c r="D52" s="59">
        <v>1</v>
      </c>
      <c r="E52" s="59" t="s">
        <v>26</v>
      </c>
      <c r="F52" s="59" t="s">
        <v>26</v>
      </c>
      <c r="G52" s="35" t="s">
        <v>26</v>
      </c>
      <c r="H52" s="59" t="s">
        <v>26</v>
      </c>
      <c r="I52" s="59" t="s">
        <v>26</v>
      </c>
      <c r="J52" s="59" t="s">
        <v>26</v>
      </c>
      <c r="K52" s="35">
        <v>30383567.100000001</v>
      </c>
      <c r="L52" s="59">
        <v>1</v>
      </c>
      <c r="M52" s="59" t="s">
        <v>26</v>
      </c>
      <c r="N52" s="59" t="s">
        <v>26</v>
      </c>
      <c r="O52" s="35">
        <v>813266812.71000004</v>
      </c>
      <c r="P52" s="59">
        <v>1</v>
      </c>
      <c r="Q52" s="59" t="s">
        <v>26</v>
      </c>
      <c r="R52" s="59" t="s">
        <v>26</v>
      </c>
      <c r="S52" s="35">
        <v>303835671</v>
      </c>
      <c r="T52" s="59">
        <v>1</v>
      </c>
      <c r="U52" s="59" t="s">
        <v>26</v>
      </c>
      <c r="V52" s="59" t="s">
        <v>26</v>
      </c>
      <c r="W52" s="35" t="s">
        <v>26</v>
      </c>
      <c r="X52" s="59" t="s">
        <v>26</v>
      </c>
      <c r="Y52" s="59" t="s">
        <v>26</v>
      </c>
      <c r="Z52" s="59" t="s">
        <v>26</v>
      </c>
      <c r="AA52" s="35">
        <v>891251301.60000002</v>
      </c>
      <c r="AB52" s="59">
        <v>1</v>
      </c>
      <c r="AC52" s="59" t="s">
        <v>26</v>
      </c>
      <c r="AD52" s="59" t="s">
        <v>26</v>
      </c>
      <c r="AE52" s="35">
        <v>2074184847.3599999</v>
      </c>
      <c r="AF52" s="59">
        <v>1</v>
      </c>
      <c r="AG52" s="59" t="s">
        <v>26</v>
      </c>
      <c r="AH52" s="59" t="s">
        <v>26</v>
      </c>
      <c r="AI52" s="35" t="s">
        <v>26</v>
      </c>
      <c r="AJ52" s="59" t="s">
        <v>26</v>
      </c>
      <c r="AK52" s="59" t="s">
        <v>26</v>
      </c>
      <c r="AL52" s="59" t="s">
        <v>26</v>
      </c>
      <c r="AM52" s="35" t="s">
        <v>26</v>
      </c>
      <c r="AN52" s="59" t="s">
        <v>26</v>
      </c>
      <c r="AO52" s="59" t="s">
        <v>26</v>
      </c>
      <c r="AP52" s="59" t="s">
        <v>26</v>
      </c>
      <c r="AQ52" s="35" t="s">
        <v>26</v>
      </c>
      <c r="AR52" s="59" t="s">
        <v>26</v>
      </c>
      <c r="AS52" s="59" t="s">
        <v>26</v>
      </c>
      <c r="AT52" s="59" t="s">
        <v>26</v>
      </c>
      <c r="AU52" s="35">
        <v>202557114</v>
      </c>
      <c r="AV52" s="59">
        <v>1</v>
      </c>
      <c r="AW52" s="59" t="s">
        <v>26</v>
      </c>
      <c r="AX52" s="59" t="s">
        <v>26</v>
      </c>
      <c r="AY52" s="35">
        <v>2276741961.3600001</v>
      </c>
      <c r="AZ52" s="59">
        <v>1</v>
      </c>
      <c r="BA52" s="59" t="s">
        <v>26</v>
      </c>
      <c r="BB52" s="59" t="s">
        <v>26</v>
      </c>
    </row>
    <row r="53" spans="1:54" s="7" customFormat="1">
      <c r="A53" s="5" t="s">
        <v>57</v>
      </c>
      <c r="B53" s="24" t="s">
        <v>25</v>
      </c>
      <c r="C53" s="10">
        <v>33129416.02</v>
      </c>
      <c r="D53" s="11">
        <v>5.1761788152100002E-3</v>
      </c>
      <c r="E53" s="11">
        <v>0.09</v>
      </c>
      <c r="F53" s="11">
        <v>8.48E-2</v>
      </c>
      <c r="G53" s="10" t="s">
        <v>26</v>
      </c>
      <c r="H53" s="11" t="s">
        <v>26</v>
      </c>
      <c r="I53" s="11" t="s">
        <v>26</v>
      </c>
      <c r="J53" s="11" t="s">
        <v>26</v>
      </c>
      <c r="K53" s="10">
        <v>16434404.880000001</v>
      </c>
      <c r="L53" s="11">
        <v>5.4854907848000001E-3</v>
      </c>
      <c r="M53" s="11">
        <v>0.09</v>
      </c>
      <c r="N53" s="11">
        <v>8.4500000000000006E-2</v>
      </c>
      <c r="O53" s="10">
        <v>383366948.25999999</v>
      </c>
      <c r="P53" s="11">
        <v>1.6905444309699999E-3</v>
      </c>
      <c r="Q53" s="11">
        <v>0.09</v>
      </c>
      <c r="R53" s="11">
        <v>8.8300000000000003E-2</v>
      </c>
      <c r="S53" s="10">
        <v>290194022.63</v>
      </c>
      <c r="T53" s="11">
        <v>2.5860553294399999E-3</v>
      </c>
      <c r="U53" s="11">
        <v>0.09</v>
      </c>
      <c r="V53" s="11">
        <v>8.7400000000000005E-2</v>
      </c>
      <c r="W53" s="10" t="s">
        <v>26</v>
      </c>
      <c r="X53" s="11" t="s">
        <v>26</v>
      </c>
      <c r="Y53" s="11" t="s">
        <v>26</v>
      </c>
      <c r="Z53" s="11" t="s">
        <v>26</v>
      </c>
      <c r="AA53" s="10">
        <v>104849781.15000001</v>
      </c>
      <c r="AB53" s="11">
        <v>7.5160266492000001E-4</v>
      </c>
      <c r="AC53" s="11">
        <v>0.09</v>
      </c>
      <c r="AD53" s="11">
        <v>8.9200000000000002E-2</v>
      </c>
      <c r="AE53" s="10">
        <v>827974572.94000006</v>
      </c>
      <c r="AF53" s="11">
        <v>1.2810540121999999E-3</v>
      </c>
      <c r="AG53" s="11">
        <v>0.09</v>
      </c>
      <c r="AH53" s="11">
        <v>8.8700000000000001E-2</v>
      </c>
      <c r="AI53" s="10" t="s">
        <v>26</v>
      </c>
      <c r="AJ53" s="11" t="s">
        <v>26</v>
      </c>
      <c r="AK53" s="11" t="s">
        <v>26</v>
      </c>
      <c r="AL53" s="11" t="s">
        <v>26</v>
      </c>
      <c r="AM53" s="10" t="s">
        <v>26</v>
      </c>
      <c r="AN53" s="11" t="s">
        <v>26</v>
      </c>
      <c r="AO53" s="11" t="s">
        <v>26</v>
      </c>
      <c r="AP53" s="11" t="s">
        <v>26</v>
      </c>
      <c r="AQ53" s="10" t="s">
        <v>26</v>
      </c>
      <c r="AR53" s="11" t="s">
        <v>26</v>
      </c>
      <c r="AS53" s="11" t="s">
        <v>26</v>
      </c>
      <c r="AT53" s="11" t="s">
        <v>26</v>
      </c>
      <c r="AU53" s="10" t="s">
        <v>26</v>
      </c>
      <c r="AV53" s="11" t="s">
        <v>26</v>
      </c>
      <c r="AW53" s="11" t="s">
        <v>26</v>
      </c>
      <c r="AX53" s="11" t="s">
        <v>26</v>
      </c>
      <c r="AY53" s="10">
        <v>827974572.94000006</v>
      </c>
      <c r="AZ53" s="11">
        <v>1.1297350062600001E-3</v>
      </c>
      <c r="BA53" s="11">
        <v>0.09</v>
      </c>
      <c r="BB53" s="11">
        <v>8.8900000000000007E-2</v>
      </c>
    </row>
    <row r="54" spans="1:54">
      <c r="A54" s="3" t="s">
        <v>36</v>
      </c>
      <c r="B54" s="36" t="s">
        <v>46</v>
      </c>
      <c r="C54" s="35">
        <v>33129416.02</v>
      </c>
      <c r="D54" s="59">
        <v>1</v>
      </c>
      <c r="E54" s="59" t="s">
        <v>26</v>
      </c>
      <c r="F54" s="59" t="s">
        <v>26</v>
      </c>
      <c r="G54" s="35" t="s">
        <v>26</v>
      </c>
      <c r="H54" s="59" t="s">
        <v>26</v>
      </c>
      <c r="I54" s="59" t="s">
        <v>26</v>
      </c>
      <c r="J54" s="59" t="s">
        <v>26</v>
      </c>
      <c r="K54" s="35">
        <v>16434404.880000001</v>
      </c>
      <c r="L54" s="59">
        <v>1</v>
      </c>
      <c r="M54" s="59" t="s">
        <v>26</v>
      </c>
      <c r="N54" s="59" t="s">
        <v>26</v>
      </c>
      <c r="O54" s="35">
        <v>383366948.25999999</v>
      </c>
      <c r="P54" s="59">
        <v>1</v>
      </c>
      <c r="Q54" s="59" t="s">
        <v>26</v>
      </c>
      <c r="R54" s="59" t="s">
        <v>26</v>
      </c>
      <c r="S54" s="35">
        <v>290194022.63</v>
      </c>
      <c r="T54" s="59">
        <v>1</v>
      </c>
      <c r="U54" s="59" t="s">
        <v>26</v>
      </c>
      <c r="V54" s="59" t="s">
        <v>26</v>
      </c>
      <c r="W54" s="35" t="s">
        <v>26</v>
      </c>
      <c r="X54" s="59" t="s">
        <v>26</v>
      </c>
      <c r="Y54" s="59" t="s">
        <v>26</v>
      </c>
      <c r="Z54" s="59" t="s">
        <v>26</v>
      </c>
      <c r="AA54" s="35">
        <v>104849781.15000001</v>
      </c>
      <c r="AB54" s="59">
        <v>1</v>
      </c>
      <c r="AC54" s="59" t="s">
        <v>26</v>
      </c>
      <c r="AD54" s="59" t="s">
        <v>26</v>
      </c>
      <c r="AE54" s="35">
        <v>827974572.94000006</v>
      </c>
      <c r="AF54" s="59">
        <v>1</v>
      </c>
      <c r="AG54" s="59" t="s">
        <v>26</v>
      </c>
      <c r="AH54" s="59" t="s">
        <v>26</v>
      </c>
      <c r="AI54" s="35" t="s">
        <v>26</v>
      </c>
      <c r="AJ54" s="59" t="s">
        <v>26</v>
      </c>
      <c r="AK54" s="59" t="s">
        <v>26</v>
      </c>
      <c r="AL54" s="59" t="s">
        <v>26</v>
      </c>
      <c r="AM54" s="35" t="s">
        <v>26</v>
      </c>
      <c r="AN54" s="59" t="s">
        <v>26</v>
      </c>
      <c r="AO54" s="59" t="s">
        <v>26</v>
      </c>
      <c r="AP54" s="59" t="s">
        <v>26</v>
      </c>
      <c r="AQ54" s="35" t="s">
        <v>26</v>
      </c>
      <c r="AR54" s="59" t="s">
        <v>26</v>
      </c>
      <c r="AS54" s="59" t="s">
        <v>26</v>
      </c>
      <c r="AT54" s="59" t="s">
        <v>26</v>
      </c>
      <c r="AU54" s="35" t="s">
        <v>26</v>
      </c>
      <c r="AV54" s="59" t="s">
        <v>26</v>
      </c>
      <c r="AW54" s="59" t="s">
        <v>26</v>
      </c>
      <c r="AX54" s="59" t="s">
        <v>26</v>
      </c>
      <c r="AY54" s="35">
        <v>827974572.94000006</v>
      </c>
      <c r="AZ54" s="59">
        <v>1</v>
      </c>
      <c r="BA54" s="59" t="s">
        <v>26</v>
      </c>
      <c r="BB54" s="59" t="s">
        <v>26</v>
      </c>
    </row>
    <row r="55" spans="1:54" s="7" customFormat="1">
      <c r="A55" s="5" t="s">
        <v>58</v>
      </c>
      <c r="B55" s="24" t="s">
        <v>25</v>
      </c>
      <c r="C55" s="10">
        <v>5008586.25</v>
      </c>
      <c r="D55" s="11">
        <v>7.8254739007999996E-4</v>
      </c>
      <c r="E55" s="11">
        <v>0.12</v>
      </c>
      <c r="F55" s="11">
        <v>0.1192</v>
      </c>
      <c r="G55" s="10" t="s">
        <v>26</v>
      </c>
      <c r="H55" s="11" t="s">
        <v>26</v>
      </c>
      <c r="I55" s="11" t="s">
        <v>26</v>
      </c>
      <c r="J55" s="11" t="s">
        <v>26</v>
      </c>
      <c r="K55" s="10" t="s">
        <v>26</v>
      </c>
      <c r="L55" s="11" t="s">
        <v>26</v>
      </c>
      <c r="M55" s="11" t="s">
        <v>26</v>
      </c>
      <c r="N55" s="11" t="s">
        <v>26</v>
      </c>
      <c r="O55" s="10" t="s">
        <v>26</v>
      </c>
      <c r="P55" s="11" t="s">
        <v>26</v>
      </c>
      <c r="Q55" s="11" t="s">
        <v>26</v>
      </c>
      <c r="R55" s="11" t="s">
        <v>26</v>
      </c>
      <c r="S55" s="10">
        <v>140023535.09</v>
      </c>
      <c r="T55" s="11">
        <v>1.2478155335E-3</v>
      </c>
      <c r="U55" s="11">
        <v>0.12909999999999999</v>
      </c>
      <c r="V55" s="11">
        <v>0.12790000000000001</v>
      </c>
      <c r="W55" s="10" t="s">
        <v>26</v>
      </c>
      <c r="X55" s="11" t="s">
        <v>26</v>
      </c>
      <c r="Y55" s="11" t="s">
        <v>26</v>
      </c>
      <c r="Z55" s="11" t="s">
        <v>26</v>
      </c>
      <c r="AA55" s="10">
        <v>50085862.5</v>
      </c>
      <c r="AB55" s="11">
        <v>3.5903429951999999E-4</v>
      </c>
      <c r="AC55" s="11">
        <v>0.12</v>
      </c>
      <c r="AD55" s="11">
        <v>0.1196</v>
      </c>
      <c r="AE55" s="10">
        <v>195117983.84</v>
      </c>
      <c r="AF55" s="11">
        <v>3.0188931425999998E-4</v>
      </c>
      <c r="AG55" s="11">
        <v>0.1265</v>
      </c>
      <c r="AH55" s="11">
        <v>0.12620000000000001</v>
      </c>
      <c r="AI55" s="10" t="s">
        <v>26</v>
      </c>
      <c r="AJ55" s="11" t="s">
        <v>26</v>
      </c>
      <c r="AK55" s="11" t="s">
        <v>26</v>
      </c>
      <c r="AL55" s="11" t="s">
        <v>26</v>
      </c>
      <c r="AM55" s="10" t="s">
        <v>26</v>
      </c>
      <c r="AN55" s="11" t="s">
        <v>26</v>
      </c>
      <c r="AO55" s="11" t="s">
        <v>26</v>
      </c>
      <c r="AP55" s="11" t="s">
        <v>26</v>
      </c>
      <c r="AQ55" s="10" t="s">
        <v>26</v>
      </c>
      <c r="AR55" s="11" t="s">
        <v>26</v>
      </c>
      <c r="AS55" s="11" t="s">
        <v>26</v>
      </c>
      <c r="AT55" s="11" t="s">
        <v>26</v>
      </c>
      <c r="AU55" s="10" t="s">
        <v>26</v>
      </c>
      <c r="AV55" s="11" t="s">
        <v>26</v>
      </c>
      <c r="AW55" s="11" t="s">
        <v>26</v>
      </c>
      <c r="AX55" s="11" t="s">
        <v>26</v>
      </c>
      <c r="AY55" s="10">
        <v>195117983.84</v>
      </c>
      <c r="AZ55" s="11">
        <v>2.6622993495E-4</v>
      </c>
      <c r="BA55" s="11">
        <v>0.1265</v>
      </c>
      <c r="BB55" s="11">
        <v>0.12620000000000001</v>
      </c>
    </row>
    <row r="56" spans="1:54">
      <c r="A56" s="3" t="s">
        <v>36</v>
      </c>
      <c r="B56" s="36" t="s">
        <v>56</v>
      </c>
      <c r="C56" s="35">
        <v>5008586.25</v>
      </c>
      <c r="D56" s="59">
        <v>1</v>
      </c>
      <c r="E56" s="59" t="s">
        <v>26</v>
      </c>
      <c r="F56" s="59" t="s">
        <v>26</v>
      </c>
      <c r="G56" s="35" t="s">
        <v>26</v>
      </c>
      <c r="H56" s="59" t="s">
        <v>26</v>
      </c>
      <c r="I56" s="59" t="s">
        <v>26</v>
      </c>
      <c r="J56" s="59" t="s">
        <v>26</v>
      </c>
      <c r="K56" s="35" t="s">
        <v>26</v>
      </c>
      <c r="L56" s="59" t="s">
        <v>26</v>
      </c>
      <c r="M56" s="59" t="s">
        <v>26</v>
      </c>
      <c r="N56" s="59" t="s">
        <v>26</v>
      </c>
      <c r="O56" s="35" t="s">
        <v>26</v>
      </c>
      <c r="P56" s="59" t="s">
        <v>26</v>
      </c>
      <c r="Q56" s="59" t="s">
        <v>26</v>
      </c>
      <c r="R56" s="59" t="s">
        <v>26</v>
      </c>
      <c r="S56" s="35">
        <v>55094448.75</v>
      </c>
      <c r="T56" s="59">
        <v>0.39346563214954</v>
      </c>
      <c r="U56" s="59" t="s">
        <v>26</v>
      </c>
      <c r="V56" s="59" t="s">
        <v>26</v>
      </c>
      <c r="W56" s="35" t="s">
        <v>26</v>
      </c>
      <c r="X56" s="59" t="s">
        <v>26</v>
      </c>
      <c r="Y56" s="59" t="s">
        <v>26</v>
      </c>
      <c r="Z56" s="59" t="s">
        <v>26</v>
      </c>
      <c r="AA56" s="35">
        <v>50085862.5</v>
      </c>
      <c r="AB56" s="59">
        <v>1</v>
      </c>
      <c r="AC56" s="59" t="s">
        <v>26</v>
      </c>
      <c r="AD56" s="59" t="s">
        <v>26</v>
      </c>
      <c r="AE56" s="35">
        <v>110188897.5</v>
      </c>
      <c r="AF56" s="59">
        <v>0.56472958223243996</v>
      </c>
      <c r="AG56" s="59" t="s">
        <v>26</v>
      </c>
      <c r="AH56" s="59" t="s">
        <v>26</v>
      </c>
      <c r="AI56" s="35" t="s">
        <v>26</v>
      </c>
      <c r="AJ56" s="59" t="s">
        <v>26</v>
      </c>
      <c r="AK56" s="59" t="s">
        <v>26</v>
      </c>
      <c r="AL56" s="59" t="s">
        <v>26</v>
      </c>
      <c r="AM56" s="35" t="s">
        <v>26</v>
      </c>
      <c r="AN56" s="59" t="s">
        <v>26</v>
      </c>
      <c r="AO56" s="59" t="s">
        <v>26</v>
      </c>
      <c r="AP56" s="59" t="s">
        <v>26</v>
      </c>
      <c r="AQ56" s="35" t="s">
        <v>26</v>
      </c>
      <c r="AR56" s="59" t="s">
        <v>26</v>
      </c>
      <c r="AS56" s="59" t="s">
        <v>26</v>
      </c>
      <c r="AT56" s="59" t="s">
        <v>26</v>
      </c>
      <c r="AU56" s="35" t="s">
        <v>26</v>
      </c>
      <c r="AV56" s="59" t="s">
        <v>26</v>
      </c>
      <c r="AW56" s="59" t="s">
        <v>26</v>
      </c>
      <c r="AX56" s="59" t="s">
        <v>26</v>
      </c>
      <c r="AY56" s="35">
        <v>110188897.5</v>
      </c>
      <c r="AZ56" s="59">
        <v>0.56472958223243996</v>
      </c>
      <c r="BA56" s="59" t="s">
        <v>26</v>
      </c>
      <c r="BB56" s="59" t="s">
        <v>26</v>
      </c>
    </row>
    <row r="57" spans="1:54">
      <c r="A57" s="3" t="s">
        <v>38</v>
      </c>
      <c r="B57" s="36" t="s">
        <v>43</v>
      </c>
      <c r="C57" s="35" t="s">
        <v>26</v>
      </c>
      <c r="D57" s="59" t="s">
        <v>26</v>
      </c>
      <c r="E57" s="59" t="s">
        <v>26</v>
      </c>
      <c r="F57" s="59" t="s">
        <v>26</v>
      </c>
      <c r="G57" s="35" t="s">
        <v>26</v>
      </c>
      <c r="H57" s="59" t="s">
        <v>26</v>
      </c>
      <c r="I57" s="59" t="s">
        <v>26</v>
      </c>
      <c r="J57" s="59" t="s">
        <v>26</v>
      </c>
      <c r="K57" s="35" t="s">
        <v>26</v>
      </c>
      <c r="L57" s="59" t="s">
        <v>26</v>
      </c>
      <c r="M57" s="59" t="s">
        <v>26</v>
      </c>
      <c r="N57" s="59" t="s">
        <v>26</v>
      </c>
      <c r="O57" s="35" t="s">
        <v>26</v>
      </c>
      <c r="P57" s="59" t="s">
        <v>26</v>
      </c>
      <c r="Q57" s="59" t="s">
        <v>26</v>
      </c>
      <c r="R57" s="59" t="s">
        <v>26</v>
      </c>
      <c r="S57" s="35">
        <v>84929086.340000004</v>
      </c>
      <c r="T57" s="59">
        <v>0.60653436785046</v>
      </c>
      <c r="U57" s="59" t="s">
        <v>26</v>
      </c>
      <c r="V57" s="59" t="s">
        <v>26</v>
      </c>
      <c r="W57" s="35" t="s">
        <v>26</v>
      </c>
      <c r="X57" s="59" t="s">
        <v>26</v>
      </c>
      <c r="Y57" s="59" t="s">
        <v>26</v>
      </c>
      <c r="Z57" s="59" t="s">
        <v>26</v>
      </c>
      <c r="AA57" s="35" t="s">
        <v>26</v>
      </c>
      <c r="AB57" s="59" t="s">
        <v>26</v>
      </c>
      <c r="AC57" s="59" t="s">
        <v>26</v>
      </c>
      <c r="AD57" s="59" t="s">
        <v>26</v>
      </c>
      <c r="AE57" s="35">
        <v>84929086.340000004</v>
      </c>
      <c r="AF57" s="59">
        <v>0.43527041776755998</v>
      </c>
      <c r="AG57" s="59" t="s">
        <v>26</v>
      </c>
      <c r="AH57" s="59" t="s">
        <v>26</v>
      </c>
      <c r="AI57" s="35" t="s">
        <v>26</v>
      </c>
      <c r="AJ57" s="59" t="s">
        <v>26</v>
      </c>
      <c r="AK57" s="59" t="s">
        <v>26</v>
      </c>
      <c r="AL57" s="59" t="s">
        <v>26</v>
      </c>
      <c r="AM57" s="35" t="s">
        <v>26</v>
      </c>
      <c r="AN57" s="59" t="s">
        <v>26</v>
      </c>
      <c r="AO57" s="59" t="s">
        <v>26</v>
      </c>
      <c r="AP57" s="59" t="s">
        <v>26</v>
      </c>
      <c r="AQ57" s="35" t="s">
        <v>26</v>
      </c>
      <c r="AR57" s="59" t="s">
        <v>26</v>
      </c>
      <c r="AS57" s="59" t="s">
        <v>26</v>
      </c>
      <c r="AT57" s="59" t="s">
        <v>26</v>
      </c>
      <c r="AU57" s="35" t="s">
        <v>26</v>
      </c>
      <c r="AV57" s="59" t="s">
        <v>26</v>
      </c>
      <c r="AW57" s="59" t="s">
        <v>26</v>
      </c>
      <c r="AX57" s="59" t="s">
        <v>26</v>
      </c>
      <c r="AY57" s="35">
        <v>84929086.340000004</v>
      </c>
      <c r="AZ57" s="59">
        <v>0.43527041776755998</v>
      </c>
      <c r="BA57" s="59" t="s">
        <v>26</v>
      </c>
      <c r="BB57" s="59" t="s">
        <v>26</v>
      </c>
    </row>
    <row r="58" spans="1:54" s="7" customFormat="1">
      <c r="A58" s="5" t="s">
        <v>59</v>
      </c>
      <c r="B58" s="24" t="s">
        <v>25</v>
      </c>
      <c r="C58" s="10" t="s">
        <v>26</v>
      </c>
      <c r="D58" s="11" t="s">
        <v>26</v>
      </c>
      <c r="E58" s="11" t="s">
        <v>26</v>
      </c>
      <c r="F58" s="11" t="s">
        <v>26</v>
      </c>
      <c r="G58" s="10">
        <v>308375901</v>
      </c>
      <c r="H58" s="11">
        <v>2.0263700208700002E-3</v>
      </c>
      <c r="I58" s="11">
        <v>0.12</v>
      </c>
      <c r="J58" s="11">
        <v>0.11799999999999999</v>
      </c>
      <c r="K58" s="10">
        <v>50754422.5</v>
      </c>
      <c r="L58" s="11">
        <v>1.6940857849410001E-2</v>
      </c>
      <c r="M58" s="11">
        <v>0.12</v>
      </c>
      <c r="N58" s="11">
        <v>0.1031</v>
      </c>
      <c r="O58" s="10">
        <v>2247074504</v>
      </c>
      <c r="P58" s="11">
        <v>9.9089900836699992E-3</v>
      </c>
      <c r="Q58" s="11">
        <v>0.12</v>
      </c>
      <c r="R58" s="11">
        <v>0.1101</v>
      </c>
      <c r="S58" s="10">
        <v>548147763</v>
      </c>
      <c r="T58" s="11">
        <v>4.8848023504299998E-3</v>
      </c>
      <c r="U58" s="11">
        <v>0.12</v>
      </c>
      <c r="V58" s="11">
        <v>0.11509999999999999</v>
      </c>
      <c r="W58" s="10">
        <v>69198979.829999998</v>
      </c>
      <c r="X58" s="11">
        <v>1.105889868948E-2</v>
      </c>
      <c r="Y58" s="11">
        <v>0.1295</v>
      </c>
      <c r="Z58" s="11">
        <v>0.11840000000000001</v>
      </c>
      <c r="AA58" s="10">
        <v>1455146723.73</v>
      </c>
      <c r="AB58" s="11">
        <v>1.043103899129E-2</v>
      </c>
      <c r="AC58" s="11">
        <v>0.12</v>
      </c>
      <c r="AD58" s="11">
        <v>0.1096</v>
      </c>
      <c r="AE58" s="10">
        <v>4678698294.0600004</v>
      </c>
      <c r="AF58" s="11">
        <v>7.2389484138399999E-3</v>
      </c>
      <c r="AG58" s="11">
        <v>0.1201</v>
      </c>
      <c r="AH58" s="11">
        <v>0.1129</v>
      </c>
      <c r="AI58" s="10">
        <v>326020140.14999998</v>
      </c>
      <c r="AJ58" s="11">
        <v>1.9085173318570001E-2</v>
      </c>
      <c r="AK58" s="11">
        <v>0.1313</v>
      </c>
      <c r="AL58" s="11">
        <v>0.11219999999999999</v>
      </c>
      <c r="AM58" s="10">
        <v>219969667.12</v>
      </c>
      <c r="AN58" s="11">
        <v>9.2317952386899993E-3</v>
      </c>
      <c r="AO58" s="11">
        <v>0.12</v>
      </c>
      <c r="AP58" s="11">
        <v>0.1108</v>
      </c>
      <c r="AQ58" s="10">
        <v>545989807.26999998</v>
      </c>
      <c r="AR58" s="11">
        <v>1.334619381409E-2</v>
      </c>
      <c r="AS58" s="11">
        <v>0.1268</v>
      </c>
      <c r="AT58" s="11">
        <v>0.1135</v>
      </c>
      <c r="AU58" s="10">
        <v>506350963.39999998</v>
      </c>
      <c r="AV58" s="11">
        <v>1.1089588687810001E-2</v>
      </c>
      <c r="AW58" s="11">
        <v>0.13200000000000001</v>
      </c>
      <c r="AX58" s="11">
        <v>0.12089999999999999</v>
      </c>
      <c r="AY58" s="10">
        <v>5731039064.7299995</v>
      </c>
      <c r="AZ58" s="11">
        <v>7.8197515543300001E-3</v>
      </c>
      <c r="BA58" s="11">
        <v>0.12180000000000001</v>
      </c>
      <c r="BB58" s="11">
        <v>0.114</v>
      </c>
    </row>
    <row r="59" spans="1:54">
      <c r="A59" s="3" t="s">
        <v>36</v>
      </c>
      <c r="B59" s="36" t="s">
        <v>56</v>
      </c>
      <c r="C59" s="35" t="s">
        <v>26</v>
      </c>
      <c r="D59" s="59" t="s">
        <v>26</v>
      </c>
      <c r="E59" s="59" t="s">
        <v>26</v>
      </c>
      <c r="F59" s="59" t="s">
        <v>26</v>
      </c>
      <c r="G59" s="35">
        <v>308375901</v>
      </c>
      <c r="H59" s="59">
        <v>1</v>
      </c>
      <c r="I59" s="59" t="s">
        <v>26</v>
      </c>
      <c r="J59" s="59" t="s">
        <v>26</v>
      </c>
      <c r="K59" s="35">
        <v>50754422.5</v>
      </c>
      <c r="L59" s="59">
        <v>1</v>
      </c>
      <c r="M59" s="59" t="s">
        <v>26</v>
      </c>
      <c r="N59" s="59" t="s">
        <v>26</v>
      </c>
      <c r="O59" s="35">
        <v>2247074504</v>
      </c>
      <c r="P59" s="59">
        <v>1</v>
      </c>
      <c r="Q59" s="59" t="s">
        <v>26</v>
      </c>
      <c r="R59" s="59" t="s">
        <v>26</v>
      </c>
      <c r="S59" s="35">
        <v>548147763</v>
      </c>
      <c r="T59" s="59">
        <v>1</v>
      </c>
      <c r="U59" s="59" t="s">
        <v>26</v>
      </c>
      <c r="V59" s="59" t="s">
        <v>26</v>
      </c>
      <c r="W59" s="35">
        <v>47310382.700000003</v>
      </c>
      <c r="X59" s="59">
        <v>0.68368612971211995</v>
      </c>
      <c r="Y59" s="59" t="s">
        <v>26</v>
      </c>
      <c r="Z59" s="59" t="s">
        <v>26</v>
      </c>
      <c r="AA59" s="35">
        <v>1455146723.73</v>
      </c>
      <c r="AB59" s="59">
        <v>1</v>
      </c>
      <c r="AC59" s="59" t="s">
        <v>26</v>
      </c>
      <c r="AD59" s="59" t="s">
        <v>26</v>
      </c>
      <c r="AE59" s="35">
        <v>4656809696.9300003</v>
      </c>
      <c r="AF59" s="59">
        <v>0.99532164808365997</v>
      </c>
      <c r="AG59" s="59" t="s">
        <v>26</v>
      </c>
      <c r="AH59" s="59" t="s">
        <v>26</v>
      </c>
      <c r="AI59" s="35">
        <v>203017690</v>
      </c>
      <c r="AJ59" s="59">
        <v>0.62271517921130004</v>
      </c>
      <c r="AK59" s="59" t="s">
        <v>26</v>
      </c>
      <c r="AL59" s="59" t="s">
        <v>26</v>
      </c>
      <c r="AM59" s="35">
        <v>219969667.12</v>
      </c>
      <c r="AN59" s="59">
        <v>1</v>
      </c>
      <c r="AO59" s="59" t="s">
        <v>26</v>
      </c>
      <c r="AP59" s="59" t="s">
        <v>26</v>
      </c>
      <c r="AQ59" s="35">
        <v>422987357.12</v>
      </c>
      <c r="AR59" s="59">
        <v>0.77471658167937996</v>
      </c>
      <c r="AS59" s="59" t="s">
        <v>26</v>
      </c>
      <c r="AT59" s="59" t="s">
        <v>26</v>
      </c>
      <c r="AU59" s="35">
        <v>304526535</v>
      </c>
      <c r="AV59" s="59">
        <v>0.60141395398005004</v>
      </c>
      <c r="AW59" s="59" t="s">
        <v>26</v>
      </c>
      <c r="AX59" s="59" t="s">
        <v>26</v>
      </c>
      <c r="AY59" s="35">
        <v>5384323589.0500002</v>
      </c>
      <c r="AZ59" s="59">
        <v>0.93950216151662003</v>
      </c>
      <c r="BA59" s="59" t="s">
        <v>26</v>
      </c>
      <c r="BB59" s="59" t="s">
        <v>26</v>
      </c>
    </row>
    <row r="60" spans="1:54">
      <c r="A60" s="3" t="s">
        <v>38</v>
      </c>
      <c r="B60" s="36" t="s">
        <v>39</v>
      </c>
      <c r="C60" s="35" t="s">
        <v>26</v>
      </c>
      <c r="D60" s="59" t="s">
        <v>26</v>
      </c>
      <c r="E60" s="59" t="s">
        <v>26</v>
      </c>
      <c r="F60" s="59" t="s">
        <v>26</v>
      </c>
      <c r="G60" s="35" t="s">
        <v>26</v>
      </c>
      <c r="H60" s="59" t="s">
        <v>26</v>
      </c>
      <c r="I60" s="59" t="s">
        <v>26</v>
      </c>
      <c r="J60" s="59" t="s">
        <v>26</v>
      </c>
      <c r="K60" s="35" t="s">
        <v>26</v>
      </c>
      <c r="L60" s="59" t="s">
        <v>26</v>
      </c>
      <c r="M60" s="59" t="s">
        <v>26</v>
      </c>
      <c r="N60" s="59" t="s">
        <v>26</v>
      </c>
      <c r="O60" s="35" t="s">
        <v>26</v>
      </c>
      <c r="P60" s="59" t="s">
        <v>26</v>
      </c>
      <c r="Q60" s="59" t="s">
        <v>26</v>
      </c>
      <c r="R60" s="59" t="s">
        <v>26</v>
      </c>
      <c r="S60" s="35" t="s">
        <v>26</v>
      </c>
      <c r="T60" s="59" t="s">
        <v>26</v>
      </c>
      <c r="U60" s="59" t="s">
        <v>26</v>
      </c>
      <c r="V60" s="59" t="s">
        <v>26</v>
      </c>
      <c r="W60" s="35">
        <v>21888597.129999999</v>
      </c>
      <c r="X60" s="59">
        <v>0.31631387028787999</v>
      </c>
      <c r="Y60" s="59" t="s">
        <v>26</v>
      </c>
      <c r="Z60" s="59" t="s">
        <v>26</v>
      </c>
      <c r="AA60" s="35" t="s">
        <v>26</v>
      </c>
      <c r="AB60" s="59" t="s">
        <v>26</v>
      </c>
      <c r="AC60" s="59" t="s">
        <v>26</v>
      </c>
      <c r="AD60" s="59" t="s">
        <v>26</v>
      </c>
      <c r="AE60" s="35">
        <v>21888597.129999999</v>
      </c>
      <c r="AF60" s="59">
        <v>4.6783519163400003E-3</v>
      </c>
      <c r="AG60" s="59" t="s">
        <v>26</v>
      </c>
      <c r="AH60" s="59" t="s">
        <v>26</v>
      </c>
      <c r="AI60" s="35">
        <v>123002450.15000001</v>
      </c>
      <c r="AJ60" s="59">
        <v>0.37728482078870001</v>
      </c>
      <c r="AK60" s="59" t="s">
        <v>26</v>
      </c>
      <c r="AL60" s="59" t="s">
        <v>26</v>
      </c>
      <c r="AM60" s="35" t="s">
        <v>26</v>
      </c>
      <c r="AN60" s="59" t="s">
        <v>26</v>
      </c>
      <c r="AO60" s="59" t="s">
        <v>26</v>
      </c>
      <c r="AP60" s="59" t="s">
        <v>26</v>
      </c>
      <c r="AQ60" s="35">
        <v>123002450.15000001</v>
      </c>
      <c r="AR60" s="59">
        <v>0.22528341832061999</v>
      </c>
      <c r="AS60" s="59" t="s">
        <v>26</v>
      </c>
      <c r="AT60" s="59" t="s">
        <v>26</v>
      </c>
      <c r="AU60" s="35">
        <v>201824428.40000001</v>
      </c>
      <c r="AV60" s="59">
        <v>0.39858604601995001</v>
      </c>
      <c r="AW60" s="59" t="s">
        <v>26</v>
      </c>
      <c r="AX60" s="59" t="s">
        <v>26</v>
      </c>
      <c r="AY60" s="35">
        <v>346715475.68000001</v>
      </c>
      <c r="AZ60" s="59">
        <v>6.0497838483380001E-2</v>
      </c>
      <c r="BA60" s="59" t="s">
        <v>26</v>
      </c>
      <c r="BB60" s="59" t="s">
        <v>26</v>
      </c>
    </row>
    <row r="61" spans="1:54">
      <c r="A61" s="13" t="s">
        <v>60</v>
      </c>
      <c r="B61" s="25" t="s">
        <v>25</v>
      </c>
      <c r="C61" s="55">
        <v>52230747.880000003</v>
      </c>
      <c r="D61" s="56">
        <v>8.1605933082400002E-3</v>
      </c>
      <c r="E61" s="56" t="s">
        <v>26</v>
      </c>
      <c r="F61" s="56" t="s">
        <v>26</v>
      </c>
      <c r="G61" s="55" t="s">
        <v>26</v>
      </c>
      <c r="H61" s="56" t="s">
        <v>26</v>
      </c>
      <c r="I61" s="56" t="s">
        <v>26</v>
      </c>
      <c r="J61" s="56" t="s">
        <v>26</v>
      </c>
      <c r="K61" s="55">
        <v>48959923.600000001</v>
      </c>
      <c r="L61" s="56">
        <v>1.6341888355160001E-2</v>
      </c>
      <c r="M61" s="56" t="s">
        <v>26</v>
      </c>
      <c r="N61" s="56" t="s">
        <v>26</v>
      </c>
      <c r="O61" s="55">
        <v>72784844.810000002</v>
      </c>
      <c r="P61" s="56">
        <v>3.2096145641E-4</v>
      </c>
      <c r="Q61" s="56" t="s">
        <v>26</v>
      </c>
      <c r="R61" s="56" t="s">
        <v>26</v>
      </c>
      <c r="S61" s="55" t="s">
        <v>26</v>
      </c>
      <c r="T61" s="56" t="s">
        <v>26</v>
      </c>
      <c r="U61" s="56" t="s">
        <v>26</v>
      </c>
      <c r="V61" s="56" t="s">
        <v>26</v>
      </c>
      <c r="W61" s="55" t="s">
        <v>26</v>
      </c>
      <c r="X61" s="56" t="s">
        <v>26</v>
      </c>
      <c r="Y61" s="56" t="s">
        <v>26</v>
      </c>
      <c r="Z61" s="56" t="s">
        <v>26</v>
      </c>
      <c r="AA61" s="55">
        <v>127686737.53</v>
      </c>
      <c r="AB61" s="56">
        <v>9.1530655715000003E-4</v>
      </c>
      <c r="AC61" s="56" t="s">
        <v>26</v>
      </c>
      <c r="AD61" s="56" t="s">
        <v>26</v>
      </c>
      <c r="AE61" s="55">
        <v>301662253.81999999</v>
      </c>
      <c r="AF61" s="56">
        <v>4.6673612115000001E-4</v>
      </c>
      <c r="AG61" s="56" t="s">
        <v>26</v>
      </c>
      <c r="AH61" s="56" t="s">
        <v>26</v>
      </c>
      <c r="AI61" s="55" t="s">
        <v>26</v>
      </c>
      <c r="AJ61" s="56" t="s">
        <v>26</v>
      </c>
      <c r="AK61" s="56" t="s">
        <v>26</v>
      </c>
      <c r="AL61" s="56" t="s">
        <v>26</v>
      </c>
      <c r="AM61" s="55" t="s">
        <v>26</v>
      </c>
      <c r="AN61" s="56" t="s">
        <v>26</v>
      </c>
      <c r="AO61" s="56" t="s">
        <v>26</v>
      </c>
      <c r="AP61" s="56" t="s">
        <v>26</v>
      </c>
      <c r="AQ61" s="55" t="s">
        <v>26</v>
      </c>
      <c r="AR61" s="56" t="s">
        <v>26</v>
      </c>
      <c r="AS61" s="56" t="s">
        <v>26</v>
      </c>
      <c r="AT61" s="56" t="s">
        <v>26</v>
      </c>
      <c r="AU61" s="55">
        <v>62908651.909999996</v>
      </c>
      <c r="AV61" s="56">
        <v>1.3777619181399999E-3</v>
      </c>
      <c r="AW61" s="56" t="s">
        <v>26</v>
      </c>
      <c r="AX61" s="56" t="s">
        <v>26</v>
      </c>
      <c r="AY61" s="55">
        <v>364570905.73000002</v>
      </c>
      <c r="AZ61" s="56">
        <v>4.9744101802999996E-4</v>
      </c>
      <c r="BA61" s="56" t="s">
        <v>26</v>
      </c>
      <c r="BB61" s="56" t="s">
        <v>26</v>
      </c>
    </row>
    <row r="62" spans="1:54" s="7" customFormat="1">
      <c r="A62" s="5" t="s">
        <v>61</v>
      </c>
      <c r="B62" s="24" t="s">
        <v>25</v>
      </c>
      <c r="C62" s="10">
        <v>30151297.300000001</v>
      </c>
      <c r="D62" s="11">
        <v>4.7108740534699996E-3</v>
      </c>
      <c r="E62" s="11">
        <v>0.09</v>
      </c>
      <c r="F62" s="11">
        <v>8.5300000000000001E-2</v>
      </c>
      <c r="G62" s="10" t="s">
        <v>26</v>
      </c>
      <c r="H62" s="11" t="s">
        <v>26</v>
      </c>
      <c r="I62" s="11" t="s">
        <v>26</v>
      </c>
      <c r="J62" s="11" t="s">
        <v>26</v>
      </c>
      <c r="K62" s="10" t="s">
        <v>26</v>
      </c>
      <c r="L62" s="11" t="s">
        <v>26</v>
      </c>
      <c r="M62" s="11" t="s">
        <v>26</v>
      </c>
      <c r="N62" s="11" t="s">
        <v>26</v>
      </c>
      <c r="O62" s="10" t="s">
        <v>26</v>
      </c>
      <c r="P62" s="11" t="s">
        <v>26</v>
      </c>
      <c r="Q62" s="11" t="s">
        <v>26</v>
      </c>
      <c r="R62" s="11" t="s">
        <v>26</v>
      </c>
      <c r="S62" s="10" t="s">
        <v>26</v>
      </c>
      <c r="T62" s="11" t="s">
        <v>26</v>
      </c>
      <c r="U62" s="11" t="s">
        <v>26</v>
      </c>
      <c r="V62" s="11" t="s">
        <v>26</v>
      </c>
      <c r="W62" s="10" t="s">
        <v>26</v>
      </c>
      <c r="X62" s="11" t="s">
        <v>26</v>
      </c>
      <c r="Y62" s="11" t="s">
        <v>26</v>
      </c>
      <c r="Z62" s="11" t="s">
        <v>26</v>
      </c>
      <c r="AA62" s="10" t="s">
        <v>26</v>
      </c>
      <c r="AB62" s="11" t="s">
        <v>26</v>
      </c>
      <c r="AC62" s="11" t="s">
        <v>26</v>
      </c>
      <c r="AD62" s="11" t="s">
        <v>26</v>
      </c>
      <c r="AE62" s="10">
        <v>30151297.300000001</v>
      </c>
      <c r="AF62" s="11">
        <v>4.6650515169999998E-5</v>
      </c>
      <c r="AG62" s="11">
        <v>0.09</v>
      </c>
      <c r="AH62" s="11">
        <v>0.09</v>
      </c>
      <c r="AI62" s="10" t="s">
        <v>26</v>
      </c>
      <c r="AJ62" s="11" t="s">
        <v>26</v>
      </c>
      <c r="AK62" s="11" t="s">
        <v>26</v>
      </c>
      <c r="AL62" s="11" t="s">
        <v>26</v>
      </c>
      <c r="AM62" s="10" t="s">
        <v>26</v>
      </c>
      <c r="AN62" s="11" t="s">
        <v>26</v>
      </c>
      <c r="AO62" s="11" t="s">
        <v>26</v>
      </c>
      <c r="AP62" s="11" t="s">
        <v>26</v>
      </c>
      <c r="AQ62" s="10" t="s">
        <v>26</v>
      </c>
      <c r="AR62" s="11" t="s">
        <v>26</v>
      </c>
      <c r="AS62" s="11" t="s">
        <v>26</v>
      </c>
      <c r="AT62" s="11" t="s">
        <v>26</v>
      </c>
      <c r="AU62" s="10" t="s">
        <v>26</v>
      </c>
      <c r="AV62" s="11" t="s">
        <v>26</v>
      </c>
      <c r="AW62" s="11" t="s">
        <v>26</v>
      </c>
      <c r="AX62" s="11" t="s">
        <v>26</v>
      </c>
      <c r="AY62" s="10">
        <v>30151297.300000001</v>
      </c>
      <c r="AZ62" s="11">
        <v>4.1140123330000003E-5</v>
      </c>
      <c r="BA62" s="11">
        <v>0.09</v>
      </c>
      <c r="BB62" s="11">
        <v>0.09</v>
      </c>
    </row>
    <row r="63" spans="1:54">
      <c r="A63" s="3" t="s">
        <v>36</v>
      </c>
      <c r="B63" s="36" t="s">
        <v>46</v>
      </c>
      <c r="C63" s="35">
        <v>30151297.300000001</v>
      </c>
      <c r="D63" s="59">
        <v>1</v>
      </c>
      <c r="E63" s="59" t="s">
        <v>26</v>
      </c>
      <c r="F63" s="59" t="s">
        <v>26</v>
      </c>
      <c r="G63" s="35" t="s">
        <v>26</v>
      </c>
      <c r="H63" s="59" t="s">
        <v>26</v>
      </c>
      <c r="I63" s="59" t="s">
        <v>26</v>
      </c>
      <c r="J63" s="59" t="s">
        <v>26</v>
      </c>
      <c r="K63" s="35" t="s">
        <v>26</v>
      </c>
      <c r="L63" s="59" t="s">
        <v>26</v>
      </c>
      <c r="M63" s="59" t="s">
        <v>26</v>
      </c>
      <c r="N63" s="59" t="s">
        <v>26</v>
      </c>
      <c r="O63" s="35" t="s">
        <v>26</v>
      </c>
      <c r="P63" s="59" t="s">
        <v>26</v>
      </c>
      <c r="Q63" s="59" t="s">
        <v>26</v>
      </c>
      <c r="R63" s="59" t="s">
        <v>26</v>
      </c>
      <c r="S63" s="35" t="s">
        <v>26</v>
      </c>
      <c r="T63" s="59" t="s">
        <v>26</v>
      </c>
      <c r="U63" s="59" t="s">
        <v>26</v>
      </c>
      <c r="V63" s="59" t="s">
        <v>26</v>
      </c>
      <c r="W63" s="35" t="s">
        <v>26</v>
      </c>
      <c r="X63" s="59" t="s">
        <v>26</v>
      </c>
      <c r="Y63" s="59" t="s">
        <v>26</v>
      </c>
      <c r="Z63" s="59" t="s">
        <v>26</v>
      </c>
      <c r="AA63" s="35" t="s">
        <v>26</v>
      </c>
      <c r="AB63" s="59" t="s">
        <v>26</v>
      </c>
      <c r="AC63" s="59" t="s">
        <v>26</v>
      </c>
      <c r="AD63" s="59" t="s">
        <v>26</v>
      </c>
      <c r="AE63" s="35">
        <v>30151297.300000001</v>
      </c>
      <c r="AF63" s="59">
        <v>1</v>
      </c>
      <c r="AG63" s="59" t="s">
        <v>26</v>
      </c>
      <c r="AH63" s="59" t="s">
        <v>26</v>
      </c>
      <c r="AI63" s="35" t="s">
        <v>26</v>
      </c>
      <c r="AJ63" s="59" t="s">
        <v>26</v>
      </c>
      <c r="AK63" s="59" t="s">
        <v>26</v>
      </c>
      <c r="AL63" s="59" t="s">
        <v>26</v>
      </c>
      <c r="AM63" s="35" t="s">
        <v>26</v>
      </c>
      <c r="AN63" s="59" t="s">
        <v>26</v>
      </c>
      <c r="AO63" s="59" t="s">
        <v>26</v>
      </c>
      <c r="AP63" s="59" t="s">
        <v>26</v>
      </c>
      <c r="AQ63" s="35" t="s">
        <v>26</v>
      </c>
      <c r="AR63" s="59" t="s">
        <v>26</v>
      </c>
      <c r="AS63" s="59" t="s">
        <v>26</v>
      </c>
      <c r="AT63" s="59" t="s">
        <v>26</v>
      </c>
      <c r="AU63" s="35" t="s">
        <v>26</v>
      </c>
      <c r="AV63" s="59" t="s">
        <v>26</v>
      </c>
      <c r="AW63" s="59" t="s">
        <v>26</v>
      </c>
      <c r="AX63" s="59" t="s">
        <v>26</v>
      </c>
      <c r="AY63" s="35">
        <v>30151297.300000001</v>
      </c>
      <c r="AZ63" s="59">
        <v>1</v>
      </c>
      <c r="BA63" s="59" t="s">
        <v>26</v>
      </c>
      <c r="BB63" s="59" t="s">
        <v>26</v>
      </c>
    </row>
    <row r="64" spans="1:54" s="7" customFormat="1">
      <c r="A64" s="5" t="s">
        <v>62</v>
      </c>
      <c r="B64" s="24" t="s">
        <v>25</v>
      </c>
      <c r="C64" s="10" t="s">
        <v>26</v>
      </c>
      <c r="D64" s="11" t="s">
        <v>26</v>
      </c>
      <c r="E64" s="11" t="s">
        <v>26</v>
      </c>
      <c r="F64" s="11" t="s">
        <v>26</v>
      </c>
      <c r="G64" s="10" t="s">
        <v>26</v>
      </c>
      <c r="H64" s="11" t="s">
        <v>26</v>
      </c>
      <c r="I64" s="11" t="s">
        <v>26</v>
      </c>
      <c r="J64" s="11" t="s">
        <v>26</v>
      </c>
      <c r="K64" s="10" t="s">
        <v>26</v>
      </c>
      <c r="L64" s="11" t="s">
        <v>26</v>
      </c>
      <c r="M64" s="11" t="s">
        <v>26</v>
      </c>
      <c r="N64" s="11" t="s">
        <v>26</v>
      </c>
      <c r="O64" s="10" t="s">
        <v>26</v>
      </c>
      <c r="P64" s="11" t="s">
        <v>26</v>
      </c>
      <c r="Q64" s="11" t="s">
        <v>26</v>
      </c>
      <c r="R64" s="11" t="s">
        <v>26</v>
      </c>
      <c r="S64" s="10" t="s">
        <v>26</v>
      </c>
      <c r="T64" s="11" t="s">
        <v>26</v>
      </c>
      <c r="U64" s="11" t="s">
        <v>26</v>
      </c>
      <c r="V64" s="11" t="s">
        <v>26</v>
      </c>
      <c r="W64" s="10" t="s">
        <v>26</v>
      </c>
      <c r="X64" s="11" t="s">
        <v>26</v>
      </c>
      <c r="Y64" s="11" t="s">
        <v>26</v>
      </c>
      <c r="Z64" s="11" t="s">
        <v>26</v>
      </c>
      <c r="AA64" s="10">
        <v>92392032.329999998</v>
      </c>
      <c r="AB64" s="11">
        <v>6.6230083605999998E-4</v>
      </c>
      <c r="AC64" s="11">
        <v>0.13500000000000001</v>
      </c>
      <c r="AD64" s="11">
        <v>0.1343</v>
      </c>
      <c r="AE64" s="10">
        <v>92392032.329999998</v>
      </c>
      <c r="AF64" s="11">
        <v>1.4295026391000001E-4</v>
      </c>
      <c r="AG64" s="11">
        <v>0.13500000000000001</v>
      </c>
      <c r="AH64" s="11">
        <v>0.13489999999999999</v>
      </c>
      <c r="AI64" s="10" t="s">
        <v>26</v>
      </c>
      <c r="AJ64" s="11" t="s">
        <v>26</v>
      </c>
      <c r="AK64" s="11" t="s">
        <v>26</v>
      </c>
      <c r="AL64" s="11" t="s">
        <v>26</v>
      </c>
      <c r="AM64" s="10" t="s">
        <v>26</v>
      </c>
      <c r="AN64" s="11" t="s">
        <v>26</v>
      </c>
      <c r="AO64" s="11" t="s">
        <v>26</v>
      </c>
      <c r="AP64" s="11" t="s">
        <v>26</v>
      </c>
      <c r="AQ64" s="10" t="s">
        <v>26</v>
      </c>
      <c r="AR64" s="11" t="s">
        <v>26</v>
      </c>
      <c r="AS64" s="11" t="s">
        <v>26</v>
      </c>
      <c r="AT64" s="11" t="s">
        <v>26</v>
      </c>
      <c r="AU64" s="10" t="s">
        <v>26</v>
      </c>
      <c r="AV64" s="11" t="s">
        <v>26</v>
      </c>
      <c r="AW64" s="11" t="s">
        <v>26</v>
      </c>
      <c r="AX64" s="11" t="s">
        <v>26</v>
      </c>
      <c r="AY64" s="10">
        <v>92392032.329999998</v>
      </c>
      <c r="AZ64" s="11">
        <v>1.2606487764000001E-4</v>
      </c>
      <c r="BA64" s="11">
        <v>0.13500000000000001</v>
      </c>
      <c r="BB64" s="11">
        <v>0.13489999999999999</v>
      </c>
    </row>
    <row r="65" spans="1:54">
      <c r="A65" s="3" t="s">
        <v>38</v>
      </c>
      <c r="B65" s="36" t="s">
        <v>43</v>
      </c>
      <c r="C65" s="35" t="s">
        <v>26</v>
      </c>
      <c r="D65" s="59" t="s">
        <v>26</v>
      </c>
      <c r="E65" s="59" t="s">
        <v>26</v>
      </c>
      <c r="F65" s="59" t="s">
        <v>26</v>
      </c>
      <c r="G65" s="35" t="s">
        <v>26</v>
      </c>
      <c r="H65" s="59" t="s">
        <v>26</v>
      </c>
      <c r="I65" s="59" t="s">
        <v>26</v>
      </c>
      <c r="J65" s="59" t="s">
        <v>26</v>
      </c>
      <c r="K65" s="35" t="s">
        <v>26</v>
      </c>
      <c r="L65" s="59" t="s">
        <v>26</v>
      </c>
      <c r="M65" s="59" t="s">
        <v>26</v>
      </c>
      <c r="N65" s="59" t="s">
        <v>26</v>
      </c>
      <c r="O65" s="35" t="s">
        <v>26</v>
      </c>
      <c r="P65" s="59" t="s">
        <v>26</v>
      </c>
      <c r="Q65" s="59" t="s">
        <v>26</v>
      </c>
      <c r="R65" s="59" t="s">
        <v>26</v>
      </c>
      <c r="S65" s="35" t="s">
        <v>26</v>
      </c>
      <c r="T65" s="59" t="s">
        <v>26</v>
      </c>
      <c r="U65" s="59" t="s">
        <v>26</v>
      </c>
      <c r="V65" s="59" t="s">
        <v>26</v>
      </c>
      <c r="W65" s="35" t="s">
        <v>26</v>
      </c>
      <c r="X65" s="59" t="s">
        <v>26</v>
      </c>
      <c r="Y65" s="59" t="s">
        <v>26</v>
      </c>
      <c r="Z65" s="59" t="s">
        <v>26</v>
      </c>
      <c r="AA65" s="35">
        <v>92392032.329999998</v>
      </c>
      <c r="AB65" s="59">
        <v>1</v>
      </c>
      <c r="AC65" s="59" t="s">
        <v>26</v>
      </c>
      <c r="AD65" s="59" t="s">
        <v>26</v>
      </c>
      <c r="AE65" s="35">
        <v>92392032.329999998</v>
      </c>
      <c r="AF65" s="59">
        <v>1</v>
      </c>
      <c r="AG65" s="59" t="s">
        <v>26</v>
      </c>
      <c r="AH65" s="59" t="s">
        <v>26</v>
      </c>
      <c r="AI65" s="35" t="s">
        <v>26</v>
      </c>
      <c r="AJ65" s="59" t="s">
        <v>26</v>
      </c>
      <c r="AK65" s="59" t="s">
        <v>26</v>
      </c>
      <c r="AL65" s="59" t="s">
        <v>26</v>
      </c>
      <c r="AM65" s="35" t="s">
        <v>26</v>
      </c>
      <c r="AN65" s="59" t="s">
        <v>26</v>
      </c>
      <c r="AO65" s="59" t="s">
        <v>26</v>
      </c>
      <c r="AP65" s="59" t="s">
        <v>26</v>
      </c>
      <c r="AQ65" s="35" t="s">
        <v>26</v>
      </c>
      <c r="AR65" s="59" t="s">
        <v>26</v>
      </c>
      <c r="AS65" s="59" t="s">
        <v>26</v>
      </c>
      <c r="AT65" s="59" t="s">
        <v>26</v>
      </c>
      <c r="AU65" s="35" t="s">
        <v>26</v>
      </c>
      <c r="AV65" s="59" t="s">
        <v>26</v>
      </c>
      <c r="AW65" s="59" t="s">
        <v>26</v>
      </c>
      <c r="AX65" s="59" t="s">
        <v>26</v>
      </c>
      <c r="AY65" s="35">
        <v>92392032.329999998</v>
      </c>
      <c r="AZ65" s="59">
        <v>1</v>
      </c>
      <c r="BA65" s="59" t="s">
        <v>26</v>
      </c>
      <c r="BB65" s="59" t="s">
        <v>26</v>
      </c>
    </row>
    <row r="66" spans="1:54" s="7" customFormat="1">
      <c r="A66" s="5" t="s">
        <v>63</v>
      </c>
      <c r="B66" s="24" t="s">
        <v>25</v>
      </c>
      <c r="C66" s="10">
        <v>22079450.579999998</v>
      </c>
      <c r="D66" s="11">
        <v>3.4497192547700002E-3</v>
      </c>
      <c r="E66" s="11">
        <v>0.12</v>
      </c>
      <c r="F66" s="11">
        <v>0.1166</v>
      </c>
      <c r="G66" s="10" t="s">
        <v>26</v>
      </c>
      <c r="H66" s="11" t="s">
        <v>26</v>
      </c>
      <c r="I66" s="11" t="s">
        <v>26</v>
      </c>
      <c r="J66" s="11" t="s">
        <v>26</v>
      </c>
      <c r="K66" s="10" t="s">
        <v>26</v>
      </c>
      <c r="L66" s="11" t="s">
        <v>26</v>
      </c>
      <c r="M66" s="11" t="s">
        <v>26</v>
      </c>
      <c r="N66" s="11" t="s">
        <v>26</v>
      </c>
      <c r="O66" s="10" t="s">
        <v>26</v>
      </c>
      <c r="P66" s="11" t="s">
        <v>26</v>
      </c>
      <c r="Q66" s="11" t="s">
        <v>26</v>
      </c>
      <c r="R66" s="11" t="s">
        <v>26</v>
      </c>
      <c r="S66" s="10" t="s">
        <v>26</v>
      </c>
      <c r="T66" s="11" t="s">
        <v>26</v>
      </c>
      <c r="U66" s="11" t="s">
        <v>26</v>
      </c>
      <c r="V66" s="11" t="s">
        <v>26</v>
      </c>
      <c r="W66" s="10" t="s">
        <v>26</v>
      </c>
      <c r="X66" s="11" t="s">
        <v>26</v>
      </c>
      <c r="Y66" s="11" t="s">
        <v>26</v>
      </c>
      <c r="Z66" s="11" t="s">
        <v>26</v>
      </c>
      <c r="AA66" s="10" t="s">
        <v>26</v>
      </c>
      <c r="AB66" s="11" t="s">
        <v>26</v>
      </c>
      <c r="AC66" s="11" t="s">
        <v>26</v>
      </c>
      <c r="AD66" s="11" t="s">
        <v>26</v>
      </c>
      <c r="AE66" s="10">
        <v>22079450.579999998</v>
      </c>
      <c r="AF66" s="11">
        <v>3.4161639349999999E-5</v>
      </c>
      <c r="AG66" s="11">
        <v>0.12</v>
      </c>
      <c r="AH66" s="11">
        <v>0.12</v>
      </c>
      <c r="AI66" s="10" t="s">
        <v>26</v>
      </c>
      <c r="AJ66" s="11" t="s">
        <v>26</v>
      </c>
      <c r="AK66" s="11" t="s">
        <v>26</v>
      </c>
      <c r="AL66" s="11" t="s">
        <v>26</v>
      </c>
      <c r="AM66" s="10" t="s">
        <v>26</v>
      </c>
      <c r="AN66" s="11" t="s">
        <v>26</v>
      </c>
      <c r="AO66" s="11" t="s">
        <v>26</v>
      </c>
      <c r="AP66" s="11" t="s">
        <v>26</v>
      </c>
      <c r="AQ66" s="10" t="s">
        <v>26</v>
      </c>
      <c r="AR66" s="11" t="s">
        <v>26</v>
      </c>
      <c r="AS66" s="11" t="s">
        <v>26</v>
      </c>
      <c r="AT66" s="11" t="s">
        <v>26</v>
      </c>
      <c r="AU66" s="10" t="s">
        <v>26</v>
      </c>
      <c r="AV66" s="11" t="s">
        <v>26</v>
      </c>
      <c r="AW66" s="11" t="s">
        <v>26</v>
      </c>
      <c r="AX66" s="11" t="s">
        <v>26</v>
      </c>
      <c r="AY66" s="10">
        <v>22079450.579999998</v>
      </c>
      <c r="AZ66" s="11">
        <v>3.0126442349999999E-5</v>
      </c>
      <c r="BA66" s="11">
        <v>0.12</v>
      </c>
      <c r="BB66" s="11">
        <v>0.12</v>
      </c>
    </row>
    <row r="67" spans="1:54">
      <c r="A67" s="3" t="s">
        <v>36</v>
      </c>
      <c r="B67" s="36" t="s">
        <v>56</v>
      </c>
      <c r="C67" s="35">
        <v>22079450.579999998</v>
      </c>
      <c r="D67" s="59">
        <v>1</v>
      </c>
      <c r="E67" s="59" t="s">
        <v>26</v>
      </c>
      <c r="F67" s="59" t="s">
        <v>26</v>
      </c>
      <c r="G67" s="35" t="s">
        <v>26</v>
      </c>
      <c r="H67" s="59" t="s">
        <v>26</v>
      </c>
      <c r="I67" s="59" t="s">
        <v>26</v>
      </c>
      <c r="J67" s="59" t="s">
        <v>26</v>
      </c>
      <c r="K67" s="35" t="s">
        <v>26</v>
      </c>
      <c r="L67" s="59" t="s">
        <v>26</v>
      </c>
      <c r="M67" s="59" t="s">
        <v>26</v>
      </c>
      <c r="N67" s="59" t="s">
        <v>26</v>
      </c>
      <c r="O67" s="35" t="s">
        <v>26</v>
      </c>
      <c r="P67" s="59" t="s">
        <v>26</v>
      </c>
      <c r="Q67" s="59" t="s">
        <v>26</v>
      </c>
      <c r="R67" s="59" t="s">
        <v>26</v>
      </c>
      <c r="S67" s="35" t="s">
        <v>26</v>
      </c>
      <c r="T67" s="59" t="s">
        <v>26</v>
      </c>
      <c r="U67" s="59" t="s">
        <v>26</v>
      </c>
      <c r="V67" s="59" t="s">
        <v>26</v>
      </c>
      <c r="W67" s="35" t="s">
        <v>26</v>
      </c>
      <c r="X67" s="59" t="s">
        <v>26</v>
      </c>
      <c r="Y67" s="59" t="s">
        <v>26</v>
      </c>
      <c r="Z67" s="59" t="s">
        <v>26</v>
      </c>
      <c r="AA67" s="35" t="s">
        <v>26</v>
      </c>
      <c r="AB67" s="59" t="s">
        <v>26</v>
      </c>
      <c r="AC67" s="59" t="s">
        <v>26</v>
      </c>
      <c r="AD67" s="59" t="s">
        <v>26</v>
      </c>
      <c r="AE67" s="35">
        <v>22079450.579999998</v>
      </c>
      <c r="AF67" s="59">
        <v>1</v>
      </c>
      <c r="AG67" s="59" t="s">
        <v>26</v>
      </c>
      <c r="AH67" s="59" t="s">
        <v>26</v>
      </c>
      <c r="AI67" s="35" t="s">
        <v>26</v>
      </c>
      <c r="AJ67" s="59" t="s">
        <v>26</v>
      </c>
      <c r="AK67" s="59" t="s">
        <v>26</v>
      </c>
      <c r="AL67" s="59" t="s">
        <v>26</v>
      </c>
      <c r="AM67" s="35" t="s">
        <v>26</v>
      </c>
      <c r="AN67" s="59" t="s">
        <v>26</v>
      </c>
      <c r="AO67" s="59" t="s">
        <v>26</v>
      </c>
      <c r="AP67" s="59" t="s">
        <v>26</v>
      </c>
      <c r="AQ67" s="35" t="s">
        <v>26</v>
      </c>
      <c r="AR67" s="59" t="s">
        <v>26</v>
      </c>
      <c r="AS67" s="59" t="s">
        <v>26</v>
      </c>
      <c r="AT67" s="59" t="s">
        <v>26</v>
      </c>
      <c r="AU67" s="35" t="s">
        <v>26</v>
      </c>
      <c r="AV67" s="59" t="s">
        <v>26</v>
      </c>
      <c r="AW67" s="59" t="s">
        <v>26</v>
      </c>
      <c r="AX67" s="59" t="s">
        <v>26</v>
      </c>
      <c r="AY67" s="35">
        <v>22079450.579999998</v>
      </c>
      <c r="AZ67" s="59">
        <v>1</v>
      </c>
      <c r="BA67" s="59" t="s">
        <v>26</v>
      </c>
      <c r="BB67" s="59" t="s">
        <v>26</v>
      </c>
    </row>
    <row r="68" spans="1:54" s="7" customFormat="1">
      <c r="A68" s="5" t="s">
        <v>64</v>
      </c>
      <c r="B68" s="24" t="s">
        <v>25</v>
      </c>
      <c r="C68" s="10" t="s">
        <v>26</v>
      </c>
      <c r="D68" s="11" t="s">
        <v>26</v>
      </c>
      <c r="E68" s="11" t="s">
        <v>26</v>
      </c>
      <c r="F68" s="11" t="s">
        <v>26</v>
      </c>
      <c r="G68" s="10" t="s">
        <v>26</v>
      </c>
      <c r="H68" s="11" t="s">
        <v>26</v>
      </c>
      <c r="I68" s="11" t="s">
        <v>26</v>
      </c>
      <c r="J68" s="11" t="s">
        <v>26</v>
      </c>
      <c r="K68" s="10">
        <v>48959923.600000001</v>
      </c>
      <c r="L68" s="11">
        <v>1.6341888355160001E-2</v>
      </c>
      <c r="M68" s="11">
        <v>0.13500000000000001</v>
      </c>
      <c r="N68" s="11">
        <v>0.1187</v>
      </c>
      <c r="O68" s="10">
        <v>72784844.810000002</v>
      </c>
      <c r="P68" s="11">
        <v>3.2096145641E-4</v>
      </c>
      <c r="Q68" s="11">
        <v>0.13500000000000001</v>
      </c>
      <c r="R68" s="11">
        <v>0.13469999999999999</v>
      </c>
      <c r="S68" s="10" t="s">
        <v>26</v>
      </c>
      <c r="T68" s="11" t="s">
        <v>26</v>
      </c>
      <c r="U68" s="11" t="s">
        <v>26</v>
      </c>
      <c r="V68" s="11" t="s">
        <v>26</v>
      </c>
      <c r="W68" s="10" t="s">
        <v>26</v>
      </c>
      <c r="X68" s="11" t="s">
        <v>26</v>
      </c>
      <c r="Y68" s="11" t="s">
        <v>26</v>
      </c>
      <c r="Z68" s="11" t="s">
        <v>26</v>
      </c>
      <c r="AA68" s="10">
        <v>35294705.200000003</v>
      </c>
      <c r="AB68" s="11">
        <v>2.5300572108999999E-4</v>
      </c>
      <c r="AC68" s="11">
        <v>0.13500000000000001</v>
      </c>
      <c r="AD68" s="11">
        <v>0.13469999999999999</v>
      </c>
      <c r="AE68" s="10">
        <v>157039473.61000001</v>
      </c>
      <c r="AF68" s="11">
        <v>2.4297370272000001E-4</v>
      </c>
      <c r="AG68" s="11">
        <v>0.13500000000000001</v>
      </c>
      <c r="AH68" s="11">
        <v>0.1348</v>
      </c>
      <c r="AI68" s="10" t="s">
        <v>26</v>
      </c>
      <c r="AJ68" s="11" t="s">
        <v>26</v>
      </c>
      <c r="AK68" s="11" t="s">
        <v>26</v>
      </c>
      <c r="AL68" s="11" t="s">
        <v>26</v>
      </c>
      <c r="AM68" s="10" t="s">
        <v>26</v>
      </c>
      <c r="AN68" s="11" t="s">
        <v>26</v>
      </c>
      <c r="AO68" s="11" t="s">
        <v>26</v>
      </c>
      <c r="AP68" s="11" t="s">
        <v>26</v>
      </c>
      <c r="AQ68" s="10" t="s">
        <v>26</v>
      </c>
      <c r="AR68" s="11" t="s">
        <v>26</v>
      </c>
      <c r="AS68" s="11" t="s">
        <v>26</v>
      </c>
      <c r="AT68" s="11" t="s">
        <v>26</v>
      </c>
      <c r="AU68" s="10">
        <v>62908651.909999996</v>
      </c>
      <c r="AV68" s="11">
        <v>1.3777619181399999E-3</v>
      </c>
      <c r="AW68" s="11">
        <v>0.13500000000000001</v>
      </c>
      <c r="AX68" s="11">
        <v>0.1336</v>
      </c>
      <c r="AY68" s="10">
        <v>219948125.52000001</v>
      </c>
      <c r="AZ68" s="11">
        <v>3.0010957472000001E-4</v>
      </c>
      <c r="BA68" s="11">
        <v>0.13500000000000001</v>
      </c>
      <c r="BB68" s="11">
        <v>0.13469999999999999</v>
      </c>
    </row>
    <row r="69" spans="1:54">
      <c r="A69" s="3" t="s">
        <v>38</v>
      </c>
      <c r="B69" s="36" t="s">
        <v>43</v>
      </c>
      <c r="C69" s="35" t="s">
        <v>26</v>
      </c>
      <c r="D69" s="59" t="s">
        <v>26</v>
      </c>
      <c r="E69" s="59" t="s">
        <v>26</v>
      </c>
      <c r="F69" s="59" t="s">
        <v>26</v>
      </c>
      <c r="G69" s="35" t="s">
        <v>26</v>
      </c>
      <c r="H69" s="59" t="s">
        <v>26</v>
      </c>
      <c r="I69" s="59" t="s">
        <v>26</v>
      </c>
      <c r="J69" s="59" t="s">
        <v>26</v>
      </c>
      <c r="K69" s="35">
        <v>48959923.600000001</v>
      </c>
      <c r="L69" s="59">
        <v>1</v>
      </c>
      <c r="M69" s="59" t="s">
        <v>26</v>
      </c>
      <c r="N69" s="59" t="s">
        <v>26</v>
      </c>
      <c r="O69" s="35">
        <v>72784844.810000002</v>
      </c>
      <c r="P69" s="59">
        <v>1</v>
      </c>
      <c r="Q69" s="59" t="s">
        <v>26</v>
      </c>
      <c r="R69" s="59" t="s">
        <v>26</v>
      </c>
      <c r="S69" s="35" t="s">
        <v>26</v>
      </c>
      <c r="T69" s="59" t="s">
        <v>26</v>
      </c>
      <c r="U69" s="59" t="s">
        <v>26</v>
      </c>
      <c r="V69" s="59" t="s">
        <v>26</v>
      </c>
      <c r="W69" s="35" t="s">
        <v>26</v>
      </c>
      <c r="X69" s="59" t="s">
        <v>26</v>
      </c>
      <c r="Y69" s="59" t="s">
        <v>26</v>
      </c>
      <c r="Z69" s="59" t="s">
        <v>26</v>
      </c>
      <c r="AA69" s="35">
        <v>35294705.200000003</v>
      </c>
      <c r="AB69" s="59">
        <v>1</v>
      </c>
      <c r="AC69" s="59" t="s">
        <v>26</v>
      </c>
      <c r="AD69" s="59" t="s">
        <v>26</v>
      </c>
      <c r="AE69" s="35">
        <v>157039473.61000001</v>
      </c>
      <c r="AF69" s="59">
        <v>1</v>
      </c>
      <c r="AG69" s="59" t="s">
        <v>26</v>
      </c>
      <c r="AH69" s="59" t="s">
        <v>26</v>
      </c>
      <c r="AI69" s="35" t="s">
        <v>26</v>
      </c>
      <c r="AJ69" s="59" t="s">
        <v>26</v>
      </c>
      <c r="AK69" s="59" t="s">
        <v>26</v>
      </c>
      <c r="AL69" s="59" t="s">
        <v>26</v>
      </c>
      <c r="AM69" s="35" t="s">
        <v>26</v>
      </c>
      <c r="AN69" s="59" t="s">
        <v>26</v>
      </c>
      <c r="AO69" s="59" t="s">
        <v>26</v>
      </c>
      <c r="AP69" s="59" t="s">
        <v>26</v>
      </c>
      <c r="AQ69" s="35" t="s">
        <v>26</v>
      </c>
      <c r="AR69" s="59" t="s">
        <v>26</v>
      </c>
      <c r="AS69" s="59" t="s">
        <v>26</v>
      </c>
      <c r="AT69" s="59" t="s">
        <v>26</v>
      </c>
      <c r="AU69" s="35">
        <v>62908651.909999996</v>
      </c>
      <c r="AV69" s="59">
        <v>1</v>
      </c>
      <c r="AW69" s="59" t="s">
        <v>26</v>
      </c>
      <c r="AX69" s="59" t="s">
        <v>26</v>
      </c>
      <c r="AY69" s="35">
        <v>219948125.52000001</v>
      </c>
      <c r="AZ69" s="59">
        <v>1</v>
      </c>
      <c r="BA69" s="59" t="s">
        <v>26</v>
      </c>
      <c r="BB69" s="59" t="s">
        <v>26</v>
      </c>
    </row>
    <row r="70" spans="1:54">
      <c r="A70" s="13" t="s">
        <v>65</v>
      </c>
      <c r="B70" s="25" t="s">
        <v>25</v>
      </c>
      <c r="C70" s="55">
        <v>1107667704.46</v>
      </c>
      <c r="D70" s="56">
        <v>0.17306330128645001</v>
      </c>
      <c r="E70" s="56" t="s">
        <v>26</v>
      </c>
      <c r="F70" s="56" t="s">
        <v>26</v>
      </c>
      <c r="G70" s="55">
        <v>6792556971.7200003</v>
      </c>
      <c r="H70" s="56">
        <v>4.4634596179229998E-2</v>
      </c>
      <c r="I70" s="56" t="s">
        <v>26</v>
      </c>
      <c r="J70" s="56" t="s">
        <v>26</v>
      </c>
      <c r="K70" s="55">
        <v>732562684.02999997</v>
      </c>
      <c r="L70" s="56">
        <v>0.24451544682500001</v>
      </c>
      <c r="M70" s="56" t="s">
        <v>26</v>
      </c>
      <c r="N70" s="56" t="s">
        <v>26</v>
      </c>
      <c r="O70" s="55">
        <v>10801087588.120001</v>
      </c>
      <c r="P70" s="56">
        <v>4.7629871467529998E-2</v>
      </c>
      <c r="Q70" s="56" t="s">
        <v>26</v>
      </c>
      <c r="R70" s="56" t="s">
        <v>26</v>
      </c>
      <c r="S70" s="55">
        <v>6254717580.8699999</v>
      </c>
      <c r="T70" s="56">
        <v>5.5738728136199997E-2</v>
      </c>
      <c r="U70" s="56" t="s">
        <v>26</v>
      </c>
      <c r="V70" s="56" t="s">
        <v>26</v>
      </c>
      <c r="W70" s="55" t="s">
        <v>26</v>
      </c>
      <c r="X70" s="56" t="s">
        <v>26</v>
      </c>
      <c r="Y70" s="56" t="s">
        <v>26</v>
      </c>
      <c r="Z70" s="56" t="s">
        <v>26</v>
      </c>
      <c r="AA70" s="55">
        <v>5234983695.8500004</v>
      </c>
      <c r="AB70" s="56">
        <v>3.7526331990920002E-2</v>
      </c>
      <c r="AC70" s="56" t="s">
        <v>26</v>
      </c>
      <c r="AD70" s="56" t="s">
        <v>26</v>
      </c>
      <c r="AE70" s="55">
        <v>30923576225.049999</v>
      </c>
      <c r="AF70" s="56">
        <v>4.7845396089929999E-2</v>
      </c>
      <c r="AG70" s="56" t="s">
        <v>26</v>
      </c>
      <c r="AH70" s="56" t="s">
        <v>26</v>
      </c>
      <c r="AI70" s="55">
        <v>1082465704.8800001</v>
      </c>
      <c r="AJ70" s="56">
        <v>6.3367390675749993E-2</v>
      </c>
      <c r="AK70" s="56" t="s">
        <v>26</v>
      </c>
      <c r="AL70" s="56" t="s">
        <v>26</v>
      </c>
      <c r="AM70" s="55">
        <v>2200754935.2199998</v>
      </c>
      <c r="AN70" s="56">
        <v>9.2362366132060003E-2</v>
      </c>
      <c r="AO70" s="56" t="s">
        <v>26</v>
      </c>
      <c r="AP70" s="56" t="s">
        <v>26</v>
      </c>
      <c r="AQ70" s="55">
        <v>3283220640.0999999</v>
      </c>
      <c r="AR70" s="56">
        <v>8.0255159370659995E-2</v>
      </c>
      <c r="AS70" s="56" t="s">
        <v>26</v>
      </c>
      <c r="AT70" s="56" t="s">
        <v>26</v>
      </c>
      <c r="AU70" s="55">
        <v>1492352455.4100001</v>
      </c>
      <c r="AV70" s="56">
        <v>3.2684000039449997E-2</v>
      </c>
      <c r="AW70" s="56" t="s">
        <v>26</v>
      </c>
      <c r="AX70" s="56" t="s">
        <v>26</v>
      </c>
      <c r="AY70" s="55">
        <v>35699149320.559998</v>
      </c>
      <c r="AZ70" s="56">
        <v>4.8709924192559997E-2</v>
      </c>
      <c r="BA70" s="56" t="s">
        <v>26</v>
      </c>
      <c r="BB70" s="56" t="s">
        <v>26</v>
      </c>
    </row>
    <row r="71" spans="1:54" s="7" customFormat="1">
      <c r="A71" s="5" t="s">
        <v>105</v>
      </c>
      <c r="B71" s="24" t="s">
        <v>25</v>
      </c>
      <c r="C71" s="10">
        <v>288860372.42000002</v>
      </c>
      <c r="D71" s="11">
        <v>4.5131883380320002E-2</v>
      </c>
      <c r="E71" s="11">
        <v>0.08</v>
      </c>
      <c r="F71" s="11">
        <v>3.49E-2</v>
      </c>
      <c r="G71" s="10" t="s">
        <v>26</v>
      </c>
      <c r="H71" s="11" t="s">
        <v>26</v>
      </c>
      <c r="I71" s="11" t="s">
        <v>26</v>
      </c>
      <c r="J71" s="11" t="s">
        <v>26</v>
      </c>
      <c r="K71" s="10">
        <v>189489481.46000001</v>
      </c>
      <c r="L71" s="11">
        <v>6.3247973501649998E-2</v>
      </c>
      <c r="M71" s="11">
        <v>0.08</v>
      </c>
      <c r="N71" s="11">
        <v>1.6799999999999999E-2</v>
      </c>
      <c r="O71" s="10" t="s">
        <v>26</v>
      </c>
      <c r="P71" s="11" t="s">
        <v>26</v>
      </c>
      <c r="Q71" s="11" t="s">
        <v>26</v>
      </c>
      <c r="R71" s="11" t="s">
        <v>26</v>
      </c>
      <c r="S71" s="10">
        <v>488543521.63</v>
      </c>
      <c r="T71" s="11">
        <v>4.3536409410599997E-3</v>
      </c>
      <c r="U71" s="11">
        <v>0.08</v>
      </c>
      <c r="V71" s="11">
        <v>7.5600000000000001E-2</v>
      </c>
      <c r="W71" s="10" t="s">
        <v>26</v>
      </c>
      <c r="X71" s="11" t="s">
        <v>26</v>
      </c>
      <c r="Y71" s="11" t="s">
        <v>26</v>
      </c>
      <c r="Z71" s="11" t="s">
        <v>26</v>
      </c>
      <c r="AA71" s="10" t="s">
        <v>26</v>
      </c>
      <c r="AB71" s="11" t="s">
        <v>26</v>
      </c>
      <c r="AC71" s="11" t="s">
        <v>26</v>
      </c>
      <c r="AD71" s="11" t="s">
        <v>26</v>
      </c>
      <c r="AE71" s="10">
        <v>966893375.50999999</v>
      </c>
      <c r="AF71" s="11">
        <v>1.49599115546E-3</v>
      </c>
      <c r="AG71" s="11">
        <v>0.08</v>
      </c>
      <c r="AH71" s="11">
        <v>7.85E-2</v>
      </c>
      <c r="AI71" s="10" t="s">
        <v>26</v>
      </c>
      <c r="AJ71" s="11" t="s">
        <v>26</v>
      </c>
      <c r="AK71" s="11" t="s">
        <v>26</v>
      </c>
      <c r="AL71" s="11" t="s">
        <v>26</v>
      </c>
      <c r="AM71" s="10" t="s">
        <v>26</v>
      </c>
      <c r="AN71" s="11" t="s">
        <v>26</v>
      </c>
      <c r="AO71" s="11" t="s">
        <v>26</v>
      </c>
      <c r="AP71" s="11" t="s">
        <v>26</v>
      </c>
      <c r="AQ71" s="10" t="s">
        <v>26</v>
      </c>
      <c r="AR71" s="11" t="s">
        <v>26</v>
      </c>
      <c r="AS71" s="11" t="s">
        <v>26</v>
      </c>
      <c r="AT71" s="11" t="s">
        <v>26</v>
      </c>
      <c r="AU71" s="10" t="s">
        <v>26</v>
      </c>
      <c r="AV71" s="11" t="s">
        <v>26</v>
      </c>
      <c r="AW71" s="11" t="s">
        <v>26</v>
      </c>
      <c r="AX71" s="11" t="s">
        <v>26</v>
      </c>
      <c r="AY71" s="10">
        <v>966893375.50999999</v>
      </c>
      <c r="AZ71" s="11">
        <v>1.31928362215E-3</v>
      </c>
      <c r="BA71" s="11">
        <v>0.08</v>
      </c>
      <c r="BB71" s="11">
        <v>7.8700000000000006E-2</v>
      </c>
    </row>
    <row r="72" spans="1:54">
      <c r="A72" s="3" t="s">
        <v>67</v>
      </c>
      <c r="B72" s="36" t="s">
        <v>56</v>
      </c>
      <c r="C72" s="35">
        <v>288860372.42000002</v>
      </c>
      <c r="D72" s="59">
        <v>1</v>
      </c>
      <c r="E72" s="59" t="s">
        <v>26</v>
      </c>
      <c r="F72" s="59" t="s">
        <v>26</v>
      </c>
      <c r="G72" s="35" t="s">
        <v>26</v>
      </c>
      <c r="H72" s="59" t="s">
        <v>26</v>
      </c>
      <c r="I72" s="59" t="s">
        <v>26</v>
      </c>
      <c r="J72" s="59" t="s">
        <v>26</v>
      </c>
      <c r="K72" s="35">
        <v>189489481.46000001</v>
      </c>
      <c r="L72" s="59">
        <v>1</v>
      </c>
      <c r="M72" s="59" t="s">
        <v>26</v>
      </c>
      <c r="N72" s="59" t="s">
        <v>26</v>
      </c>
      <c r="O72" s="35" t="s">
        <v>26</v>
      </c>
      <c r="P72" s="59" t="s">
        <v>26</v>
      </c>
      <c r="Q72" s="59" t="s">
        <v>26</v>
      </c>
      <c r="R72" s="59" t="s">
        <v>26</v>
      </c>
      <c r="S72" s="35">
        <v>488543521.63</v>
      </c>
      <c r="T72" s="59">
        <v>1</v>
      </c>
      <c r="U72" s="59" t="s">
        <v>26</v>
      </c>
      <c r="V72" s="59" t="s">
        <v>26</v>
      </c>
      <c r="W72" s="35" t="s">
        <v>26</v>
      </c>
      <c r="X72" s="59" t="s">
        <v>26</v>
      </c>
      <c r="Y72" s="59" t="s">
        <v>26</v>
      </c>
      <c r="Z72" s="59" t="s">
        <v>26</v>
      </c>
      <c r="AA72" s="35" t="s">
        <v>26</v>
      </c>
      <c r="AB72" s="59" t="s">
        <v>26</v>
      </c>
      <c r="AC72" s="59" t="s">
        <v>26</v>
      </c>
      <c r="AD72" s="59" t="s">
        <v>26</v>
      </c>
      <c r="AE72" s="35">
        <v>966893375.50999999</v>
      </c>
      <c r="AF72" s="59">
        <v>1</v>
      </c>
      <c r="AG72" s="59" t="s">
        <v>26</v>
      </c>
      <c r="AH72" s="59" t="s">
        <v>26</v>
      </c>
      <c r="AI72" s="35" t="s">
        <v>26</v>
      </c>
      <c r="AJ72" s="59" t="s">
        <v>26</v>
      </c>
      <c r="AK72" s="59" t="s">
        <v>26</v>
      </c>
      <c r="AL72" s="59" t="s">
        <v>26</v>
      </c>
      <c r="AM72" s="35" t="s">
        <v>26</v>
      </c>
      <c r="AN72" s="59" t="s">
        <v>26</v>
      </c>
      <c r="AO72" s="59" t="s">
        <v>26</v>
      </c>
      <c r="AP72" s="59" t="s">
        <v>26</v>
      </c>
      <c r="AQ72" s="35" t="s">
        <v>26</v>
      </c>
      <c r="AR72" s="59" t="s">
        <v>26</v>
      </c>
      <c r="AS72" s="59" t="s">
        <v>26</v>
      </c>
      <c r="AT72" s="59" t="s">
        <v>26</v>
      </c>
      <c r="AU72" s="35" t="s">
        <v>26</v>
      </c>
      <c r="AV72" s="59" t="s">
        <v>26</v>
      </c>
      <c r="AW72" s="59" t="s">
        <v>26</v>
      </c>
      <c r="AX72" s="59" t="s">
        <v>26</v>
      </c>
      <c r="AY72" s="35">
        <v>966893375.50999999</v>
      </c>
      <c r="AZ72" s="59">
        <v>1</v>
      </c>
      <c r="BA72" s="59" t="s">
        <v>26</v>
      </c>
      <c r="BB72" s="59" t="s">
        <v>26</v>
      </c>
    </row>
    <row r="73" spans="1:54" s="7" customFormat="1">
      <c r="A73" s="5" t="s">
        <v>66</v>
      </c>
      <c r="B73" s="24" t="s">
        <v>25</v>
      </c>
      <c r="C73" s="10" t="s">
        <v>26</v>
      </c>
      <c r="D73" s="11" t="s">
        <v>26</v>
      </c>
      <c r="E73" s="11" t="s">
        <v>26</v>
      </c>
      <c r="F73" s="11" t="s">
        <v>26</v>
      </c>
      <c r="G73" s="10">
        <v>613347991.66999996</v>
      </c>
      <c r="H73" s="11">
        <v>4.0303732511200001E-3</v>
      </c>
      <c r="I73" s="11">
        <v>0.08</v>
      </c>
      <c r="J73" s="11">
        <v>7.5999999999999998E-2</v>
      </c>
      <c r="K73" s="10">
        <v>81538290.049999997</v>
      </c>
      <c r="L73" s="11">
        <v>2.7215925489459999E-2</v>
      </c>
      <c r="M73" s="11">
        <v>0.08</v>
      </c>
      <c r="N73" s="11">
        <v>5.28E-2</v>
      </c>
      <c r="O73" s="10">
        <v>462142902.58999997</v>
      </c>
      <c r="P73" s="11">
        <v>2.03792505805E-3</v>
      </c>
      <c r="Q73" s="11">
        <v>2.86E-2</v>
      </c>
      <c r="R73" s="11">
        <v>2.6599999999999999E-2</v>
      </c>
      <c r="S73" s="10">
        <v>102144077</v>
      </c>
      <c r="T73" s="11">
        <v>9.1025387876999999E-4</v>
      </c>
      <c r="U73" s="11">
        <v>0.08</v>
      </c>
      <c r="V73" s="11">
        <v>7.9100000000000004E-2</v>
      </c>
      <c r="W73" s="10" t="s">
        <v>26</v>
      </c>
      <c r="X73" s="11" t="s">
        <v>26</v>
      </c>
      <c r="Y73" s="11" t="s">
        <v>26</v>
      </c>
      <c r="Z73" s="11" t="s">
        <v>26</v>
      </c>
      <c r="AA73" s="10">
        <v>43262197.700000003</v>
      </c>
      <c r="AB73" s="11">
        <v>3.1011970387000002E-4</v>
      </c>
      <c r="AC73" s="11">
        <v>0.08</v>
      </c>
      <c r="AD73" s="11">
        <v>7.9699999999999993E-2</v>
      </c>
      <c r="AE73" s="10">
        <v>1302435459.01</v>
      </c>
      <c r="AF73" s="11">
        <v>2.0151466300100001E-3</v>
      </c>
      <c r="AG73" s="11">
        <v>6.1800000000000001E-2</v>
      </c>
      <c r="AH73" s="11">
        <v>5.9799999999999999E-2</v>
      </c>
      <c r="AI73" s="10" t="s">
        <v>26</v>
      </c>
      <c r="AJ73" s="11" t="s">
        <v>26</v>
      </c>
      <c r="AK73" s="11" t="s">
        <v>26</v>
      </c>
      <c r="AL73" s="11" t="s">
        <v>26</v>
      </c>
      <c r="AM73" s="10" t="s">
        <v>26</v>
      </c>
      <c r="AN73" s="11" t="s">
        <v>26</v>
      </c>
      <c r="AO73" s="11" t="s">
        <v>26</v>
      </c>
      <c r="AP73" s="11" t="s">
        <v>26</v>
      </c>
      <c r="AQ73" s="10" t="s">
        <v>26</v>
      </c>
      <c r="AR73" s="11" t="s">
        <v>26</v>
      </c>
      <c r="AS73" s="11" t="s">
        <v>26</v>
      </c>
      <c r="AT73" s="11" t="s">
        <v>26</v>
      </c>
      <c r="AU73" s="10">
        <v>102144077</v>
      </c>
      <c r="AV73" s="11">
        <v>2.2370566715600002E-3</v>
      </c>
      <c r="AW73" s="11">
        <v>0.08</v>
      </c>
      <c r="AX73" s="11">
        <v>7.7799999999999994E-2</v>
      </c>
      <c r="AY73" s="10">
        <v>1404579536.01</v>
      </c>
      <c r="AZ73" s="11">
        <v>1.91648719994E-3</v>
      </c>
      <c r="BA73" s="11">
        <v>6.3100000000000003E-2</v>
      </c>
      <c r="BB73" s="11">
        <v>6.1199999999999997E-2</v>
      </c>
    </row>
    <row r="74" spans="1:54">
      <c r="A74" s="3" t="s">
        <v>67</v>
      </c>
      <c r="B74" s="36" t="s">
        <v>56</v>
      </c>
      <c r="C74" s="35" t="s">
        <v>26</v>
      </c>
      <c r="D74" s="59" t="s">
        <v>26</v>
      </c>
      <c r="E74" s="59" t="s">
        <v>26</v>
      </c>
      <c r="F74" s="59" t="s">
        <v>26</v>
      </c>
      <c r="G74" s="35">
        <v>613347991.66999996</v>
      </c>
      <c r="H74" s="59">
        <v>1</v>
      </c>
      <c r="I74" s="59" t="s">
        <v>26</v>
      </c>
      <c r="J74" s="59" t="s">
        <v>26</v>
      </c>
      <c r="K74" s="35">
        <v>81538290.049999997</v>
      </c>
      <c r="L74" s="59">
        <v>1</v>
      </c>
      <c r="M74" s="59" t="s">
        <v>26</v>
      </c>
      <c r="N74" s="59" t="s">
        <v>26</v>
      </c>
      <c r="O74" s="35">
        <v>165193545.88</v>
      </c>
      <c r="P74" s="59">
        <v>0.35745122332119</v>
      </c>
      <c r="Q74" s="59" t="s">
        <v>26</v>
      </c>
      <c r="R74" s="59" t="s">
        <v>26</v>
      </c>
      <c r="S74" s="35">
        <v>102144077</v>
      </c>
      <c r="T74" s="59">
        <v>1</v>
      </c>
      <c r="U74" s="59" t="s">
        <v>26</v>
      </c>
      <c r="V74" s="59" t="s">
        <v>26</v>
      </c>
      <c r="W74" s="35" t="s">
        <v>26</v>
      </c>
      <c r="X74" s="59" t="s">
        <v>26</v>
      </c>
      <c r="Y74" s="59" t="s">
        <v>26</v>
      </c>
      <c r="Z74" s="59" t="s">
        <v>26</v>
      </c>
      <c r="AA74" s="35">
        <v>43262197.700000003</v>
      </c>
      <c r="AB74" s="59">
        <v>1</v>
      </c>
      <c r="AC74" s="59" t="s">
        <v>26</v>
      </c>
      <c r="AD74" s="59" t="s">
        <v>26</v>
      </c>
      <c r="AE74" s="35">
        <v>1005486102.3</v>
      </c>
      <c r="AF74" s="59">
        <v>0.77200455143034996</v>
      </c>
      <c r="AG74" s="59" t="s">
        <v>26</v>
      </c>
      <c r="AH74" s="59" t="s">
        <v>26</v>
      </c>
      <c r="AI74" s="35" t="s">
        <v>26</v>
      </c>
      <c r="AJ74" s="59" t="s">
        <v>26</v>
      </c>
      <c r="AK74" s="59" t="s">
        <v>26</v>
      </c>
      <c r="AL74" s="59" t="s">
        <v>26</v>
      </c>
      <c r="AM74" s="35" t="s">
        <v>26</v>
      </c>
      <c r="AN74" s="59" t="s">
        <v>26</v>
      </c>
      <c r="AO74" s="59" t="s">
        <v>26</v>
      </c>
      <c r="AP74" s="59" t="s">
        <v>26</v>
      </c>
      <c r="AQ74" s="35" t="s">
        <v>26</v>
      </c>
      <c r="AR74" s="59" t="s">
        <v>26</v>
      </c>
      <c r="AS74" s="59" t="s">
        <v>26</v>
      </c>
      <c r="AT74" s="59" t="s">
        <v>26</v>
      </c>
      <c r="AU74" s="35">
        <v>102144077</v>
      </c>
      <c r="AV74" s="59">
        <v>1</v>
      </c>
      <c r="AW74" s="59" t="s">
        <v>26</v>
      </c>
      <c r="AX74" s="59" t="s">
        <v>26</v>
      </c>
      <c r="AY74" s="35">
        <v>1107630179.3</v>
      </c>
      <c r="AZ74" s="59">
        <v>0.78858487604515004</v>
      </c>
      <c r="BA74" s="59" t="s">
        <v>26</v>
      </c>
      <c r="BB74" s="59" t="s">
        <v>26</v>
      </c>
    </row>
    <row r="75" spans="1:54">
      <c r="A75" s="3" t="s">
        <v>67</v>
      </c>
      <c r="B75" s="36" t="s">
        <v>129</v>
      </c>
      <c r="C75" s="35" t="s">
        <v>26</v>
      </c>
      <c r="D75" s="59" t="s">
        <v>26</v>
      </c>
      <c r="E75" s="59" t="s">
        <v>26</v>
      </c>
      <c r="F75" s="59" t="s">
        <v>26</v>
      </c>
      <c r="G75" s="35" t="s">
        <v>26</v>
      </c>
      <c r="H75" s="59" t="s">
        <v>26</v>
      </c>
      <c r="I75" s="59" t="s">
        <v>26</v>
      </c>
      <c r="J75" s="59" t="s">
        <v>26</v>
      </c>
      <c r="K75" s="35" t="s">
        <v>26</v>
      </c>
      <c r="L75" s="59" t="s">
        <v>26</v>
      </c>
      <c r="M75" s="59" t="s">
        <v>26</v>
      </c>
      <c r="N75" s="59" t="s">
        <v>26</v>
      </c>
      <c r="O75" s="35">
        <v>296949356.70999998</v>
      </c>
      <c r="P75" s="59">
        <v>0.64254877667881005</v>
      </c>
      <c r="Q75" s="59" t="s">
        <v>26</v>
      </c>
      <c r="R75" s="59" t="s">
        <v>26</v>
      </c>
      <c r="S75" s="35" t="s">
        <v>26</v>
      </c>
      <c r="T75" s="59" t="s">
        <v>26</v>
      </c>
      <c r="U75" s="59" t="s">
        <v>26</v>
      </c>
      <c r="V75" s="59" t="s">
        <v>26</v>
      </c>
      <c r="W75" s="35" t="s">
        <v>26</v>
      </c>
      <c r="X75" s="59" t="s">
        <v>26</v>
      </c>
      <c r="Y75" s="59" t="s">
        <v>26</v>
      </c>
      <c r="Z75" s="59" t="s">
        <v>26</v>
      </c>
      <c r="AA75" s="35" t="s">
        <v>26</v>
      </c>
      <c r="AB75" s="59" t="s">
        <v>26</v>
      </c>
      <c r="AC75" s="59" t="s">
        <v>26</v>
      </c>
      <c r="AD75" s="59" t="s">
        <v>26</v>
      </c>
      <c r="AE75" s="35">
        <v>296949356.70999998</v>
      </c>
      <c r="AF75" s="59">
        <v>0.22799544856965001</v>
      </c>
      <c r="AG75" s="59" t="s">
        <v>26</v>
      </c>
      <c r="AH75" s="59" t="s">
        <v>26</v>
      </c>
      <c r="AI75" s="35" t="s">
        <v>26</v>
      </c>
      <c r="AJ75" s="59" t="s">
        <v>26</v>
      </c>
      <c r="AK75" s="59" t="s">
        <v>26</v>
      </c>
      <c r="AL75" s="59" t="s">
        <v>26</v>
      </c>
      <c r="AM75" s="35" t="s">
        <v>26</v>
      </c>
      <c r="AN75" s="59" t="s">
        <v>26</v>
      </c>
      <c r="AO75" s="59" t="s">
        <v>26</v>
      </c>
      <c r="AP75" s="59" t="s">
        <v>26</v>
      </c>
      <c r="AQ75" s="35" t="s">
        <v>26</v>
      </c>
      <c r="AR75" s="59" t="s">
        <v>26</v>
      </c>
      <c r="AS75" s="59" t="s">
        <v>26</v>
      </c>
      <c r="AT75" s="59" t="s">
        <v>26</v>
      </c>
      <c r="AU75" s="35" t="s">
        <v>26</v>
      </c>
      <c r="AV75" s="59" t="s">
        <v>26</v>
      </c>
      <c r="AW75" s="59" t="s">
        <v>26</v>
      </c>
      <c r="AX75" s="59" t="s">
        <v>26</v>
      </c>
      <c r="AY75" s="35">
        <v>296949356.70999998</v>
      </c>
      <c r="AZ75" s="59">
        <v>0.21141512395484999</v>
      </c>
      <c r="BA75" s="59" t="s">
        <v>26</v>
      </c>
      <c r="BB75" s="59" t="s">
        <v>26</v>
      </c>
    </row>
    <row r="76" spans="1:54" s="7" customFormat="1">
      <c r="A76" s="5" t="s">
        <v>68</v>
      </c>
      <c r="B76" s="24" t="s">
        <v>25</v>
      </c>
      <c r="C76" s="10" t="s">
        <v>26</v>
      </c>
      <c r="D76" s="11" t="s">
        <v>26</v>
      </c>
      <c r="E76" s="11" t="s">
        <v>26</v>
      </c>
      <c r="F76" s="11" t="s">
        <v>26</v>
      </c>
      <c r="G76" s="10">
        <v>524600733</v>
      </c>
      <c r="H76" s="11">
        <v>3.4472058122299999E-3</v>
      </c>
      <c r="I76" s="11">
        <v>0.09</v>
      </c>
      <c r="J76" s="11">
        <v>8.6599999999999996E-2</v>
      </c>
      <c r="K76" s="10" t="s">
        <v>26</v>
      </c>
      <c r="L76" s="11" t="s">
        <v>26</v>
      </c>
      <c r="M76" s="11" t="s">
        <v>26</v>
      </c>
      <c r="N76" s="11" t="s">
        <v>26</v>
      </c>
      <c r="O76" s="10">
        <v>1154131378.9100001</v>
      </c>
      <c r="P76" s="11">
        <v>5.0894068570099997E-3</v>
      </c>
      <c r="Q76" s="11">
        <v>0.09</v>
      </c>
      <c r="R76" s="11">
        <v>8.4900000000000003E-2</v>
      </c>
      <c r="S76" s="10">
        <v>527977824.50999999</v>
      </c>
      <c r="T76" s="11">
        <v>4.7050585484999996E-3</v>
      </c>
      <c r="U76" s="11">
        <v>0.09</v>
      </c>
      <c r="V76" s="11">
        <v>8.5300000000000001E-2</v>
      </c>
      <c r="W76" s="10" t="s">
        <v>26</v>
      </c>
      <c r="X76" s="11" t="s">
        <v>26</v>
      </c>
      <c r="Y76" s="11" t="s">
        <v>26</v>
      </c>
      <c r="Z76" s="11" t="s">
        <v>26</v>
      </c>
      <c r="AA76" s="10">
        <v>1404339038.55</v>
      </c>
      <c r="AB76" s="11">
        <v>1.006683039533E-2</v>
      </c>
      <c r="AC76" s="11">
        <v>0.09</v>
      </c>
      <c r="AD76" s="11">
        <v>7.9899999999999999E-2</v>
      </c>
      <c r="AE76" s="10">
        <v>3611048974.9699998</v>
      </c>
      <c r="AF76" s="11">
        <v>5.5870662322600002E-3</v>
      </c>
      <c r="AG76" s="11">
        <v>0.09</v>
      </c>
      <c r="AH76" s="11">
        <v>8.4400000000000003E-2</v>
      </c>
      <c r="AI76" s="10">
        <v>98176964.909999996</v>
      </c>
      <c r="AJ76" s="11">
        <v>5.7472657681099997E-3</v>
      </c>
      <c r="AK76" s="11">
        <v>0.09</v>
      </c>
      <c r="AL76" s="11">
        <v>8.43E-2</v>
      </c>
      <c r="AM76" s="10">
        <v>13808438.98</v>
      </c>
      <c r="AN76" s="11">
        <v>5.7951936237000002E-4</v>
      </c>
      <c r="AO76" s="11">
        <v>0.09</v>
      </c>
      <c r="AP76" s="11">
        <v>8.9399999999999993E-2</v>
      </c>
      <c r="AQ76" s="10">
        <v>111985403.89</v>
      </c>
      <c r="AR76" s="11">
        <v>2.73737510255E-3</v>
      </c>
      <c r="AS76" s="11">
        <v>0.09</v>
      </c>
      <c r="AT76" s="11">
        <v>8.7300000000000003E-2</v>
      </c>
      <c r="AU76" s="10">
        <v>190152938.16999999</v>
      </c>
      <c r="AV76" s="11">
        <v>4.1645380862400001E-3</v>
      </c>
      <c r="AW76" s="11">
        <v>0.09</v>
      </c>
      <c r="AX76" s="11">
        <v>8.5800000000000001E-2</v>
      </c>
      <c r="AY76" s="10">
        <v>3913187317.0300002</v>
      </c>
      <c r="AZ76" s="11">
        <v>5.3393725394499996E-3</v>
      </c>
      <c r="BA76" s="11">
        <v>0.09</v>
      </c>
      <c r="BB76" s="11">
        <v>8.4699999999999998E-2</v>
      </c>
    </row>
    <row r="77" spans="1:54">
      <c r="A77" s="3" t="s">
        <v>67</v>
      </c>
      <c r="B77" s="36" t="s">
        <v>37</v>
      </c>
      <c r="C77" s="35" t="s">
        <v>26</v>
      </c>
      <c r="D77" s="59" t="s">
        <v>26</v>
      </c>
      <c r="E77" s="59" t="s">
        <v>26</v>
      </c>
      <c r="F77" s="59" t="s">
        <v>26</v>
      </c>
      <c r="G77" s="35">
        <v>524600733</v>
      </c>
      <c r="H77" s="59">
        <v>1</v>
      </c>
      <c r="I77" s="59" t="s">
        <v>26</v>
      </c>
      <c r="J77" s="59" t="s">
        <v>26</v>
      </c>
      <c r="K77" s="35" t="s">
        <v>26</v>
      </c>
      <c r="L77" s="59" t="s">
        <v>26</v>
      </c>
      <c r="M77" s="59" t="s">
        <v>26</v>
      </c>
      <c r="N77" s="59" t="s">
        <v>26</v>
      </c>
      <c r="O77" s="35">
        <v>1154131378.9100001</v>
      </c>
      <c r="P77" s="59">
        <v>1</v>
      </c>
      <c r="Q77" s="59" t="s">
        <v>26</v>
      </c>
      <c r="R77" s="59" t="s">
        <v>26</v>
      </c>
      <c r="S77" s="35">
        <v>527977824.50999999</v>
      </c>
      <c r="T77" s="59">
        <v>1</v>
      </c>
      <c r="U77" s="59" t="s">
        <v>26</v>
      </c>
      <c r="V77" s="59" t="s">
        <v>26</v>
      </c>
      <c r="W77" s="35" t="s">
        <v>26</v>
      </c>
      <c r="X77" s="59" t="s">
        <v>26</v>
      </c>
      <c r="Y77" s="59" t="s">
        <v>26</v>
      </c>
      <c r="Z77" s="59" t="s">
        <v>26</v>
      </c>
      <c r="AA77" s="35">
        <v>1404339038.55</v>
      </c>
      <c r="AB77" s="59">
        <v>1</v>
      </c>
      <c r="AC77" s="59" t="s">
        <v>26</v>
      </c>
      <c r="AD77" s="59" t="s">
        <v>26</v>
      </c>
      <c r="AE77" s="35">
        <v>3611048974.9699998</v>
      </c>
      <c r="AF77" s="59">
        <v>1</v>
      </c>
      <c r="AG77" s="59" t="s">
        <v>26</v>
      </c>
      <c r="AH77" s="59" t="s">
        <v>26</v>
      </c>
      <c r="AI77" s="35">
        <v>98176964.909999996</v>
      </c>
      <c r="AJ77" s="59">
        <v>1</v>
      </c>
      <c r="AK77" s="59" t="s">
        <v>26</v>
      </c>
      <c r="AL77" s="59" t="s">
        <v>26</v>
      </c>
      <c r="AM77" s="35">
        <v>13808438.98</v>
      </c>
      <c r="AN77" s="59">
        <v>1</v>
      </c>
      <c r="AO77" s="59" t="s">
        <v>26</v>
      </c>
      <c r="AP77" s="59" t="s">
        <v>26</v>
      </c>
      <c r="AQ77" s="35">
        <v>111985403.89</v>
      </c>
      <c r="AR77" s="59">
        <v>1</v>
      </c>
      <c r="AS77" s="59" t="s">
        <v>26</v>
      </c>
      <c r="AT77" s="59" t="s">
        <v>26</v>
      </c>
      <c r="AU77" s="35">
        <v>190152938.16999999</v>
      </c>
      <c r="AV77" s="59">
        <v>1</v>
      </c>
      <c r="AW77" s="59" t="s">
        <v>26</v>
      </c>
      <c r="AX77" s="59" t="s">
        <v>26</v>
      </c>
      <c r="AY77" s="35">
        <v>3913187317.0300002</v>
      </c>
      <c r="AZ77" s="59">
        <v>1</v>
      </c>
      <c r="BA77" s="59" t="s">
        <v>26</v>
      </c>
      <c r="BB77" s="59" t="s">
        <v>26</v>
      </c>
    </row>
    <row r="78" spans="1:54" s="7" customFormat="1">
      <c r="A78" s="5" t="s">
        <v>69</v>
      </c>
      <c r="B78" s="24" t="s">
        <v>25</v>
      </c>
      <c r="C78" s="10">
        <v>351660792.88999999</v>
      </c>
      <c r="D78" s="11">
        <v>5.4943894730799997E-2</v>
      </c>
      <c r="E78" s="11">
        <v>0.08</v>
      </c>
      <c r="F78" s="11">
        <v>2.5100000000000001E-2</v>
      </c>
      <c r="G78" s="10">
        <v>468711219.08999997</v>
      </c>
      <c r="H78" s="11">
        <v>3.0799500211600001E-3</v>
      </c>
      <c r="I78" s="11">
        <v>0.08</v>
      </c>
      <c r="J78" s="11">
        <v>7.6899999999999996E-2</v>
      </c>
      <c r="K78" s="10">
        <v>164879391.11000001</v>
      </c>
      <c r="L78" s="11">
        <v>5.5033594896899997E-2</v>
      </c>
      <c r="M78" s="11">
        <v>0.08</v>
      </c>
      <c r="N78" s="11">
        <v>2.5000000000000001E-2</v>
      </c>
      <c r="O78" s="10">
        <v>1445890742.79</v>
      </c>
      <c r="P78" s="11">
        <v>6.3759866470200002E-3</v>
      </c>
      <c r="Q78" s="11">
        <v>0.08</v>
      </c>
      <c r="R78" s="11">
        <v>7.3599999999999999E-2</v>
      </c>
      <c r="S78" s="10">
        <v>311844211.69</v>
      </c>
      <c r="T78" s="11">
        <v>2.7789903399299998E-3</v>
      </c>
      <c r="U78" s="11">
        <v>0.08</v>
      </c>
      <c r="V78" s="11">
        <v>7.7200000000000005E-2</v>
      </c>
      <c r="W78" s="10" t="s">
        <v>26</v>
      </c>
      <c r="X78" s="11" t="s">
        <v>26</v>
      </c>
      <c r="Y78" s="11" t="s">
        <v>26</v>
      </c>
      <c r="Z78" s="11" t="s">
        <v>26</v>
      </c>
      <c r="AA78" s="10" t="s">
        <v>26</v>
      </c>
      <c r="AB78" s="11" t="s">
        <v>26</v>
      </c>
      <c r="AC78" s="11" t="s">
        <v>26</v>
      </c>
      <c r="AD78" s="11" t="s">
        <v>26</v>
      </c>
      <c r="AE78" s="10">
        <v>2742986357.5700002</v>
      </c>
      <c r="AF78" s="11">
        <v>4.24398742862E-3</v>
      </c>
      <c r="AG78" s="11">
        <v>0.08</v>
      </c>
      <c r="AH78" s="11">
        <v>7.5800000000000006E-2</v>
      </c>
      <c r="AI78" s="10" t="s">
        <v>26</v>
      </c>
      <c r="AJ78" s="11" t="s">
        <v>26</v>
      </c>
      <c r="AK78" s="11" t="s">
        <v>26</v>
      </c>
      <c r="AL78" s="11" t="s">
        <v>26</v>
      </c>
      <c r="AM78" s="10" t="s">
        <v>26</v>
      </c>
      <c r="AN78" s="11" t="s">
        <v>26</v>
      </c>
      <c r="AO78" s="11" t="s">
        <v>26</v>
      </c>
      <c r="AP78" s="11" t="s">
        <v>26</v>
      </c>
      <c r="AQ78" s="10" t="s">
        <v>26</v>
      </c>
      <c r="AR78" s="11" t="s">
        <v>26</v>
      </c>
      <c r="AS78" s="11" t="s">
        <v>26</v>
      </c>
      <c r="AT78" s="11" t="s">
        <v>26</v>
      </c>
      <c r="AU78" s="10" t="s">
        <v>26</v>
      </c>
      <c r="AV78" s="11" t="s">
        <v>26</v>
      </c>
      <c r="AW78" s="11" t="s">
        <v>26</v>
      </c>
      <c r="AX78" s="11" t="s">
        <v>26</v>
      </c>
      <c r="AY78" s="10">
        <v>2742986357.5700002</v>
      </c>
      <c r="AZ78" s="11">
        <v>3.74268463203E-3</v>
      </c>
      <c r="BA78" s="11">
        <v>0.08</v>
      </c>
      <c r="BB78" s="11">
        <v>7.6300000000000007E-2</v>
      </c>
    </row>
    <row r="79" spans="1:54">
      <c r="A79" s="3" t="s">
        <v>67</v>
      </c>
      <c r="B79" s="36" t="s">
        <v>56</v>
      </c>
      <c r="C79" s="35">
        <v>351660792.88999999</v>
      </c>
      <c r="D79" s="59">
        <v>1</v>
      </c>
      <c r="E79" s="59" t="s">
        <v>26</v>
      </c>
      <c r="F79" s="59" t="s">
        <v>26</v>
      </c>
      <c r="G79" s="35">
        <v>468711219.08999997</v>
      </c>
      <c r="H79" s="59">
        <v>1</v>
      </c>
      <c r="I79" s="59" t="s">
        <v>26</v>
      </c>
      <c r="J79" s="59" t="s">
        <v>26</v>
      </c>
      <c r="K79" s="35">
        <v>164879391.11000001</v>
      </c>
      <c r="L79" s="59">
        <v>1</v>
      </c>
      <c r="M79" s="59" t="s">
        <v>26</v>
      </c>
      <c r="N79" s="59" t="s">
        <v>26</v>
      </c>
      <c r="O79" s="35">
        <v>1445890742.79</v>
      </c>
      <c r="P79" s="59">
        <v>1</v>
      </c>
      <c r="Q79" s="59" t="s">
        <v>26</v>
      </c>
      <c r="R79" s="59" t="s">
        <v>26</v>
      </c>
      <c r="S79" s="35">
        <v>311844211.69</v>
      </c>
      <c r="T79" s="59">
        <v>1</v>
      </c>
      <c r="U79" s="59" t="s">
        <v>26</v>
      </c>
      <c r="V79" s="59" t="s">
        <v>26</v>
      </c>
      <c r="W79" s="35" t="s">
        <v>26</v>
      </c>
      <c r="X79" s="59" t="s">
        <v>26</v>
      </c>
      <c r="Y79" s="59" t="s">
        <v>26</v>
      </c>
      <c r="Z79" s="59" t="s">
        <v>26</v>
      </c>
      <c r="AA79" s="35" t="s">
        <v>26</v>
      </c>
      <c r="AB79" s="59" t="s">
        <v>26</v>
      </c>
      <c r="AC79" s="59" t="s">
        <v>26</v>
      </c>
      <c r="AD79" s="59" t="s">
        <v>26</v>
      </c>
      <c r="AE79" s="35">
        <v>2742986357.5700002</v>
      </c>
      <c r="AF79" s="59">
        <v>1</v>
      </c>
      <c r="AG79" s="59" t="s">
        <v>26</v>
      </c>
      <c r="AH79" s="59" t="s">
        <v>26</v>
      </c>
      <c r="AI79" s="35" t="s">
        <v>26</v>
      </c>
      <c r="AJ79" s="59" t="s">
        <v>26</v>
      </c>
      <c r="AK79" s="59" t="s">
        <v>26</v>
      </c>
      <c r="AL79" s="59" t="s">
        <v>26</v>
      </c>
      <c r="AM79" s="35" t="s">
        <v>26</v>
      </c>
      <c r="AN79" s="59" t="s">
        <v>26</v>
      </c>
      <c r="AO79" s="59" t="s">
        <v>26</v>
      </c>
      <c r="AP79" s="59" t="s">
        <v>26</v>
      </c>
      <c r="AQ79" s="35" t="s">
        <v>26</v>
      </c>
      <c r="AR79" s="59" t="s">
        <v>26</v>
      </c>
      <c r="AS79" s="59" t="s">
        <v>26</v>
      </c>
      <c r="AT79" s="59" t="s">
        <v>26</v>
      </c>
      <c r="AU79" s="35" t="s">
        <v>26</v>
      </c>
      <c r="AV79" s="59" t="s">
        <v>26</v>
      </c>
      <c r="AW79" s="59" t="s">
        <v>26</v>
      </c>
      <c r="AX79" s="59" t="s">
        <v>26</v>
      </c>
      <c r="AY79" s="35">
        <v>2742986357.5700002</v>
      </c>
      <c r="AZ79" s="59">
        <v>1</v>
      </c>
      <c r="BA79" s="59" t="s">
        <v>26</v>
      </c>
      <c r="BB79" s="59" t="s">
        <v>26</v>
      </c>
    </row>
    <row r="80" spans="1:54" s="7" customFormat="1">
      <c r="A80" s="5" t="s">
        <v>70</v>
      </c>
      <c r="B80" s="24" t="s">
        <v>25</v>
      </c>
      <c r="C80" s="10" t="s">
        <v>26</v>
      </c>
      <c r="D80" s="11" t="s">
        <v>26</v>
      </c>
      <c r="E80" s="11" t="s">
        <v>26</v>
      </c>
      <c r="F80" s="11" t="s">
        <v>26</v>
      </c>
      <c r="G80" s="10">
        <v>2645136033.4000001</v>
      </c>
      <c r="H80" s="11">
        <v>1.7381463148779999E-2</v>
      </c>
      <c r="I80" s="11">
        <v>0.09</v>
      </c>
      <c r="J80" s="11">
        <v>7.2599999999999998E-2</v>
      </c>
      <c r="K80" s="10" t="s">
        <v>26</v>
      </c>
      <c r="L80" s="11" t="s">
        <v>26</v>
      </c>
      <c r="M80" s="11" t="s">
        <v>26</v>
      </c>
      <c r="N80" s="11" t="s">
        <v>26</v>
      </c>
      <c r="O80" s="10">
        <v>2226520736.7800002</v>
      </c>
      <c r="P80" s="11">
        <v>9.8183535359199995E-3</v>
      </c>
      <c r="Q80" s="11">
        <v>0.09</v>
      </c>
      <c r="R80" s="11">
        <v>8.0199999999999994E-2</v>
      </c>
      <c r="S80" s="10">
        <v>1393890513.2</v>
      </c>
      <c r="T80" s="11">
        <v>1.2421613504099999E-2</v>
      </c>
      <c r="U80" s="11">
        <v>0.09</v>
      </c>
      <c r="V80" s="11">
        <v>7.7600000000000002E-2</v>
      </c>
      <c r="W80" s="10" t="s">
        <v>26</v>
      </c>
      <c r="X80" s="11" t="s">
        <v>26</v>
      </c>
      <c r="Y80" s="11" t="s">
        <v>26</v>
      </c>
      <c r="Z80" s="11" t="s">
        <v>26</v>
      </c>
      <c r="AA80" s="10">
        <v>1857825955.73</v>
      </c>
      <c r="AB80" s="11">
        <v>1.331759517252E-2</v>
      </c>
      <c r="AC80" s="11">
        <v>0.09</v>
      </c>
      <c r="AD80" s="11">
        <v>7.6700000000000004E-2</v>
      </c>
      <c r="AE80" s="10">
        <v>8123373239.1099997</v>
      </c>
      <c r="AF80" s="11">
        <v>1.2568598385359999E-2</v>
      </c>
      <c r="AG80" s="11">
        <v>0.09</v>
      </c>
      <c r="AH80" s="11">
        <v>7.7399999999999997E-2</v>
      </c>
      <c r="AI80" s="10">
        <v>16558732.98</v>
      </c>
      <c r="AJ80" s="11">
        <v>9.6934590823999996E-4</v>
      </c>
      <c r="AK80" s="11">
        <v>0.09</v>
      </c>
      <c r="AL80" s="11">
        <v>8.8999999999999996E-2</v>
      </c>
      <c r="AM80" s="10">
        <v>118424753.75</v>
      </c>
      <c r="AN80" s="11">
        <v>4.9701083432399998E-3</v>
      </c>
      <c r="AO80" s="11">
        <v>0.09</v>
      </c>
      <c r="AP80" s="11">
        <v>8.5000000000000006E-2</v>
      </c>
      <c r="AQ80" s="10">
        <v>134983486.72999999</v>
      </c>
      <c r="AR80" s="11">
        <v>3.29954103834E-3</v>
      </c>
      <c r="AS80" s="11">
        <v>0.09</v>
      </c>
      <c r="AT80" s="11">
        <v>8.6699999999999999E-2</v>
      </c>
      <c r="AU80" s="10">
        <v>488256218.82999998</v>
      </c>
      <c r="AV80" s="11">
        <v>1.0693295821409999E-2</v>
      </c>
      <c r="AW80" s="11">
        <v>0.09</v>
      </c>
      <c r="AX80" s="11">
        <v>7.9299999999999995E-2</v>
      </c>
      <c r="AY80" s="10">
        <v>8746612944.6700001</v>
      </c>
      <c r="AZ80" s="11">
        <v>1.193436991035E-2</v>
      </c>
      <c r="BA80" s="11">
        <v>0.09</v>
      </c>
      <c r="BB80" s="11">
        <v>7.8100000000000003E-2</v>
      </c>
    </row>
    <row r="81" spans="1:54">
      <c r="A81" s="3" t="s">
        <v>67</v>
      </c>
      <c r="B81" s="36" t="s">
        <v>37</v>
      </c>
      <c r="C81" s="35" t="s">
        <v>26</v>
      </c>
      <c r="D81" s="59" t="s">
        <v>26</v>
      </c>
      <c r="E81" s="59" t="s">
        <v>26</v>
      </c>
      <c r="F81" s="59" t="s">
        <v>26</v>
      </c>
      <c r="G81" s="35">
        <v>2645136033.4000001</v>
      </c>
      <c r="H81" s="59">
        <v>1</v>
      </c>
      <c r="I81" s="59" t="s">
        <v>26</v>
      </c>
      <c r="J81" s="59" t="s">
        <v>26</v>
      </c>
      <c r="K81" s="35" t="s">
        <v>26</v>
      </c>
      <c r="L81" s="59" t="s">
        <v>26</v>
      </c>
      <c r="M81" s="59" t="s">
        <v>26</v>
      </c>
      <c r="N81" s="59" t="s">
        <v>26</v>
      </c>
      <c r="O81" s="35">
        <v>2226520736.7800002</v>
      </c>
      <c r="P81" s="59">
        <v>1</v>
      </c>
      <c r="Q81" s="59" t="s">
        <v>26</v>
      </c>
      <c r="R81" s="59" t="s">
        <v>26</v>
      </c>
      <c r="S81" s="35">
        <v>1393890513.2</v>
      </c>
      <c r="T81" s="59">
        <v>1</v>
      </c>
      <c r="U81" s="59" t="s">
        <v>26</v>
      </c>
      <c r="V81" s="59" t="s">
        <v>26</v>
      </c>
      <c r="W81" s="35" t="s">
        <v>26</v>
      </c>
      <c r="X81" s="59" t="s">
        <v>26</v>
      </c>
      <c r="Y81" s="59" t="s">
        <v>26</v>
      </c>
      <c r="Z81" s="59" t="s">
        <v>26</v>
      </c>
      <c r="AA81" s="35">
        <v>1857825955.73</v>
      </c>
      <c r="AB81" s="59">
        <v>1</v>
      </c>
      <c r="AC81" s="59" t="s">
        <v>26</v>
      </c>
      <c r="AD81" s="59" t="s">
        <v>26</v>
      </c>
      <c r="AE81" s="35">
        <v>8123373239.1099997</v>
      </c>
      <c r="AF81" s="59">
        <v>1</v>
      </c>
      <c r="AG81" s="59" t="s">
        <v>26</v>
      </c>
      <c r="AH81" s="59" t="s">
        <v>26</v>
      </c>
      <c r="AI81" s="35">
        <v>16558732.98</v>
      </c>
      <c r="AJ81" s="59">
        <v>1</v>
      </c>
      <c r="AK81" s="59" t="s">
        <v>26</v>
      </c>
      <c r="AL81" s="59" t="s">
        <v>26</v>
      </c>
      <c r="AM81" s="35">
        <v>118424753.75</v>
      </c>
      <c r="AN81" s="59">
        <v>1</v>
      </c>
      <c r="AO81" s="59" t="s">
        <v>26</v>
      </c>
      <c r="AP81" s="59" t="s">
        <v>26</v>
      </c>
      <c r="AQ81" s="35">
        <v>134983486.72999999</v>
      </c>
      <c r="AR81" s="59">
        <v>1</v>
      </c>
      <c r="AS81" s="59" t="s">
        <v>26</v>
      </c>
      <c r="AT81" s="59" t="s">
        <v>26</v>
      </c>
      <c r="AU81" s="35">
        <v>488256218.82999998</v>
      </c>
      <c r="AV81" s="59">
        <v>1</v>
      </c>
      <c r="AW81" s="59" t="s">
        <v>26</v>
      </c>
      <c r="AX81" s="59" t="s">
        <v>26</v>
      </c>
      <c r="AY81" s="35">
        <v>8746612944.6700001</v>
      </c>
      <c r="AZ81" s="59">
        <v>1</v>
      </c>
      <c r="BA81" s="59" t="s">
        <v>26</v>
      </c>
      <c r="BB81" s="59" t="s">
        <v>26</v>
      </c>
    </row>
    <row r="82" spans="1:54" s="7" customFormat="1">
      <c r="A82" s="5" t="s">
        <v>71</v>
      </c>
      <c r="B82" s="24" t="s">
        <v>25</v>
      </c>
      <c r="C82" s="10">
        <v>87670909.150000006</v>
      </c>
      <c r="D82" s="11">
        <v>1.3697805671489999E-2</v>
      </c>
      <c r="E82" s="11">
        <v>0.08</v>
      </c>
      <c r="F82" s="11">
        <v>6.6299999999999998E-2</v>
      </c>
      <c r="G82" s="10">
        <v>222645990.03</v>
      </c>
      <c r="H82" s="11">
        <v>1.46302988658E-3</v>
      </c>
      <c r="I82" s="11">
        <v>0.08</v>
      </c>
      <c r="J82" s="11">
        <v>7.85E-2</v>
      </c>
      <c r="K82" s="10">
        <v>105514985.09</v>
      </c>
      <c r="L82" s="11">
        <v>3.5218888824750001E-2</v>
      </c>
      <c r="M82" s="11">
        <v>0.08</v>
      </c>
      <c r="N82" s="11">
        <v>4.48E-2</v>
      </c>
      <c r="O82" s="10">
        <v>2745794678.1799998</v>
      </c>
      <c r="P82" s="11">
        <v>1.2108211004769999E-2</v>
      </c>
      <c r="Q82" s="11">
        <v>0.08</v>
      </c>
      <c r="R82" s="11">
        <v>6.7900000000000002E-2</v>
      </c>
      <c r="S82" s="10">
        <v>2895880541.29</v>
      </c>
      <c r="T82" s="11">
        <v>2.580655259313E-2</v>
      </c>
      <c r="U82" s="11">
        <v>0.08</v>
      </c>
      <c r="V82" s="11">
        <v>5.4199999999999998E-2</v>
      </c>
      <c r="W82" s="10" t="s">
        <v>26</v>
      </c>
      <c r="X82" s="11" t="s">
        <v>26</v>
      </c>
      <c r="Y82" s="11" t="s">
        <v>26</v>
      </c>
      <c r="Z82" s="11" t="s">
        <v>26</v>
      </c>
      <c r="AA82" s="10">
        <v>1889130667.47</v>
      </c>
      <c r="AB82" s="11">
        <v>1.354199911987E-2</v>
      </c>
      <c r="AC82" s="11">
        <v>0.08</v>
      </c>
      <c r="AD82" s="11">
        <v>6.6500000000000004E-2</v>
      </c>
      <c r="AE82" s="10">
        <v>7946637771.21</v>
      </c>
      <c r="AF82" s="11">
        <v>1.229515076069E-2</v>
      </c>
      <c r="AG82" s="11">
        <v>0.08</v>
      </c>
      <c r="AH82" s="11">
        <v>6.7699999999999996E-2</v>
      </c>
      <c r="AI82" s="10">
        <v>616350560.74000001</v>
      </c>
      <c r="AJ82" s="11">
        <v>3.6081075455370003E-2</v>
      </c>
      <c r="AK82" s="11">
        <v>0.08</v>
      </c>
      <c r="AL82" s="11">
        <v>4.3900000000000002E-2</v>
      </c>
      <c r="AM82" s="10">
        <v>1694129994.3800001</v>
      </c>
      <c r="AN82" s="11">
        <v>7.1100081300320001E-2</v>
      </c>
      <c r="AO82" s="11">
        <v>0.08</v>
      </c>
      <c r="AP82" s="11">
        <v>8.8999999999999999E-3</v>
      </c>
      <c r="AQ82" s="10">
        <v>2310480555.1199999</v>
      </c>
      <c r="AR82" s="11">
        <v>5.6477466944869999E-2</v>
      </c>
      <c r="AS82" s="11">
        <v>0.08</v>
      </c>
      <c r="AT82" s="11">
        <v>2.35E-2</v>
      </c>
      <c r="AU82" s="10">
        <v>711799221.40999997</v>
      </c>
      <c r="AV82" s="11">
        <v>1.5589109460239999E-2</v>
      </c>
      <c r="AW82" s="11">
        <v>0.08</v>
      </c>
      <c r="AX82" s="11">
        <v>6.4399999999999999E-2</v>
      </c>
      <c r="AY82" s="10">
        <v>10968917547.74</v>
      </c>
      <c r="AZ82" s="11">
        <v>1.496660711512E-2</v>
      </c>
      <c r="BA82" s="11">
        <v>0.08</v>
      </c>
      <c r="BB82" s="11">
        <v>6.5000000000000002E-2</v>
      </c>
    </row>
    <row r="83" spans="1:54">
      <c r="A83" s="3" t="s">
        <v>67</v>
      </c>
      <c r="B83" s="36" t="s">
        <v>56</v>
      </c>
      <c r="C83" s="35">
        <v>87670909.150000006</v>
      </c>
      <c r="D83" s="59">
        <v>1</v>
      </c>
      <c r="E83" s="59" t="s">
        <v>26</v>
      </c>
      <c r="F83" s="59" t="s">
        <v>26</v>
      </c>
      <c r="G83" s="35">
        <v>222645990.03</v>
      </c>
      <c r="H83" s="59">
        <v>1</v>
      </c>
      <c r="I83" s="59" t="s">
        <v>26</v>
      </c>
      <c r="J83" s="59" t="s">
        <v>26</v>
      </c>
      <c r="K83" s="35">
        <v>105514985.09</v>
      </c>
      <c r="L83" s="59">
        <v>1</v>
      </c>
      <c r="M83" s="59" t="s">
        <v>26</v>
      </c>
      <c r="N83" s="59" t="s">
        <v>26</v>
      </c>
      <c r="O83" s="35">
        <v>2745794678.1799998</v>
      </c>
      <c r="P83" s="59">
        <v>1</v>
      </c>
      <c r="Q83" s="59" t="s">
        <v>26</v>
      </c>
      <c r="R83" s="59" t="s">
        <v>26</v>
      </c>
      <c r="S83" s="35">
        <v>2895880541.29</v>
      </c>
      <c r="T83" s="59">
        <v>1</v>
      </c>
      <c r="U83" s="59" t="s">
        <v>26</v>
      </c>
      <c r="V83" s="59" t="s">
        <v>26</v>
      </c>
      <c r="W83" s="35" t="s">
        <v>26</v>
      </c>
      <c r="X83" s="59" t="s">
        <v>26</v>
      </c>
      <c r="Y83" s="59" t="s">
        <v>26</v>
      </c>
      <c r="Z83" s="59" t="s">
        <v>26</v>
      </c>
      <c r="AA83" s="35">
        <v>1889130667.47</v>
      </c>
      <c r="AB83" s="59">
        <v>1</v>
      </c>
      <c r="AC83" s="59" t="s">
        <v>26</v>
      </c>
      <c r="AD83" s="59" t="s">
        <v>26</v>
      </c>
      <c r="AE83" s="35">
        <v>7946637771.21</v>
      </c>
      <c r="AF83" s="59">
        <v>1</v>
      </c>
      <c r="AG83" s="59" t="s">
        <v>26</v>
      </c>
      <c r="AH83" s="59" t="s">
        <v>26</v>
      </c>
      <c r="AI83" s="35">
        <v>616350560.74000001</v>
      </c>
      <c r="AJ83" s="59">
        <v>1</v>
      </c>
      <c r="AK83" s="59" t="s">
        <v>26</v>
      </c>
      <c r="AL83" s="59" t="s">
        <v>26</v>
      </c>
      <c r="AM83" s="35">
        <v>1694129994.3800001</v>
      </c>
      <c r="AN83" s="59">
        <v>1</v>
      </c>
      <c r="AO83" s="59" t="s">
        <v>26</v>
      </c>
      <c r="AP83" s="59" t="s">
        <v>26</v>
      </c>
      <c r="AQ83" s="35">
        <v>2310480555.1199999</v>
      </c>
      <c r="AR83" s="59">
        <v>1</v>
      </c>
      <c r="AS83" s="59" t="s">
        <v>26</v>
      </c>
      <c r="AT83" s="59" t="s">
        <v>26</v>
      </c>
      <c r="AU83" s="35">
        <v>711799221.40999997</v>
      </c>
      <c r="AV83" s="59">
        <v>1</v>
      </c>
      <c r="AW83" s="59" t="s">
        <v>26</v>
      </c>
      <c r="AX83" s="59" t="s">
        <v>26</v>
      </c>
      <c r="AY83" s="35">
        <v>10968917547.74</v>
      </c>
      <c r="AZ83" s="59">
        <v>1</v>
      </c>
      <c r="BA83" s="59" t="s">
        <v>26</v>
      </c>
      <c r="BB83" s="59" t="s">
        <v>26</v>
      </c>
    </row>
    <row r="84" spans="1:54" s="7" customFormat="1">
      <c r="A84" s="5" t="s">
        <v>72</v>
      </c>
      <c r="B84" s="24" t="s">
        <v>25</v>
      </c>
      <c r="C84" s="10">
        <v>254697246.44</v>
      </c>
      <c r="D84" s="11">
        <v>3.9794196508570003E-2</v>
      </c>
      <c r="E84" s="11">
        <v>0.08</v>
      </c>
      <c r="F84" s="11">
        <v>4.02E-2</v>
      </c>
      <c r="G84" s="10">
        <v>864372994.80999994</v>
      </c>
      <c r="H84" s="11">
        <v>5.6798845754599996E-3</v>
      </c>
      <c r="I84" s="11">
        <v>0.08</v>
      </c>
      <c r="J84" s="11">
        <v>7.4300000000000005E-2</v>
      </c>
      <c r="K84" s="10">
        <v>106841685.81999999</v>
      </c>
      <c r="L84" s="11">
        <v>3.5661716215320001E-2</v>
      </c>
      <c r="M84" s="11">
        <v>0.08</v>
      </c>
      <c r="N84" s="11">
        <v>4.4299999999999999E-2</v>
      </c>
      <c r="O84" s="10">
        <v>1845592657.6099999</v>
      </c>
      <c r="P84" s="11">
        <v>8.1385638572199995E-3</v>
      </c>
      <c r="Q84" s="11">
        <v>0.08</v>
      </c>
      <c r="R84" s="11">
        <v>7.1900000000000006E-2</v>
      </c>
      <c r="S84" s="10" t="s">
        <v>26</v>
      </c>
      <c r="T84" s="11" t="s">
        <v>26</v>
      </c>
      <c r="U84" s="11" t="s">
        <v>26</v>
      </c>
      <c r="V84" s="11" t="s">
        <v>26</v>
      </c>
      <c r="W84" s="10" t="s">
        <v>26</v>
      </c>
      <c r="X84" s="11" t="s">
        <v>26</v>
      </c>
      <c r="Y84" s="11" t="s">
        <v>26</v>
      </c>
      <c r="Z84" s="11" t="s">
        <v>26</v>
      </c>
      <c r="AA84" s="10" t="s">
        <v>26</v>
      </c>
      <c r="AB84" s="11" t="s">
        <v>26</v>
      </c>
      <c r="AC84" s="11" t="s">
        <v>26</v>
      </c>
      <c r="AD84" s="11" t="s">
        <v>26</v>
      </c>
      <c r="AE84" s="10">
        <v>3071504584.6799998</v>
      </c>
      <c r="AF84" s="11">
        <v>4.7522754928700003E-3</v>
      </c>
      <c r="AG84" s="11">
        <v>0.08</v>
      </c>
      <c r="AH84" s="11">
        <v>7.5200000000000003E-2</v>
      </c>
      <c r="AI84" s="10" t="s">
        <v>26</v>
      </c>
      <c r="AJ84" s="11" t="s">
        <v>26</v>
      </c>
      <c r="AK84" s="11" t="s">
        <v>26</v>
      </c>
      <c r="AL84" s="11" t="s">
        <v>26</v>
      </c>
      <c r="AM84" s="10">
        <v>374391748.11000001</v>
      </c>
      <c r="AN84" s="11">
        <v>1.571265712613E-2</v>
      </c>
      <c r="AO84" s="11">
        <v>0.08</v>
      </c>
      <c r="AP84" s="11">
        <v>6.4299999999999996E-2</v>
      </c>
      <c r="AQ84" s="10">
        <v>374391748.11000001</v>
      </c>
      <c r="AR84" s="11">
        <v>9.15164489546E-3</v>
      </c>
      <c r="AS84" s="11">
        <v>0.08</v>
      </c>
      <c r="AT84" s="11">
        <v>7.0800000000000002E-2</v>
      </c>
      <c r="AU84" s="10" t="s">
        <v>26</v>
      </c>
      <c r="AV84" s="11" t="s">
        <v>26</v>
      </c>
      <c r="AW84" s="11" t="s">
        <v>26</v>
      </c>
      <c r="AX84" s="11" t="s">
        <v>26</v>
      </c>
      <c r="AY84" s="10">
        <v>3445896332.79</v>
      </c>
      <c r="AZ84" s="11">
        <v>4.7017744775500001E-3</v>
      </c>
      <c r="BA84" s="11">
        <v>0.08</v>
      </c>
      <c r="BB84" s="11">
        <v>7.5300000000000006E-2</v>
      </c>
    </row>
    <row r="85" spans="1:54">
      <c r="A85" s="3" t="s">
        <v>67</v>
      </c>
      <c r="B85" s="36" t="s">
        <v>56</v>
      </c>
      <c r="C85" s="35">
        <v>254697246.44</v>
      </c>
      <c r="D85" s="59">
        <v>1</v>
      </c>
      <c r="E85" s="59" t="s">
        <v>26</v>
      </c>
      <c r="F85" s="59" t="s">
        <v>26</v>
      </c>
      <c r="G85" s="35">
        <v>864372994.80999994</v>
      </c>
      <c r="H85" s="59">
        <v>1</v>
      </c>
      <c r="I85" s="59" t="s">
        <v>26</v>
      </c>
      <c r="J85" s="59" t="s">
        <v>26</v>
      </c>
      <c r="K85" s="35">
        <v>106841685.81999999</v>
      </c>
      <c r="L85" s="59">
        <v>1</v>
      </c>
      <c r="M85" s="59" t="s">
        <v>26</v>
      </c>
      <c r="N85" s="59" t="s">
        <v>26</v>
      </c>
      <c r="O85" s="35">
        <v>1845592657.6099999</v>
      </c>
      <c r="P85" s="59">
        <v>1</v>
      </c>
      <c r="Q85" s="59" t="s">
        <v>26</v>
      </c>
      <c r="R85" s="59" t="s">
        <v>26</v>
      </c>
      <c r="S85" s="35" t="s">
        <v>26</v>
      </c>
      <c r="T85" s="59" t="s">
        <v>26</v>
      </c>
      <c r="U85" s="59" t="s">
        <v>26</v>
      </c>
      <c r="V85" s="59" t="s">
        <v>26</v>
      </c>
      <c r="W85" s="35" t="s">
        <v>26</v>
      </c>
      <c r="X85" s="59" t="s">
        <v>26</v>
      </c>
      <c r="Y85" s="59" t="s">
        <v>26</v>
      </c>
      <c r="Z85" s="59" t="s">
        <v>26</v>
      </c>
      <c r="AA85" s="35" t="s">
        <v>26</v>
      </c>
      <c r="AB85" s="59" t="s">
        <v>26</v>
      </c>
      <c r="AC85" s="59" t="s">
        <v>26</v>
      </c>
      <c r="AD85" s="59" t="s">
        <v>26</v>
      </c>
      <c r="AE85" s="35">
        <v>3071504584.6799998</v>
      </c>
      <c r="AF85" s="59">
        <v>1</v>
      </c>
      <c r="AG85" s="59" t="s">
        <v>26</v>
      </c>
      <c r="AH85" s="59" t="s">
        <v>26</v>
      </c>
      <c r="AI85" s="35" t="s">
        <v>26</v>
      </c>
      <c r="AJ85" s="59" t="s">
        <v>26</v>
      </c>
      <c r="AK85" s="59" t="s">
        <v>26</v>
      </c>
      <c r="AL85" s="59" t="s">
        <v>26</v>
      </c>
      <c r="AM85" s="35">
        <v>374391748.11000001</v>
      </c>
      <c r="AN85" s="59">
        <v>1</v>
      </c>
      <c r="AO85" s="59" t="s">
        <v>26</v>
      </c>
      <c r="AP85" s="59" t="s">
        <v>26</v>
      </c>
      <c r="AQ85" s="35">
        <v>374391748.11000001</v>
      </c>
      <c r="AR85" s="59">
        <v>1</v>
      </c>
      <c r="AS85" s="59" t="s">
        <v>26</v>
      </c>
      <c r="AT85" s="59" t="s">
        <v>26</v>
      </c>
      <c r="AU85" s="35" t="s">
        <v>26</v>
      </c>
      <c r="AV85" s="59" t="s">
        <v>26</v>
      </c>
      <c r="AW85" s="59" t="s">
        <v>26</v>
      </c>
      <c r="AX85" s="59" t="s">
        <v>26</v>
      </c>
      <c r="AY85" s="35">
        <v>3445896332.79</v>
      </c>
      <c r="AZ85" s="59">
        <v>1</v>
      </c>
      <c r="BA85" s="59" t="s">
        <v>26</v>
      </c>
      <c r="BB85" s="59" t="s">
        <v>26</v>
      </c>
    </row>
    <row r="86" spans="1:54" s="7" customFormat="1">
      <c r="A86" s="5" t="s">
        <v>73</v>
      </c>
      <c r="B86" s="24" t="s">
        <v>25</v>
      </c>
      <c r="C86" s="10">
        <v>88073972.459999993</v>
      </c>
      <c r="D86" s="11">
        <v>1.376078075579E-2</v>
      </c>
      <c r="E86" s="11">
        <v>0.06</v>
      </c>
      <c r="F86" s="11">
        <v>4.6199999999999998E-2</v>
      </c>
      <c r="G86" s="10">
        <v>658632379.36000001</v>
      </c>
      <c r="H86" s="11">
        <v>4.3279416581599997E-3</v>
      </c>
      <c r="I86" s="11">
        <v>0.06</v>
      </c>
      <c r="J86" s="11">
        <v>5.57E-2</v>
      </c>
      <c r="K86" s="10">
        <v>33719460.25</v>
      </c>
      <c r="L86" s="11">
        <v>1.125491247298E-2</v>
      </c>
      <c r="M86" s="11">
        <v>0.06</v>
      </c>
      <c r="N86" s="11">
        <v>4.87E-2</v>
      </c>
      <c r="O86" s="10">
        <v>501965196.93000001</v>
      </c>
      <c r="P86" s="11">
        <v>2.2135305927199998E-3</v>
      </c>
      <c r="Q86" s="11">
        <v>0.06</v>
      </c>
      <c r="R86" s="11">
        <v>5.7799999999999997E-2</v>
      </c>
      <c r="S86" s="10">
        <v>330638761.55000001</v>
      </c>
      <c r="T86" s="11">
        <v>2.9464774073400001E-3</v>
      </c>
      <c r="U86" s="11">
        <v>0.06</v>
      </c>
      <c r="V86" s="11">
        <v>5.7099999999999998E-2</v>
      </c>
      <c r="W86" s="10" t="s">
        <v>26</v>
      </c>
      <c r="X86" s="11" t="s">
        <v>26</v>
      </c>
      <c r="Y86" s="11" t="s">
        <v>26</v>
      </c>
      <c r="Z86" s="11" t="s">
        <v>26</v>
      </c>
      <c r="AA86" s="10">
        <v>40425836.399999999</v>
      </c>
      <c r="AB86" s="11">
        <v>2.8978759933000003E-4</v>
      </c>
      <c r="AC86" s="11">
        <v>0.06</v>
      </c>
      <c r="AD86" s="11">
        <v>5.9700000000000003E-2</v>
      </c>
      <c r="AE86" s="10">
        <v>1653455606.95</v>
      </c>
      <c r="AF86" s="11">
        <v>2.55824998557E-3</v>
      </c>
      <c r="AG86" s="11">
        <v>0.06</v>
      </c>
      <c r="AH86" s="11">
        <v>5.74E-2</v>
      </c>
      <c r="AI86" s="10">
        <v>227205045.25</v>
      </c>
      <c r="AJ86" s="11">
        <v>1.3300551510270001E-2</v>
      </c>
      <c r="AK86" s="11">
        <v>0.06</v>
      </c>
      <c r="AL86" s="11">
        <v>4.6699999999999998E-2</v>
      </c>
      <c r="AM86" s="10" t="s">
        <v>26</v>
      </c>
      <c r="AN86" s="11" t="s">
        <v>26</v>
      </c>
      <c r="AO86" s="11" t="s">
        <v>26</v>
      </c>
      <c r="AP86" s="11" t="s">
        <v>26</v>
      </c>
      <c r="AQ86" s="10">
        <v>227205045.25</v>
      </c>
      <c r="AR86" s="11">
        <v>5.5538080181500001E-3</v>
      </c>
      <c r="AS86" s="11">
        <v>0.06</v>
      </c>
      <c r="AT86" s="11">
        <v>5.4399999999999997E-2</v>
      </c>
      <c r="AU86" s="10" t="s">
        <v>26</v>
      </c>
      <c r="AV86" s="11" t="s">
        <v>26</v>
      </c>
      <c r="AW86" s="11" t="s">
        <v>26</v>
      </c>
      <c r="AX86" s="11" t="s">
        <v>26</v>
      </c>
      <c r="AY86" s="10">
        <v>1880660652.2</v>
      </c>
      <c r="AZ86" s="11">
        <v>2.56607901152E-3</v>
      </c>
      <c r="BA86" s="11">
        <v>0.06</v>
      </c>
      <c r="BB86" s="11">
        <v>5.74E-2</v>
      </c>
    </row>
    <row r="87" spans="1:54">
      <c r="A87" s="3" t="s">
        <v>67</v>
      </c>
      <c r="B87" s="36" t="s">
        <v>46</v>
      </c>
      <c r="C87" s="35">
        <v>88073972.459999993</v>
      </c>
      <c r="D87" s="59">
        <v>1</v>
      </c>
      <c r="E87" s="59" t="s">
        <v>26</v>
      </c>
      <c r="F87" s="59" t="s">
        <v>26</v>
      </c>
      <c r="G87" s="35">
        <v>658632379.36000001</v>
      </c>
      <c r="H87" s="59">
        <v>1</v>
      </c>
      <c r="I87" s="59" t="s">
        <v>26</v>
      </c>
      <c r="J87" s="59" t="s">
        <v>26</v>
      </c>
      <c r="K87" s="35">
        <v>33719460.25</v>
      </c>
      <c r="L87" s="59">
        <v>1</v>
      </c>
      <c r="M87" s="59" t="s">
        <v>26</v>
      </c>
      <c r="N87" s="59" t="s">
        <v>26</v>
      </c>
      <c r="O87" s="35">
        <v>501965196.93000001</v>
      </c>
      <c r="P87" s="59">
        <v>1</v>
      </c>
      <c r="Q87" s="59" t="s">
        <v>26</v>
      </c>
      <c r="R87" s="59" t="s">
        <v>26</v>
      </c>
      <c r="S87" s="35">
        <v>330638761.55000001</v>
      </c>
      <c r="T87" s="59">
        <v>1</v>
      </c>
      <c r="U87" s="59" t="s">
        <v>26</v>
      </c>
      <c r="V87" s="59" t="s">
        <v>26</v>
      </c>
      <c r="W87" s="35" t="s">
        <v>26</v>
      </c>
      <c r="X87" s="59" t="s">
        <v>26</v>
      </c>
      <c r="Y87" s="59" t="s">
        <v>26</v>
      </c>
      <c r="Z87" s="59" t="s">
        <v>26</v>
      </c>
      <c r="AA87" s="35">
        <v>40425836.399999999</v>
      </c>
      <c r="AB87" s="59">
        <v>1</v>
      </c>
      <c r="AC87" s="59" t="s">
        <v>26</v>
      </c>
      <c r="AD87" s="59" t="s">
        <v>26</v>
      </c>
      <c r="AE87" s="35">
        <v>1653455606.95</v>
      </c>
      <c r="AF87" s="59">
        <v>1</v>
      </c>
      <c r="AG87" s="59" t="s">
        <v>26</v>
      </c>
      <c r="AH87" s="59" t="s">
        <v>26</v>
      </c>
      <c r="AI87" s="35">
        <v>227205045.25</v>
      </c>
      <c r="AJ87" s="59">
        <v>1</v>
      </c>
      <c r="AK87" s="59" t="s">
        <v>26</v>
      </c>
      <c r="AL87" s="59" t="s">
        <v>26</v>
      </c>
      <c r="AM87" s="35" t="s">
        <v>26</v>
      </c>
      <c r="AN87" s="59" t="s">
        <v>26</v>
      </c>
      <c r="AO87" s="59" t="s">
        <v>26</v>
      </c>
      <c r="AP87" s="59" t="s">
        <v>26</v>
      </c>
      <c r="AQ87" s="35">
        <v>227205045.25</v>
      </c>
      <c r="AR87" s="59">
        <v>1</v>
      </c>
      <c r="AS87" s="59" t="s">
        <v>26</v>
      </c>
      <c r="AT87" s="59" t="s">
        <v>26</v>
      </c>
      <c r="AU87" s="35" t="s">
        <v>26</v>
      </c>
      <c r="AV87" s="59" t="s">
        <v>26</v>
      </c>
      <c r="AW87" s="59" t="s">
        <v>26</v>
      </c>
      <c r="AX87" s="59" t="s">
        <v>26</v>
      </c>
      <c r="AY87" s="35">
        <v>1880660652.2</v>
      </c>
      <c r="AZ87" s="59">
        <v>1</v>
      </c>
      <c r="BA87" s="59" t="s">
        <v>26</v>
      </c>
      <c r="BB87" s="59" t="s">
        <v>26</v>
      </c>
    </row>
    <row r="88" spans="1:54" s="7" customFormat="1">
      <c r="A88" s="5" t="s">
        <v>74</v>
      </c>
      <c r="B88" s="24" t="s">
        <v>25</v>
      </c>
      <c r="C88" s="10">
        <v>36704411.100000001</v>
      </c>
      <c r="D88" s="11">
        <v>5.7347402394800004E-3</v>
      </c>
      <c r="E88" s="11">
        <v>0.06</v>
      </c>
      <c r="F88" s="11">
        <v>5.4300000000000001E-2</v>
      </c>
      <c r="G88" s="10">
        <v>795109630.36000001</v>
      </c>
      <c r="H88" s="11">
        <v>5.2247478257600004E-3</v>
      </c>
      <c r="I88" s="11">
        <v>0.06</v>
      </c>
      <c r="J88" s="11">
        <v>5.4800000000000001E-2</v>
      </c>
      <c r="K88" s="10">
        <v>50579390.25</v>
      </c>
      <c r="L88" s="11">
        <v>1.688243542393E-2</v>
      </c>
      <c r="M88" s="11">
        <v>0.06</v>
      </c>
      <c r="N88" s="11">
        <v>4.3099999999999999E-2</v>
      </c>
      <c r="O88" s="10">
        <v>419049294.32999998</v>
      </c>
      <c r="P88" s="11">
        <v>1.8478939148199999E-3</v>
      </c>
      <c r="Q88" s="11">
        <v>0.06</v>
      </c>
      <c r="R88" s="11">
        <v>5.8200000000000002E-2</v>
      </c>
      <c r="S88" s="10">
        <v>203798130</v>
      </c>
      <c r="T88" s="11">
        <v>1.81614092337E-3</v>
      </c>
      <c r="U88" s="11">
        <v>0.06</v>
      </c>
      <c r="V88" s="11">
        <v>5.8200000000000002E-2</v>
      </c>
      <c r="W88" s="10" t="s">
        <v>26</v>
      </c>
      <c r="X88" s="11" t="s">
        <v>26</v>
      </c>
      <c r="Y88" s="11" t="s">
        <v>26</v>
      </c>
      <c r="Z88" s="11" t="s">
        <v>26</v>
      </c>
      <c r="AA88" s="10" t="s">
        <v>26</v>
      </c>
      <c r="AB88" s="11" t="s">
        <v>26</v>
      </c>
      <c r="AC88" s="11" t="s">
        <v>26</v>
      </c>
      <c r="AD88" s="11" t="s">
        <v>26</v>
      </c>
      <c r="AE88" s="10">
        <v>1505240856.04</v>
      </c>
      <c r="AF88" s="11">
        <v>2.3289300190899999E-3</v>
      </c>
      <c r="AG88" s="11">
        <v>0.06</v>
      </c>
      <c r="AH88" s="11">
        <v>5.7700000000000001E-2</v>
      </c>
      <c r="AI88" s="10">
        <v>124174401</v>
      </c>
      <c r="AJ88" s="11">
        <v>7.2691520337500003E-3</v>
      </c>
      <c r="AK88" s="11">
        <v>0.06</v>
      </c>
      <c r="AL88" s="11">
        <v>5.2699999999999997E-2</v>
      </c>
      <c r="AM88" s="10" t="s">
        <v>26</v>
      </c>
      <c r="AN88" s="11" t="s">
        <v>26</v>
      </c>
      <c r="AO88" s="11" t="s">
        <v>26</v>
      </c>
      <c r="AP88" s="11" t="s">
        <v>26</v>
      </c>
      <c r="AQ88" s="10">
        <v>124174401</v>
      </c>
      <c r="AR88" s="11">
        <v>3.03532337129E-3</v>
      </c>
      <c r="AS88" s="11">
        <v>0.06</v>
      </c>
      <c r="AT88" s="11">
        <v>5.7000000000000002E-2</v>
      </c>
      <c r="AU88" s="10" t="s">
        <v>26</v>
      </c>
      <c r="AV88" s="11" t="s">
        <v>26</v>
      </c>
      <c r="AW88" s="11" t="s">
        <v>26</v>
      </c>
      <c r="AX88" s="11" t="s">
        <v>26</v>
      </c>
      <c r="AY88" s="10">
        <v>1629415257.04</v>
      </c>
      <c r="AZ88" s="11">
        <v>2.22326568445E-3</v>
      </c>
      <c r="BA88" s="11">
        <v>0.06</v>
      </c>
      <c r="BB88" s="11">
        <v>5.7799999999999997E-2</v>
      </c>
    </row>
    <row r="89" spans="1:54">
      <c r="A89" s="3" t="s">
        <v>67</v>
      </c>
      <c r="B89" s="36" t="s">
        <v>46</v>
      </c>
      <c r="C89" s="35">
        <v>36704411.100000001</v>
      </c>
      <c r="D89" s="59">
        <v>1</v>
      </c>
      <c r="E89" s="59" t="s">
        <v>26</v>
      </c>
      <c r="F89" s="59" t="s">
        <v>26</v>
      </c>
      <c r="G89" s="35">
        <v>795109630.36000001</v>
      </c>
      <c r="H89" s="59">
        <v>1</v>
      </c>
      <c r="I89" s="59" t="s">
        <v>26</v>
      </c>
      <c r="J89" s="59" t="s">
        <v>26</v>
      </c>
      <c r="K89" s="35">
        <v>50579390.25</v>
      </c>
      <c r="L89" s="59">
        <v>1</v>
      </c>
      <c r="M89" s="59" t="s">
        <v>26</v>
      </c>
      <c r="N89" s="59" t="s">
        <v>26</v>
      </c>
      <c r="O89" s="35">
        <v>419049294.32999998</v>
      </c>
      <c r="P89" s="59">
        <v>1</v>
      </c>
      <c r="Q89" s="59" t="s">
        <v>26</v>
      </c>
      <c r="R89" s="59" t="s">
        <v>26</v>
      </c>
      <c r="S89" s="35">
        <v>203798130</v>
      </c>
      <c r="T89" s="59">
        <v>1</v>
      </c>
      <c r="U89" s="59" t="s">
        <v>26</v>
      </c>
      <c r="V89" s="59" t="s">
        <v>26</v>
      </c>
      <c r="W89" s="35" t="s">
        <v>26</v>
      </c>
      <c r="X89" s="59" t="s">
        <v>26</v>
      </c>
      <c r="Y89" s="59" t="s">
        <v>26</v>
      </c>
      <c r="Z89" s="59" t="s">
        <v>26</v>
      </c>
      <c r="AA89" s="35" t="s">
        <v>26</v>
      </c>
      <c r="AB89" s="59" t="s">
        <v>26</v>
      </c>
      <c r="AC89" s="59" t="s">
        <v>26</v>
      </c>
      <c r="AD89" s="59" t="s">
        <v>26</v>
      </c>
      <c r="AE89" s="35">
        <v>1505240856.04</v>
      </c>
      <c r="AF89" s="59">
        <v>1</v>
      </c>
      <c r="AG89" s="59" t="s">
        <v>26</v>
      </c>
      <c r="AH89" s="59" t="s">
        <v>26</v>
      </c>
      <c r="AI89" s="35">
        <v>124174401</v>
      </c>
      <c r="AJ89" s="59">
        <v>1</v>
      </c>
      <c r="AK89" s="59" t="s">
        <v>26</v>
      </c>
      <c r="AL89" s="59" t="s">
        <v>26</v>
      </c>
      <c r="AM89" s="35" t="s">
        <v>26</v>
      </c>
      <c r="AN89" s="59" t="s">
        <v>26</v>
      </c>
      <c r="AO89" s="59" t="s">
        <v>26</v>
      </c>
      <c r="AP89" s="59" t="s">
        <v>26</v>
      </c>
      <c r="AQ89" s="35">
        <v>124174401</v>
      </c>
      <c r="AR89" s="59">
        <v>1</v>
      </c>
      <c r="AS89" s="59" t="s">
        <v>26</v>
      </c>
      <c r="AT89" s="59" t="s">
        <v>26</v>
      </c>
      <c r="AU89" s="35" t="s">
        <v>26</v>
      </c>
      <c r="AV89" s="59" t="s">
        <v>26</v>
      </c>
      <c r="AW89" s="59" t="s">
        <v>26</v>
      </c>
      <c r="AX89" s="59" t="s">
        <v>26</v>
      </c>
      <c r="AY89" s="35">
        <v>1629415257.04</v>
      </c>
      <c r="AZ89" s="59">
        <v>1</v>
      </c>
      <c r="BA89" s="59" t="s">
        <v>26</v>
      </c>
      <c r="BB89" s="59" t="s">
        <v>26</v>
      </c>
    </row>
    <row r="90" spans="1:54">
      <c r="A90" s="13" t="s">
        <v>75</v>
      </c>
      <c r="B90" s="25" t="s">
        <v>25</v>
      </c>
      <c r="C90" s="55" t="s">
        <v>26</v>
      </c>
      <c r="D90" s="56" t="s">
        <v>26</v>
      </c>
      <c r="E90" s="56" t="s">
        <v>26</v>
      </c>
      <c r="F90" s="56" t="s">
        <v>26</v>
      </c>
      <c r="G90" s="55" t="s">
        <v>26</v>
      </c>
      <c r="H90" s="56" t="s">
        <v>26</v>
      </c>
      <c r="I90" s="56" t="s">
        <v>26</v>
      </c>
      <c r="J90" s="56" t="s">
        <v>26</v>
      </c>
      <c r="K90" s="55" t="s">
        <v>26</v>
      </c>
      <c r="L90" s="56" t="s">
        <v>26</v>
      </c>
      <c r="M90" s="56" t="s">
        <v>26</v>
      </c>
      <c r="N90" s="56" t="s">
        <v>26</v>
      </c>
      <c r="O90" s="55">
        <v>127756258.75</v>
      </c>
      <c r="P90" s="56">
        <v>5.6337050632999995E-4</v>
      </c>
      <c r="Q90" s="56" t="s">
        <v>26</v>
      </c>
      <c r="R90" s="56" t="s">
        <v>26</v>
      </c>
      <c r="S90" s="55">
        <v>242409452.63999999</v>
      </c>
      <c r="T90" s="56">
        <v>2.1602245670799998E-3</v>
      </c>
      <c r="U90" s="56" t="s">
        <v>26</v>
      </c>
      <c r="V90" s="56" t="s">
        <v>26</v>
      </c>
      <c r="W90" s="55" t="s">
        <v>26</v>
      </c>
      <c r="X90" s="56" t="s">
        <v>26</v>
      </c>
      <c r="Y90" s="56" t="s">
        <v>26</v>
      </c>
      <c r="Z90" s="56" t="s">
        <v>26</v>
      </c>
      <c r="AA90" s="55">
        <v>142064959.72999999</v>
      </c>
      <c r="AB90" s="56">
        <v>1.0183750614800001E-3</v>
      </c>
      <c r="AC90" s="56" t="s">
        <v>26</v>
      </c>
      <c r="AD90" s="56" t="s">
        <v>26</v>
      </c>
      <c r="AE90" s="55">
        <v>512230671.12</v>
      </c>
      <c r="AF90" s="56">
        <v>7.9253056538000004E-4</v>
      </c>
      <c r="AG90" s="56" t="s">
        <v>26</v>
      </c>
      <c r="AH90" s="56" t="s">
        <v>26</v>
      </c>
      <c r="AI90" s="55">
        <v>11137742.77</v>
      </c>
      <c r="AJ90" s="56">
        <v>6.5200190100000001E-4</v>
      </c>
      <c r="AK90" s="56" t="s">
        <v>26</v>
      </c>
      <c r="AL90" s="56" t="s">
        <v>26</v>
      </c>
      <c r="AM90" s="55" t="s">
        <v>26</v>
      </c>
      <c r="AN90" s="56" t="s">
        <v>26</v>
      </c>
      <c r="AO90" s="56" t="s">
        <v>26</v>
      </c>
      <c r="AP90" s="56" t="s">
        <v>26</v>
      </c>
      <c r="AQ90" s="55">
        <v>11137742.77</v>
      </c>
      <c r="AR90" s="56">
        <v>2.7225137114000002E-4</v>
      </c>
      <c r="AS90" s="56" t="s">
        <v>26</v>
      </c>
      <c r="AT90" s="56" t="s">
        <v>26</v>
      </c>
      <c r="AU90" s="55">
        <v>33413228.300000001</v>
      </c>
      <c r="AV90" s="56">
        <v>7.3178286478000005E-4</v>
      </c>
      <c r="AW90" s="56" t="s">
        <v>26</v>
      </c>
      <c r="AX90" s="56" t="s">
        <v>26</v>
      </c>
      <c r="AY90" s="55">
        <v>556781642.19000006</v>
      </c>
      <c r="AZ90" s="56">
        <v>7.5970414139000001E-4</v>
      </c>
      <c r="BA90" s="56" t="s">
        <v>26</v>
      </c>
      <c r="BB90" s="56" t="s">
        <v>26</v>
      </c>
    </row>
    <row r="91" spans="1:54" s="7" customFormat="1">
      <c r="A91" s="5" t="s">
        <v>76</v>
      </c>
      <c r="B91" s="24" t="s">
        <v>25</v>
      </c>
      <c r="C91" s="10" t="s">
        <v>26</v>
      </c>
      <c r="D91" s="11" t="s">
        <v>26</v>
      </c>
      <c r="E91" s="11" t="s">
        <v>26</v>
      </c>
      <c r="F91" s="11" t="s">
        <v>26</v>
      </c>
      <c r="G91" s="10" t="s">
        <v>26</v>
      </c>
      <c r="H91" s="11" t="s">
        <v>26</v>
      </c>
      <c r="I91" s="11" t="s">
        <v>26</v>
      </c>
      <c r="J91" s="11" t="s">
        <v>26</v>
      </c>
      <c r="K91" s="10" t="s">
        <v>26</v>
      </c>
      <c r="L91" s="11" t="s">
        <v>26</v>
      </c>
      <c r="M91" s="11" t="s">
        <v>26</v>
      </c>
      <c r="N91" s="11" t="s">
        <v>26</v>
      </c>
      <c r="O91" s="10" t="s">
        <v>26</v>
      </c>
      <c r="P91" s="11" t="s">
        <v>26</v>
      </c>
      <c r="Q91" s="11" t="s">
        <v>26</v>
      </c>
      <c r="R91" s="11" t="s">
        <v>26</v>
      </c>
      <c r="S91" s="10">
        <v>89101942.140000001</v>
      </c>
      <c r="T91" s="11">
        <v>7.9402928512000001E-4</v>
      </c>
      <c r="U91" s="11">
        <v>0.1</v>
      </c>
      <c r="V91" s="11">
        <v>9.9199999999999997E-2</v>
      </c>
      <c r="W91" s="10" t="s">
        <v>26</v>
      </c>
      <c r="X91" s="11" t="s">
        <v>26</v>
      </c>
      <c r="Y91" s="11" t="s">
        <v>26</v>
      </c>
      <c r="Z91" s="11" t="s">
        <v>26</v>
      </c>
      <c r="AA91" s="10" t="s">
        <v>26</v>
      </c>
      <c r="AB91" s="11" t="s">
        <v>26</v>
      </c>
      <c r="AC91" s="11" t="s">
        <v>26</v>
      </c>
      <c r="AD91" s="11" t="s">
        <v>26</v>
      </c>
      <c r="AE91" s="10">
        <v>89101942.140000001</v>
      </c>
      <c r="AF91" s="11">
        <v>1.3785978966000001E-4</v>
      </c>
      <c r="AG91" s="11">
        <v>0.1</v>
      </c>
      <c r="AH91" s="11">
        <v>9.9900000000000003E-2</v>
      </c>
      <c r="AI91" s="10">
        <v>11137742.77</v>
      </c>
      <c r="AJ91" s="11">
        <v>6.5200190100000001E-4</v>
      </c>
      <c r="AK91" s="11">
        <v>0.1</v>
      </c>
      <c r="AL91" s="11">
        <v>9.9299999999999999E-2</v>
      </c>
      <c r="AM91" s="10" t="s">
        <v>26</v>
      </c>
      <c r="AN91" s="11" t="s">
        <v>26</v>
      </c>
      <c r="AO91" s="11" t="s">
        <v>26</v>
      </c>
      <c r="AP91" s="11" t="s">
        <v>26</v>
      </c>
      <c r="AQ91" s="10">
        <v>11137742.77</v>
      </c>
      <c r="AR91" s="11">
        <v>2.7225137114000002E-4</v>
      </c>
      <c r="AS91" s="11">
        <v>0.1</v>
      </c>
      <c r="AT91" s="11">
        <v>9.9699999999999997E-2</v>
      </c>
      <c r="AU91" s="10">
        <v>33413228.300000001</v>
      </c>
      <c r="AV91" s="11">
        <v>7.3178286478000005E-4</v>
      </c>
      <c r="AW91" s="11">
        <v>0.1</v>
      </c>
      <c r="AX91" s="11">
        <v>9.9299999999999999E-2</v>
      </c>
      <c r="AY91" s="10">
        <v>133652913.20999999</v>
      </c>
      <c r="AZ91" s="11">
        <v>1.8236354071E-4</v>
      </c>
      <c r="BA91" s="11">
        <v>0.1</v>
      </c>
      <c r="BB91" s="11">
        <v>9.98E-2</v>
      </c>
    </row>
    <row r="92" spans="1:54">
      <c r="A92" s="3" t="s">
        <v>77</v>
      </c>
      <c r="B92" s="36" t="s">
        <v>29</v>
      </c>
      <c r="C92" s="35" t="s">
        <v>26</v>
      </c>
      <c r="D92" s="59" t="s">
        <v>26</v>
      </c>
      <c r="E92" s="59" t="s">
        <v>26</v>
      </c>
      <c r="F92" s="59" t="s">
        <v>26</v>
      </c>
      <c r="G92" s="35" t="s">
        <v>26</v>
      </c>
      <c r="H92" s="59" t="s">
        <v>26</v>
      </c>
      <c r="I92" s="59" t="s">
        <v>26</v>
      </c>
      <c r="J92" s="59" t="s">
        <v>26</v>
      </c>
      <c r="K92" s="35" t="s">
        <v>26</v>
      </c>
      <c r="L92" s="59" t="s">
        <v>26</v>
      </c>
      <c r="M92" s="59" t="s">
        <v>26</v>
      </c>
      <c r="N92" s="59" t="s">
        <v>26</v>
      </c>
      <c r="O92" s="35" t="s">
        <v>26</v>
      </c>
      <c r="P92" s="59" t="s">
        <v>26</v>
      </c>
      <c r="Q92" s="59" t="s">
        <v>26</v>
      </c>
      <c r="R92" s="59" t="s">
        <v>26</v>
      </c>
      <c r="S92" s="35">
        <v>89101942.140000001</v>
      </c>
      <c r="T92" s="59">
        <v>1</v>
      </c>
      <c r="U92" s="59" t="s">
        <v>26</v>
      </c>
      <c r="V92" s="59" t="s">
        <v>26</v>
      </c>
      <c r="W92" s="35" t="s">
        <v>26</v>
      </c>
      <c r="X92" s="59" t="s">
        <v>26</v>
      </c>
      <c r="Y92" s="59" t="s">
        <v>26</v>
      </c>
      <c r="Z92" s="59" t="s">
        <v>26</v>
      </c>
      <c r="AA92" s="35" t="s">
        <v>26</v>
      </c>
      <c r="AB92" s="59" t="s">
        <v>26</v>
      </c>
      <c r="AC92" s="59" t="s">
        <v>26</v>
      </c>
      <c r="AD92" s="59" t="s">
        <v>26</v>
      </c>
      <c r="AE92" s="35">
        <v>89101942.140000001</v>
      </c>
      <c r="AF92" s="59">
        <v>1</v>
      </c>
      <c r="AG92" s="59" t="s">
        <v>26</v>
      </c>
      <c r="AH92" s="59" t="s">
        <v>26</v>
      </c>
      <c r="AI92" s="35">
        <v>11137742.77</v>
      </c>
      <c r="AJ92" s="59">
        <v>1</v>
      </c>
      <c r="AK92" s="59" t="s">
        <v>26</v>
      </c>
      <c r="AL92" s="59" t="s">
        <v>26</v>
      </c>
      <c r="AM92" s="35" t="s">
        <v>26</v>
      </c>
      <c r="AN92" s="59" t="s">
        <v>26</v>
      </c>
      <c r="AO92" s="59" t="s">
        <v>26</v>
      </c>
      <c r="AP92" s="59" t="s">
        <v>26</v>
      </c>
      <c r="AQ92" s="35">
        <v>11137742.77</v>
      </c>
      <c r="AR92" s="59">
        <v>1</v>
      </c>
      <c r="AS92" s="59" t="s">
        <v>26</v>
      </c>
      <c r="AT92" s="59" t="s">
        <v>26</v>
      </c>
      <c r="AU92" s="35">
        <v>33413228.300000001</v>
      </c>
      <c r="AV92" s="59">
        <v>1</v>
      </c>
      <c r="AW92" s="59" t="s">
        <v>26</v>
      </c>
      <c r="AX92" s="59" t="s">
        <v>26</v>
      </c>
      <c r="AY92" s="35">
        <v>133652913.20999999</v>
      </c>
      <c r="AZ92" s="59">
        <v>1</v>
      </c>
      <c r="BA92" s="59" t="s">
        <v>26</v>
      </c>
      <c r="BB92" s="59" t="s">
        <v>26</v>
      </c>
    </row>
    <row r="93" spans="1:54" s="7" customFormat="1">
      <c r="A93" s="5" t="s">
        <v>78</v>
      </c>
      <c r="B93" s="24" t="s">
        <v>25</v>
      </c>
      <c r="C93" s="10" t="s">
        <v>26</v>
      </c>
      <c r="D93" s="11" t="s">
        <v>26</v>
      </c>
      <c r="E93" s="11" t="s">
        <v>26</v>
      </c>
      <c r="F93" s="11" t="s">
        <v>26</v>
      </c>
      <c r="G93" s="10" t="s">
        <v>26</v>
      </c>
      <c r="H93" s="11" t="s">
        <v>26</v>
      </c>
      <c r="I93" s="11" t="s">
        <v>26</v>
      </c>
      <c r="J93" s="11" t="s">
        <v>26</v>
      </c>
      <c r="K93" s="10" t="s">
        <v>26</v>
      </c>
      <c r="L93" s="11" t="s">
        <v>26</v>
      </c>
      <c r="M93" s="11" t="s">
        <v>26</v>
      </c>
      <c r="N93" s="11" t="s">
        <v>26</v>
      </c>
      <c r="O93" s="10">
        <v>127756258.75</v>
      </c>
      <c r="P93" s="11">
        <v>5.6337050632999995E-4</v>
      </c>
      <c r="Q93" s="11">
        <v>0.09</v>
      </c>
      <c r="R93" s="11">
        <v>8.9399999999999993E-2</v>
      </c>
      <c r="S93" s="10">
        <v>153307510.5</v>
      </c>
      <c r="T93" s="11">
        <v>1.36619528196E-3</v>
      </c>
      <c r="U93" s="11">
        <v>0.09</v>
      </c>
      <c r="V93" s="11">
        <v>8.8599999999999998E-2</v>
      </c>
      <c r="W93" s="10" t="s">
        <v>26</v>
      </c>
      <c r="X93" s="11" t="s">
        <v>26</v>
      </c>
      <c r="Y93" s="11" t="s">
        <v>26</v>
      </c>
      <c r="Z93" s="11" t="s">
        <v>26</v>
      </c>
      <c r="AA93" s="10">
        <v>142064959.72999999</v>
      </c>
      <c r="AB93" s="11">
        <v>1.0183750614800001E-3</v>
      </c>
      <c r="AC93" s="11">
        <v>0.09</v>
      </c>
      <c r="AD93" s="11">
        <v>8.8999999999999996E-2</v>
      </c>
      <c r="AE93" s="10">
        <v>423128728.98000002</v>
      </c>
      <c r="AF93" s="11">
        <v>6.5467077571000002E-4</v>
      </c>
      <c r="AG93" s="11">
        <v>0.09</v>
      </c>
      <c r="AH93" s="11">
        <v>8.9300000000000004E-2</v>
      </c>
      <c r="AI93" s="10" t="s">
        <v>26</v>
      </c>
      <c r="AJ93" s="11" t="s">
        <v>26</v>
      </c>
      <c r="AK93" s="11" t="s">
        <v>26</v>
      </c>
      <c r="AL93" s="11" t="s">
        <v>26</v>
      </c>
      <c r="AM93" s="10" t="s">
        <v>26</v>
      </c>
      <c r="AN93" s="11" t="s">
        <v>26</v>
      </c>
      <c r="AO93" s="11" t="s">
        <v>26</v>
      </c>
      <c r="AP93" s="11" t="s">
        <v>26</v>
      </c>
      <c r="AQ93" s="10" t="s">
        <v>26</v>
      </c>
      <c r="AR93" s="11" t="s">
        <v>26</v>
      </c>
      <c r="AS93" s="11" t="s">
        <v>26</v>
      </c>
      <c r="AT93" s="11" t="s">
        <v>26</v>
      </c>
      <c r="AU93" s="10" t="s">
        <v>26</v>
      </c>
      <c r="AV93" s="11" t="s">
        <v>26</v>
      </c>
      <c r="AW93" s="11" t="s">
        <v>26</v>
      </c>
      <c r="AX93" s="11" t="s">
        <v>26</v>
      </c>
      <c r="AY93" s="10">
        <v>423128728.98000002</v>
      </c>
      <c r="AZ93" s="11">
        <v>5.7734060067000004E-4</v>
      </c>
      <c r="BA93" s="11">
        <v>0.09</v>
      </c>
      <c r="BB93" s="11">
        <v>8.9399999999999993E-2</v>
      </c>
    </row>
    <row r="94" spans="1:54">
      <c r="A94" s="3" t="s">
        <v>77</v>
      </c>
      <c r="B94" s="36" t="s">
        <v>37</v>
      </c>
      <c r="C94" s="35" t="s">
        <v>26</v>
      </c>
      <c r="D94" s="59" t="s">
        <v>26</v>
      </c>
      <c r="E94" s="59" t="s">
        <v>26</v>
      </c>
      <c r="F94" s="59" t="s">
        <v>26</v>
      </c>
      <c r="G94" s="35" t="s">
        <v>26</v>
      </c>
      <c r="H94" s="59" t="s">
        <v>26</v>
      </c>
      <c r="I94" s="59" t="s">
        <v>26</v>
      </c>
      <c r="J94" s="59" t="s">
        <v>26</v>
      </c>
      <c r="K94" s="35" t="s">
        <v>26</v>
      </c>
      <c r="L94" s="59" t="s">
        <v>26</v>
      </c>
      <c r="M94" s="59" t="s">
        <v>26</v>
      </c>
      <c r="N94" s="59" t="s">
        <v>26</v>
      </c>
      <c r="O94" s="35">
        <v>127756258.75</v>
      </c>
      <c r="P94" s="59">
        <v>1</v>
      </c>
      <c r="Q94" s="59" t="s">
        <v>26</v>
      </c>
      <c r="R94" s="59" t="s">
        <v>26</v>
      </c>
      <c r="S94" s="35">
        <v>153307510.5</v>
      </c>
      <c r="T94" s="59">
        <v>1</v>
      </c>
      <c r="U94" s="59" t="s">
        <v>26</v>
      </c>
      <c r="V94" s="59" t="s">
        <v>26</v>
      </c>
      <c r="W94" s="35" t="s">
        <v>26</v>
      </c>
      <c r="X94" s="59" t="s">
        <v>26</v>
      </c>
      <c r="Y94" s="59" t="s">
        <v>26</v>
      </c>
      <c r="Z94" s="59" t="s">
        <v>26</v>
      </c>
      <c r="AA94" s="35">
        <v>142064959.72999999</v>
      </c>
      <c r="AB94" s="59">
        <v>1</v>
      </c>
      <c r="AC94" s="59" t="s">
        <v>26</v>
      </c>
      <c r="AD94" s="59" t="s">
        <v>26</v>
      </c>
      <c r="AE94" s="35">
        <v>423128728.98000002</v>
      </c>
      <c r="AF94" s="59">
        <v>1</v>
      </c>
      <c r="AG94" s="59" t="s">
        <v>26</v>
      </c>
      <c r="AH94" s="59" t="s">
        <v>26</v>
      </c>
      <c r="AI94" s="35" t="s">
        <v>26</v>
      </c>
      <c r="AJ94" s="59" t="s">
        <v>26</v>
      </c>
      <c r="AK94" s="59" t="s">
        <v>26</v>
      </c>
      <c r="AL94" s="59" t="s">
        <v>26</v>
      </c>
      <c r="AM94" s="35" t="s">
        <v>26</v>
      </c>
      <c r="AN94" s="59" t="s">
        <v>26</v>
      </c>
      <c r="AO94" s="59" t="s">
        <v>26</v>
      </c>
      <c r="AP94" s="59" t="s">
        <v>26</v>
      </c>
      <c r="AQ94" s="35" t="s">
        <v>26</v>
      </c>
      <c r="AR94" s="59" t="s">
        <v>26</v>
      </c>
      <c r="AS94" s="59" t="s">
        <v>26</v>
      </c>
      <c r="AT94" s="59" t="s">
        <v>26</v>
      </c>
      <c r="AU94" s="35" t="s">
        <v>26</v>
      </c>
      <c r="AV94" s="59" t="s">
        <v>26</v>
      </c>
      <c r="AW94" s="59" t="s">
        <v>26</v>
      </c>
      <c r="AX94" s="59" t="s">
        <v>26</v>
      </c>
      <c r="AY94" s="35">
        <v>423128728.98000002</v>
      </c>
      <c r="AZ94" s="59">
        <v>1</v>
      </c>
      <c r="BA94" s="59" t="s">
        <v>26</v>
      </c>
      <c r="BB94" s="59" t="s">
        <v>26</v>
      </c>
    </row>
    <row r="95" spans="1:54">
      <c r="A95" s="13" t="s">
        <v>108</v>
      </c>
      <c r="B95" s="25" t="s">
        <v>25</v>
      </c>
      <c r="C95" s="55" t="s">
        <v>26</v>
      </c>
      <c r="D95" s="56" t="s">
        <v>26</v>
      </c>
      <c r="E95" s="56" t="s">
        <v>26</v>
      </c>
      <c r="F95" s="56" t="s">
        <v>26</v>
      </c>
      <c r="G95" s="55">
        <v>686649151.10000002</v>
      </c>
      <c r="H95" s="56">
        <v>4.5120427703099998E-3</v>
      </c>
      <c r="I95" s="56" t="s">
        <v>26</v>
      </c>
      <c r="J95" s="56" t="s">
        <v>26</v>
      </c>
      <c r="K95" s="55">
        <v>23088668.5</v>
      </c>
      <c r="L95" s="56">
        <v>7.7065570195499998E-3</v>
      </c>
      <c r="M95" s="56" t="s">
        <v>26</v>
      </c>
      <c r="N95" s="56" t="s">
        <v>26</v>
      </c>
      <c r="O95" s="55">
        <v>1616206795.1400001</v>
      </c>
      <c r="P95" s="56">
        <v>7.1270343184800002E-3</v>
      </c>
      <c r="Q95" s="56" t="s">
        <v>26</v>
      </c>
      <c r="R95" s="56" t="s">
        <v>26</v>
      </c>
      <c r="S95" s="55">
        <v>1465825776.6600001</v>
      </c>
      <c r="T95" s="56">
        <v>1.3062662447009999E-2</v>
      </c>
      <c r="U95" s="56" t="s">
        <v>26</v>
      </c>
      <c r="V95" s="56" t="s">
        <v>26</v>
      </c>
      <c r="W95" s="55" t="s">
        <v>26</v>
      </c>
      <c r="X95" s="56" t="s">
        <v>26</v>
      </c>
      <c r="Y95" s="56" t="s">
        <v>26</v>
      </c>
      <c r="Z95" s="56" t="s">
        <v>26</v>
      </c>
      <c r="AA95" s="55">
        <v>363655533.48000002</v>
      </c>
      <c r="AB95" s="56">
        <v>2.6068196335599998E-3</v>
      </c>
      <c r="AC95" s="56" t="s">
        <v>26</v>
      </c>
      <c r="AD95" s="56" t="s">
        <v>26</v>
      </c>
      <c r="AE95" s="55">
        <v>4155425924.8800001</v>
      </c>
      <c r="AF95" s="56">
        <v>6.4293339764899997E-3</v>
      </c>
      <c r="AG95" s="56" t="s">
        <v>26</v>
      </c>
      <c r="AH95" s="56" t="s">
        <v>26</v>
      </c>
      <c r="AI95" s="55" t="s">
        <v>26</v>
      </c>
      <c r="AJ95" s="56" t="s">
        <v>26</v>
      </c>
      <c r="AK95" s="56" t="s">
        <v>26</v>
      </c>
      <c r="AL95" s="56" t="s">
        <v>26</v>
      </c>
      <c r="AM95" s="55" t="s">
        <v>26</v>
      </c>
      <c r="AN95" s="56" t="s">
        <v>26</v>
      </c>
      <c r="AO95" s="56" t="s">
        <v>26</v>
      </c>
      <c r="AP95" s="56" t="s">
        <v>26</v>
      </c>
      <c r="AQ95" s="55" t="s">
        <v>26</v>
      </c>
      <c r="AR95" s="56" t="s">
        <v>26</v>
      </c>
      <c r="AS95" s="56" t="s">
        <v>26</v>
      </c>
      <c r="AT95" s="56" t="s">
        <v>26</v>
      </c>
      <c r="AU95" s="55">
        <v>608848782</v>
      </c>
      <c r="AV95" s="56">
        <v>1.3334392651530001E-2</v>
      </c>
      <c r="AW95" s="56" t="s">
        <v>26</v>
      </c>
      <c r="AX95" s="56" t="s">
        <v>26</v>
      </c>
      <c r="AY95" s="55">
        <v>4764274706.8800001</v>
      </c>
      <c r="AZ95" s="56">
        <v>6.5006439711199999E-3</v>
      </c>
      <c r="BA95" s="56" t="s">
        <v>26</v>
      </c>
      <c r="BB95" s="56" t="s">
        <v>26</v>
      </c>
    </row>
    <row r="96" spans="1:54" s="7" customFormat="1">
      <c r="A96" s="5" t="s">
        <v>80</v>
      </c>
      <c r="B96" s="24" t="s">
        <v>25</v>
      </c>
      <c r="C96" s="10" t="s">
        <v>26</v>
      </c>
      <c r="D96" s="11" t="s">
        <v>26</v>
      </c>
      <c r="E96" s="11" t="s">
        <v>26</v>
      </c>
      <c r="F96" s="11" t="s">
        <v>26</v>
      </c>
      <c r="G96" s="10" t="s">
        <v>26</v>
      </c>
      <c r="H96" s="11" t="s">
        <v>26</v>
      </c>
      <c r="I96" s="11" t="s">
        <v>26</v>
      </c>
      <c r="J96" s="11" t="s">
        <v>26</v>
      </c>
      <c r="K96" s="10" t="s">
        <v>26</v>
      </c>
      <c r="L96" s="11" t="s">
        <v>26</v>
      </c>
      <c r="M96" s="11" t="s">
        <v>26</v>
      </c>
      <c r="N96" s="11" t="s">
        <v>26</v>
      </c>
      <c r="O96" s="10" t="s">
        <v>26</v>
      </c>
      <c r="P96" s="11" t="s">
        <v>26</v>
      </c>
      <c r="Q96" s="11" t="s">
        <v>26</v>
      </c>
      <c r="R96" s="11" t="s">
        <v>26</v>
      </c>
      <c r="S96" s="10">
        <v>573332603.04999995</v>
      </c>
      <c r="T96" s="11">
        <v>5.10923629722E-3</v>
      </c>
      <c r="U96" s="11">
        <v>0.05</v>
      </c>
      <c r="V96" s="11">
        <v>4.4900000000000002E-2</v>
      </c>
      <c r="W96" s="10" t="s">
        <v>26</v>
      </c>
      <c r="X96" s="11" t="s">
        <v>26</v>
      </c>
      <c r="Y96" s="11" t="s">
        <v>26</v>
      </c>
      <c r="Z96" s="11" t="s">
        <v>26</v>
      </c>
      <c r="AA96" s="10" t="s">
        <v>26</v>
      </c>
      <c r="AB96" s="11" t="s">
        <v>26</v>
      </c>
      <c r="AC96" s="11" t="s">
        <v>26</v>
      </c>
      <c r="AD96" s="11" t="s">
        <v>26</v>
      </c>
      <c r="AE96" s="10">
        <v>573332603.04999995</v>
      </c>
      <c r="AF96" s="11">
        <v>8.8706834179000003E-4</v>
      </c>
      <c r="AG96" s="11">
        <v>0.05</v>
      </c>
      <c r="AH96" s="11">
        <v>4.9099999999999998E-2</v>
      </c>
      <c r="AI96" s="10" t="s">
        <v>26</v>
      </c>
      <c r="AJ96" s="11" t="s">
        <v>26</v>
      </c>
      <c r="AK96" s="11" t="s">
        <v>26</v>
      </c>
      <c r="AL96" s="11" t="s">
        <v>26</v>
      </c>
      <c r="AM96" s="10" t="s">
        <v>26</v>
      </c>
      <c r="AN96" s="11" t="s">
        <v>26</v>
      </c>
      <c r="AO96" s="11" t="s">
        <v>26</v>
      </c>
      <c r="AP96" s="11" t="s">
        <v>26</v>
      </c>
      <c r="AQ96" s="10" t="s">
        <v>26</v>
      </c>
      <c r="AR96" s="11" t="s">
        <v>26</v>
      </c>
      <c r="AS96" s="11" t="s">
        <v>26</v>
      </c>
      <c r="AT96" s="11" t="s">
        <v>26</v>
      </c>
      <c r="AU96" s="10">
        <v>608848782</v>
      </c>
      <c r="AV96" s="11">
        <v>1.3334392651530001E-2</v>
      </c>
      <c r="AW96" s="11">
        <v>0.05</v>
      </c>
      <c r="AX96" s="11">
        <v>3.6700000000000003E-2</v>
      </c>
      <c r="AY96" s="10">
        <v>1182181385.05</v>
      </c>
      <c r="AZ96" s="11">
        <v>1.6130346729200001E-3</v>
      </c>
      <c r="BA96" s="11">
        <v>0.05</v>
      </c>
      <c r="BB96" s="11">
        <v>4.8399999999999999E-2</v>
      </c>
    </row>
    <row r="97" spans="1:54">
      <c r="A97" s="3" t="s">
        <v>81</v>
      </c>
      <c r="B97" s="36" t="s">
        <v>37</v>
      </c>
      <c r="C97" s="35" t="s">
        <v>26</v>
      </c>
      <c r="D97" s="59" t="s">
        <v>26</v>
      </c>
      <c r="E97" s="59" t="s">
        <v>26</v>
      </c>
      <c r="F97" s="59" t="s">
        <v>26</v>
      </c>
      <c r="G97" s="35" t="s">
        <v>26</v>
      </c>
      <c r="H97" s="59" t="s">
        <v>26</v>
      </c>
      <c r="I97" s="59" t="s">
        <v>26</v>
      </c>
      <c r="J97" s="59" t="s">
        <v>26</v>
      </c>
      <c r="K97" s="35" t="s">
        <v>26</v>
      </c>
      <c r="L97" s="59" t="s">
        <v>26</v>
      </c>
      <c r="M97" s="59" t="s">
        <v>26</v>
      </c>
      <c r="N97" s="59" t="s">
        <v>26</v>
      </c>
      <c r="O97" s="35" t="s">
        <v>26</v>
      </c>
      <c r="P97" s="59" t="s">
        <v>26</v>
      </c>
      <c r="Q97" s="59" t="s">
        <v>26</v>
      </c>
      <c r="R97" s="59" t="s">
        <v>26</v>
      </c>
      <c r="S97" s="35">
        <v>573332603.04999995</v>
      </c>
      <c r="T97" s="59">
        <v>1</v>
      </c>
      <c r="U97" s="59" t="s">
        <v>26</v>
      </c>
      <c r="V97" s="59" t="s">
        <v>26</v>
      </c>
      <c r="W97" s="35" t="s">
        <v>26</v>
      </c>
      <c r="X97" s="59" t="s">
        <v>26</v>
      </c>
      <c r="Y97" s="59" t="s">
        <v>26</v>
      </c>
      <c r="Z97" s="59" t="s">
        <v>26</v>
      </c>
      <c r="AA97" s="35" t="s">
        <v>26</v>
      </c>
      <c r="AB97" s="59" t="s">
        <v>26</v>
      </c>
      <c r="AC97" s="59" t="s">
        <v>26</v>
      </c>
      <c r="AD97" s="59" t="s">
        <v>26</v>
      </c>
      <c r="AE97" s="35">
        <v>573332603.04999995</v>
      </c>
      <c r="AF97" s="59">
        <v>1</v>
      </c>
      <c r="AG97" s="59" t="s">
        <v>26</v>
      </c>
      <c r="AH97" s="59" t="s">
        <v>26</v>
      </c>
      <c r="AI97" s="35" t="s">
        <v>26</v>
      </c>
      <c r="AJ97" s="59" t="s">
        <v>26</v>
      </c>
      <c r="AK97" s="59" t="s">
        <v>26</v>
      </c>
      <c r="AL97" s="59" t="s">
        <v>26</v>
      </c>
      <c r="AM97" s="35" t="s">
        <v>26</v>
      </c>
      <c r="AN97" s="59" t="s">
        <v>26</v>
      </c>
      <c r="AO97" s="59" t="s">
        <v>26</v>
      </c>
      <c r="AP97" s="59" t="s">
        <v>26</v>
      </c>
      <c r="AQ97" s="35" t="s">
        <v>26</v>
      </c>
      <c r="AR97" s="59" t="s">
        <v>26</v>
      </c>
      <c r="AS97" s="59" t="s">
        <v>26</v>
      </c>
      <c r="AT97" s="59" t="s">
        <v>26</v>
      </c>
      <c r="AU97" s="35">
        <v>608848782</v>
      </c>
      <c r="AV97" s="59">
        <v>1</v>
      </c>
      <c r="AW97" s="59" t="s">
        <v>26</v>
      </c>
      <c r="AX97" s="59" t="s">
        <v>26</v>
      </c>
      <c r="AY97" s="35">
        <v>1182181385.05</v>
      </c>
      <c r="AZ97" s="59">
        <v>1</v>
      </c>
      <c r="BA97" s="59" t="s">
        <v>26</v>
      </c>
      <c r="BB97" s="59" t="s">
        <v>26</v>
      </c>
    </row>
    <row r="98" spans="1:54" s="7" customFormat="1">
      <c r="A98" s="5" t="s">
        <v>82</v>
      </c>
      <c r="B98" s="24" t="s">
        <v>25</v>
      </c>
      <c r="C98" s="10" t="s">
        <v>26</v>
      </c>
      <c r="D98" s="11" t="s">
        <v>26</v>
      </c>
      <c r="E98" s="11" t="s">
        <v>26</v>
      </c>
      <c r="F98" s="11" t="s">
        <v>26</v>
      </c>
      <c r="G98" s="10">
        <v>686649151.10000002</v>
      </c>
      <c r="H98" s="11">
        <v>4.5120427703099998E-3</v>
      </c>
      <c r="I98" s="11">
        <v>0.05</v>
      </c>
      <c r="J98" s="11">
        <v>4.5499999999999999E-2</v>
      </c>
      <c r="K98" s="10">
        <v>23088668.5</v>
      </c>
      <c r="L98" s="11">
        <v>7.7065570195499998E-3</v>
      </c>
      <c r="M98" s="11">
        <v>0.05</v>
      </c>
      <c r="N98" s="11">
        <v>4.2299999999999997E-2</v>
      </c>
      <c r="O98" s="10">
        <v>1616206795.1400001</v>
      </c>
      <c r="P98" s="11">
        <v>7.1270343184800002E-3</v>
      </c>
      <c r="Q98" s="11">
        <v>0.05</v>
      </c>
      <c r="R98" s="11">
        <v>4.2900000000000001E-2</v>
      </c>
      <c r="S98" s="10">
        <v>892493173.61000001</v>
      </c>
      <c r="T98" s="11">
        <v>7.9534261497899994E-3</v>
      </c>
      <c r="U98" s="11">
        <v>0.05</v>
      </c>
      <c r="V98" s="11">
        <v>4.2000000000000003E-2</v>
      </c>
      <c r="W98" s="10" t="s">
        <v>26</v>
      </c>
      <c r="X98" s="11" t="s">
        <v>26</v>
      </c>
      <c r="Y98" s="11" t="s">
        <v>26</v>
      </c>
      <c r="Z98" s="11" t="s">
        <v>26</v>
      </c>
      <c r="AA98" s="10">
        <v>363655533.48000002</v>
      </c>
      <c r="AB98" s="11">
        <v>2.6068196335599998E-3</v>
      </c>
      <c r="AC98" s="11">
        <v>0.05</v>
      </c>
      <c r="AD98" s="11">
        <v>4.7399999999999998E-2</v>
      </c>
      <c r="AE98" s="10">
        <v>3582093321.8299999</v>
      </c>
      <c r="AF98" s="11">
        <v>5.5422656347000002E-3</v>
      </c>
      <c r="AG98" s="11">
        <v>0.05</v>
      </c>
      <c r="AH98" s="11">
        <v>4.4499999999999998E-2</v>
      </c>
      <c r="AI98" s="10" t="s">
        <v>26</v>
      </c>
      <c r="AJ98" s="11" t="s">
        <v>26</v>
      </c>
      <c r="AK98" s="11" t="s">
        <v>26</v>
      </c>
      <c r="AL98" s="11" t="s">
        <v>26</v>
      </c>
      <c r="AM98" s="10" t="s">
        <v>26</v>
      </c>
      <c r="AN98" s="11" t="s">
        <v>26</v>
      </c>
      <c r="AO98" s="11" t="s">
        <v>26</v>
      </c>
      <c r="AP98" s="11" t="s">
        <v>26</v>
      </c>
      <c r="AQ98" s="10" t="s">
        <v>26</v>
      </c>
      <c r="AR98" s="11" t="s">
        <v>26</v>
      </c>
      <c r="AS98" s="11" t="s">
        <v>26</v>
      </c>
      <c r="AT98" s="11" t="s">
        <v>26</v>
      </c>
      <c r="AU98" s="10" t="s">
        <v>26</v>
      </c>
      <c r="AV98" s="11" t="s">
        <v>26</v>
      </c>
      <c r="AW98" s="11" t="s">
        <v>26</v>
      </c>
      <c r="AX98" s="11" t="s">
        <v>26</v>
      </c>
      <c r="AY98" s="10">
        <v>3582093321.8299999</v>
      </c>
      <c r="AZ98" s="11">
        <v>4.8876092981999996E-3</v>
      </c>
      <c r="BA98" s="11">
        <v>0.05</v>
      </c>
      <c r="BB98" s="11">
        <v>4.5100000000000001E-2</v>
      </c>
    </row>
    <row r="99" spans="1:54">
      <c r="A99" s="3" t="s">
        <v>83</v>
      </c>
      <c r="B99" s="36" t="s">
        <v>37</v>
      </c>
      <c r="C99" s="35" t="s">
        <v>26</v>
      </c>
      <c r="D99" s="59" t="s">
        <v>26</v>
      </c>
      <c r="E99" s="59" t="s">
        <v>26</v>
      </c>
      <c r="F99" s="59" t="s">
        <v>26</v>
      </c>
      <c r="G99" s="35">
        <v>686649151.10000002</v>
      </c>
      <c r="H99" s="59">
        <v>1</v>
      </c>
      <c r="I99" s="59" t="s">
        <v>26</v>
      </c>
      <c r="J99" s="59" t="s">
        <v>26</v>
      </c>
      <c r="K99" s="35">
        <v>23088668.5</v>
      </c>
      <c r="L99" s="59">
        <v>1</v>
      </c>
      <c r="M99" s="59" t="s">
        <v>26</v>
      </c>
      <c r="N99" s="59" t="s">
        <v>26</v>
      </c>
      <c r="O99" s="35">
        <v>1616206795.1400001</v>
      </c>
      <c r="P99" s="59">
        <v>1</v>
      </c>
      <c r="Q99" s="59" t="s">
        <v>26</v>
      </c>
      <c r="R99" s="59" t="s">
        <v>26</v>
      </c>
      <c r="S99" s="35">
        <v>892493173.61000001</v>
      </c>
      <c r="T99" s="59">
        <v>1</v>
      </c>
      <c r="U99" s="59" t="s">
        <v>26</v>
      </c>
      <c r="V99" s="59" t="s">
        <v>26</v>
      </c>
      <c r="W99" s="35" t="s">
        <v>26</v>
      </c>
      <c r="X99" s="59" t="s">
        <v>26</v>
      </c>
      <c r="Y99" s="59" t="s">
        <v>26</v>
      </c>
      <c r="Z99" s="59" t="s">
        <v>26</v>
      </c>
      <c r="AA99" s="35">
        <v>363655533.48000002</v>
      </c>
      <c r="AB99" s="59">
        <v>1</v>
      </c>
      <c r="AC99" s="59" t="s">
        <v>26</v>
      </c>
      <c r="AD99" s="59" t="s">
        <v>26</v>
      </c>
      <c r="AE99" s="35">
        <v>3582093321.8299999</v>
      </c>
      <c r="AF99" s="59">
        <v>1</v>
      </c>
      <c r="AG99" s="59" t="s">
        <v>26</v>
      </c>
      <c r="AH99" s="59" t="s">
        <v>26</v>
      </c>
      <c r="AI99" s="35" t="s">
        <v>26</v>
      </c>
      <c r="AJ99" s="59" t="s">
        <v>26</v>
      </c>
      <c r="AK99" s="59" t="s">
        <v>26</v>
      </c>
      <c r="AL99" s="59" t="s">
        <v>26</v>
      </c>
      <c r="AM99" s="35" t="s">
        <v>26</v>
      </c>
      <c r="AN99" s="59" t="s">
        <v>26</v>
      </c>
      <c r="AO99" s="59" t="s">
        <v>26</v>
      </c>
      <c r="AP99" s="59" t="s">
        <v>26</v>
      </c>
      <c r="AQ99" s="35" t="s">
        <v>26</v>
      </c>
      <c r="AR99" s="59" t="s">
        <v>26</v>
      </c>
      <c r="AS99" s="59" t="s">
        <v>26</v>
      </c>
      <c r="AT99" s="59" t="s">
        <v>26</v>
      </c>
      <c r="AU99" s="35" t="s">
        <v>26</v>
      </c>
      <c r="AV99" s="59" t="s">
        <v>26</v>
      </c>
      <c r="AW99" s="59" t="s">
        <v>26</v>
      </c>
      <c r="AX99" s="59" t="s">
        <v>26</v>
      </c>
      <c r="AY99" s="35">
        <v>3582093321.8299999</v>
      </c>
      <c r="AZ99" s="59">
        <v>1</v>
      </c>
      <c r="BA99" s="59" t="s">
        <v>26</v>
      </c>
      <c r="BB99" s="59" t="s">
        <v>26</v>
      </c>
    </row>
    <row r="100" spans="1:54">
      <c r="A100" s="13" t="s">
        <v>84</v>
      </c>
      <c r="B100" s="25" t="s">
        <v>25</v>
      </c>
      <c r="C100" s="55" t="s">
        <v>26</v>
      </c>
      <c r="D100" s="56" t="s">
        <v>26</v>
      </c>
      <c r="E100" s="56" t="s">
        <v>26</v>
      </c>
      <c r="F100" s="56" t="s">
        <v>26</v>
      </c>
      <c r="G100" s="55">
        <v>7381127636.4499998</v>
      </c>
      <c r="H100" s="56">
        <v>4.850215504587E-2</v>
      </c>
      <c r="I100" s="56">
        <v>0.15</v>
      </c>
      <c r="J100" s="56">
        <f>I100-H100</f>
        <v>0.10149784495413</v>
      </c>
      <c r="K100" s="55">
        <v>132132127.7</v>
      </c>
      <c r="L100" s="56">
        <v>4.4103183179859999E-2</v>
      </c>
      <c r="M100" s="56">
        <v>0.15</v>
      </c>
      <c r="N100" s="56">
        <f>M100-L100</f>
        <v>0.10589681682013999</v>
      </c>
      <c r="O100" s="55">
        <v>25940911529.709999</v>
      </c>
      <c r="P100" s="56">
        <v>0.11439239537967</v>
      </c>
      <c r="Q100" s="56">
        <v>0.15</v>
      </c>
      <c r="R100" s="56">
        <f>Q100-P100</f>
        <v>3.5607604620329997E-2</v>
      </c>
      <c r="S100" s="55">
        <v>5361685676.71</v>
      </c>
      <c r="T100" s="56">
        <v>4.7780501105269997E-2</v>
      </c>
      <c r="U100" s="56">
        <v>0.15</v>
      </c>
      <c r="V100" s="56">
        <f>U100-T100</f>
        <v>0.10221949889473</v>
      </c>
      <c r="W100" s="55" t="s">
        <v>26</v>
      </c>
      <c r="X100" s="56" t="s">
        <v>26</v>
      </c>
      <c r="Y100" s="56" t="s">
        <v>26</v>
      </c>
      <c r="Z100" s="56" t="s">
        <v>26</v>
      </c>
      <c r="AA100" s="55">
        <v>6163325335.5200005</v>
      </c>
      <c r="AB100" s="56">
        <v>4.4181034010120003E-2</v>
      </c>
      <c r="AC100" s="56">
        <v>0.15</v>
      </c>
      <c r="AD100" s="56">
        <f>AC100-AB100</f>
        <v>0.10581896598988</v>
      </c>
      <c r="AE100" s="55">
        <v>44979182306.089996</v>
      </c>
      <c r="AF100" s="56">
        <v>6.9592429335290001E-2</v>
      </c>
      <c r="AG100" s="56">
        <v>0.15</v>
      </c>
      <c r="AH100" s="56">
        <f>AG100-AF100</f>
        <v>8.0407570664709993E-2</v>
      </c>
      <c r="AI100" s="55" t="s">
        <v>26</v>
      </c>
      <c r="AJ100" s="56" t="s">
        <v>26</v>
      </c>
      <c r="AK100" s="56" t="s">
        <v>26</v>
      </c>
      <c r="AL100" s="56" t="s">
        <v>26</v>
      </c>
      <c r="AM100" s="55" t="s">
        <v>26</v>
      </c>
      <c r="AN100" s="56" t="s">
        <v>26</v>
      </c>
      <c r="AO100" s="56" t="s">
        <v>26</v>
      </c>
      <c r="AP100" s="56" t="s">
        <v>26</v>
      </c>
      <c r="AQ100" s="55" t="s">
        <v>26</v>
      </c>
      <c r="AR100" s="56" t="s">
        <v>26</v>
      </c>
      <c r="AS100" s="56" t="s">
        <v>26</v>
      </c>
      <c r="AT100" s="56" t="s">
        <v>26</v>
      </c>
      <c r="AU100" s="55">
        <v>1858012376.45</v>
      </c>
      <c r="AV100" s="56">
        <v>4.0692315253709997E-2</v>
      </c>
      <c r="AW100" s="56">
        <v>0.15</v>
      </c>
      <c r="AX100" s="56">
        <f>AW100-AV100</f>
        <v>0.10930768474628999</v>
      </c>
      <c r="AY100" s="55">
        <v>46837194682.540001</v>
      </c>
      <c r="AZ100" s="56">
        <v>6.3907298795629994E-2</v>
      </c>
      <c r="BA100" s="56">
        <v>0.15</v>
      </c>
      <c r="BB100" s="56">
        <f>BA100-AZ100</f>
        <v>8.6092701204370001E-2</v>
      </c>
    </row>
    <row r="101" spans="1:54" s="7" customFormat="1">
      <c r="A101" s="5" t="s">
        <v>85</v>
      </c>
      <c r="B101" s="24" t="s">
        <v>25</v>
      </c>
      <c r="C101" s="10" t="s">
        <v>26</v>
      </c>
      <c r="D101" s="11" t="s">
        <v>26</v>
      </c>
      <c r="E101" s="11" t="s">
        <v>26</v>
      </c>
      <c r="F101" s="11" t="s">
        <v>26</v>
      </c>
      <c r="G101" s="10">
        <v>544516742.63999999</v>
      </c>
      <c r="H101" s="11">
        <v>3.57807597665E-3</v>
      </c>
      <c r="I101" s="59" t="s">
        <v>26</v>
      </c>
      <c r="J101" s="59" t="s">
        <v>26</v>
      </c>
      <c r="K101" s="10">
        <v>64060793.259999998</v>
      </c>
      <c r="L101" s="11">
        <v>2.1382270527019999E-2</v>
      </c>
      <c r="M101" s="59" t="s">
        <v>26</v>
      </c>
      <c r="N101" s="59" t="s">
        <v>26</v>
      </c>
      <c r="O101" s="10" t="s">
        <v>26</v>
      </c>
      <c r="P101" s="11" t="s">
        <v>26</v>
      </c>
      <c r="Q101" s="11" t="s">
        <v>26</v>
      </c>
      <c r="R101" s="11" t="s">
        <v>26</v>
      </c>
      <c r="S101" s="10">
        <v>685741673.22000003</v>
      </c>
      <c r="T101" s="11">
        <v>6.1109663547699996E-3</v>
      </c>
      <c r="U101" s="11" t="s">
        <v>26</v>
      </c>
      <c r="V101" s="11" t="s">
        <v>26</v>
      </c>
      <c r="W101" s="10" t="s">
        <v>26</v>
      </c>
      <c r="X101" s="11" t="s">
        <v>26</v>
      </c>
      <c r="Y101" s="11" t="s">
        <v>26</v>
      </c>
      <c r="Z101" s="11" t="s">
        <v>26</v>
      </c>
      <c r="AA101" s="10">
        <v>425130718.83999997</v>
      </c>
      <c r="AB101" s="11">
        <v>3.0474968828200001E-3</v>
      </c>
      <c r="AC101" s="59" t="s">
        <v>26</v>
      </c>
      <c r="AD101" s="59" t="s">
        <v>26</v>
      </c>
      <c r="AE101" s="10">
        <v>1719449927.96</v>
      </c>
      <c r="AF101" s="11">
        <v>2.6603573358200002E-3</v>
      </c>
      <c r="AG101" s="59" t="s">
        <v>26</v>
      </c>
      <c r="AH101" s="59" t="s">
        <v>26</v>
      </c>
      <c r="AI101" s="10" t="s">
        <v>26</v>
      </c>
      <c r="AJ101" s="11" t="s">
        <v>26</v>
      </c>
      <c r="AK101" s="11" t="s">
        <v>26</v>
      </c>
      <c r="AL101" s="11" t="s">
        <v>26</v>
      </c>
      <c r="AM101" s="10" t="s">
        <v>26</v>
      </c>
      <c r="AN101" s="11" t="s">
        <v>26</v>
      </c>
      <c r="AO101" s="11" t="s">
        <v>26</v>
      </c>
      <c r="AP101" s="11" t="s">
        <v>26</v>
      </c>
      <c r="AQ101" s="10" t="s">
        <v>26</v>
      </c>
      <c r="AR101" s="11" t="s">
        <v>26</v>
      </c>
      <c r="AS101" s="11" t="s">
        <v>26</v>
      </c>
      <c r="AT101" s="11" t="s">
        <v>26</v>
      </c>
      <c r="AU101" s="10" t="s">
        <v>26</v>
      </c>
      <c r="AV101" s="11" t="s">
        <v>26</v>
      </c>
      <c r="AW101" s="11" t="s">
        <v>26</v>
      </c>
      <c r="AX101" s="11" t="s">
        <v>26</v>
      </c>
      <c r="AY101" s="10">
        <v>1719449927.96</v>
      </c>
      <c r="AZ101" s="11">
        <v>2.3461140457900001E-3</v>
      </c>
      <c r="BA101" s="59" t="s">
        <v>26</v>
      </c>
      <c r="BB101" s="59" t="s">
        <v>26</v>
      </c>
    </row>
    <row r="102" spans="1:54">
      <c r="A102" s="3" t="s">
        <v>86</v>
      </c>
      <c r="B102" s="36" t="s">
        <v>46</v>
      </c>
      <c r="C102" s="35" t="s">
        <v>26</v>
      </c>
      <c r="D102" s="59" t="s">
        <v>26</v>
      </c>
      <c r="E102" s="59" t="s">
        <v>26</v>
      </c>
      <c r="F102" s="59" t="s">
        <v>26</v>
      </c>
      <c r="G102" s="35">
        <v>544516742.63999999</v>
      </c>
      <c r="H102" s="59">
        <v>1</v>
      </c>
      <c r="I102" s="59" t="s">
        <v>26</v>
      </c>
      <c r="J102" s="59" t="s">
        <v>26</v>
      </c>
      <c r="K102" s="35">
        <v>64060793.259999998</v>
      </c>
      <c r="L102" s="59">
        <v>1</v>
      </c>
      <c r="M102" s="59" t="s">
        <v>26</v>
      </c>
      <c r="N102" s="59" t="s">
        <v>26</v>
      </c>
      <c r="O102" s="35" t="s">
        <v>26</v>
      </c>
      <c r="P102" s="59" t="s">
        <v>26</v>
      </c>
      <c r="Q102" s="11" t="s">
        <v>26</v>
      </c>
      <c r="R102" s="11" t="s">
        <v>26</v>
      </c>
      <c r="S102" s="35">
        <v>685741673.22000003</v>
      </c>
      <c r="T102" s="59">
        <v>1</v>
      </c>
      <c r="U102" s="11" t="s">
        <v>26</v>
      </c>
      <c r="V102" s="11" t="s">
        <v>26</v>
      </c>
      <c r="W102" s="35" t="s">
        <v>26</v>
      </c>
      <c r="X102" s="59" t="s">
        <v>26</v>
      </c>
      <c r="Y102" s="59" t="s">
        <v>26</v>
      </c>
      <c r="Z102" s="59" t="s">
        <v>26</v>
      </c>
      <c r="AA102" s="35">
        <v>425130718.83999997</v>
      </c>
      <c r="AB102" s="59">
        <v>1</v>
      </c>
      <c r="AC102" s="59" t="s">
        <v>26</v>
      </c>
      <c r="AD102" s="59" t="s">
        <v>26</v>
      </c>
      <c r="AE102" s="35">
        <v>1719449927.96</v>
      </c>
      <c r="AF102" s="59">
        <v>1</v>
      </c>
      <c r="AG102" s="59" t="s">
        <v>26</v>
      </c>
      <c r="AH102" s="59" t="s">
        <v>26</v>
      </c>
      <c r="AI102" s="35" t="s">
        <v>26</v>
      </c>
      <c r="AJ102" s="59" t="s">
        <v>26</v>
      </c>
      <c r="AK102" s="59" t="s">
        <v>26</v>
      </c>
      <c r="AL102" s="59" t="s">
        <v>26</v>
      </c>
      <c r="AM102" s="35" t="s">
        <v>26</v>
      </c>
      <c r="AN102" s="59" t="s">
        <v>26</v>
      </c>
      <c r="AO102" s="59" t="s">
        <v>26</v>
      </c>
      <c r="AP102" s="59" t="s">
        <v>26</v>
      </c>
      <c r="AQ102" s="35" t="s">
        <v>26</v>
      </c>
      <c r="AR102" s="59" t="s">
        <v>26</v>
      </c>
      <c r="AS102" s="59" t="s">
        <v>26</v>
      </c>
      <c r="AT102" s="59" t="s">
        <v>26</v>
      </c>
      <c r="AU102" s="35" t="s">
        <v>26</v>
      </c>
      <c r="AV102" s="59" t="s">
        <v>26</v>
      </c>
      <c r="AW102" s="11" t="s">
        <v>26</v>
      </c>
      <c r="AX102" s="11" t="s">
        <v>26</v>
      </c>
      <c r="AY102" s="35">
        <v>1719449927.96</v>
      </c>
      <c r="AZ102" s="59">
        <v>1</v>
      </c>
      <c r="BA102" s="59" t="s">
        <v>26</v>
      </c>
      <c r="BB102" s="59" t="s">
        <v>26</v>
      </c>
    </row>
    <row r="103" spans="1:54" s="7" customFormat="1">
      <c r="A103" s="5" t="s">
        <v>87</v>
      </c>
      <c r="B103" s="24" t="s">
        <v>25</v>
      </c>
      <c r="C103" s="10" t="s">
        <v>26</v>
      </c>
      <c r="D103" s="11" t="s">
        <v>26</v>
      </c>
      <c r="E103" s="11" t="s">
        <v>26</v>
      </c>
      <c r="F103" s="11" t="s">
        <v>26</v>
      </c>
      <c r="G103" s="10">
        <v>1924264926.8699999</v>
      </c>
      <c r="H103" s="11">
        <v>1.264454436088E-2</v>
      </c>
      <c r="I103" s="59" t="s">
        <v>26</v>
      </c>
      <c r="J103" s="59" t="s">
        <v>26</v>
      </c>
      <c r="K103" s="10" t="s">
        <v>26</v>
      </c>
      <c r="L103" s="11" t="s">
        <v>26</v>
      </c>
      <c r="M103" s="11" t="s">
        <v>26</v>
      </c>
      <c r="N103" s="11" t="s">
        <v>26</v>
      </c>
      <c r="O103" s="10">
        <v>3450702228</v>
      </c>
      <c r="P103" s="11">
        <v>1.5216662419540001E-2</v>
      </c>
      <c r="Q103" s="11" t="s">
        <v>26</v>
      </c>
      <c r="R103" s="11" t="s">
        <v>26</v>
      </c>
      <c r="S103" s="10">
        <v>1257589256.4300001</v>
      </c>
      <c r="T103" s="11">
        <v>1.1206968942219999E-2</v>
      </c>
      <c r="U103" s="11" t="s">
        <v>26</v>
      </c>
      <c r="V103" s="11" t="s">
        <v>26</v>
      </c>
      <c r="W103" s="10" t="s">
        <v>26</v>
      </c>
      <c r="X103" s="11" t="s">
        <v>26</v>
      </c>
      <c r="Y103" s="11" t="s">
        <v>26</v>
      </c>
      <c r="Z103" s="11" t="s">
        <v>26</v>
      </c>
      <c r="AA103" s="10">
        <v>1923038010.53</v>
      </c>
      <c r="AB103" s="11">
        <v>1.378505970735E-2</v>
      </c>
      <c r="AC103" s="59" t="s">
        <v>26</v>
      </c>
      <c r="AD103" s="59" t="s">
        <v>26</v>
      </c>
      <c r="AE103" s="10">
        <v>8555594421.8299999</v>
      </c>
      <c r="AF103" s="11">
        <v>1.323733713456E-2</v>
      </c>
      <c r="AG103" s="59" t="s">
        <v>26</v>
      </c>
      <c r="AH103" s="59" t="s">
        <v>26</v>
      </c>
      <c r="AI103" s="10" t="s">
        <v>26</v>
      </c>
      <c r="AJ103" s="11" t="s">
        <v>26</v>
      </c>
      <c r="AK103" s="11" t="s">
        <v>26</v>
      </c>
      <c r="AL103" s="11" t="s">
        <v>26</v>
      </c>
      <c r="AM103" s="10" t="s">
        <v>26</v>
      </c>
      <c r="AN103" s="11" t="s">
        <v>26</v>
      </c>
      <c r="AO103" s="11" t="s">
        <v>26</v>
      </c>
      <c r="AP103" s="11" t="s">
        <v>26</v>
      </c>
      <c r="AQ103" s="10" t="s">
        <v>26</v>
      </c>
      <c r="AR103" s="11" t="s">
        <v>26</v>
      </c>
      <c r="AS103" s="11" t="s">
        <v>26</v>
      </c>
      <c r="AT103" s="11" t="s">
        <v>26</v>
      </c>
      <c r="AU103" s="10">
        <v>315470865.89999998</v>
      </c>
      <c r="AV103" s="11">
        <v>6.9091250904900004E-3</v>
      </c>
      <c r="AW103" s="11" t="s">
        <v>26</v>
      </c>
      <c r="AX103" s="11" t="s">
        <v>26</v>
      </c>
      <c r="AY103" s="10">
        <v>8871065287.7299995</v>
      </c>
      <c r="AZ103" s="11">
        <v>1.210417967645E-2</v>
      </c>
      <c r="BA103" s="59" t="s">
        <v>26</v>
      </c>
      <c r="BB103" s="59" t="s">
        <v>26</v>
      </c>
    </row>
    <row r="104" spans="1:54">
      <c r="A104" s="3" t="s">
        <v>86</v>
      </c>
      <c r="B104" s="36" t="s">
        <v>46</v>
      </c>
      <c r="C104" s="35" t="s">
        <v>26</v>
      </c>
      <c r="D104" s="59" t="s">
        <v>26</v>
      </c>
      <c r="E104" s="59" t="s">
        <v>26</v>
      </c>
      <c r="F104" s="59" t="s">
        <v>26</v>
      </c>
      <c r="G104" s="35">
        <v>1924264926.8699999</v>
      </c>
      <c r="H104" s="59">
        <v>1</v>
      </c>
      <c r="I104" s="59" t="s">
        <v>26</v>
      </c>
      <c r="J104" s="59" t="s">
        <v>26</v>
      </c>
      <c r="K104" s="35" t="s">
        <v>26</v>
      </c>
      <c r="L104" s="59" t="s">
        <v>26</v>
      </c>
      <c r="M104" s="59" t="s">
        <v>26</v>
      </c>
      <c r="N104" s="59" t="s">
        <v>26</v>
      </c>
      <c r="O104" s="35">
        <v>3450702228</v>
      </c>
      <c r="P104" s="59">
        <v>1</v>
      </c>
      <c r="Q104" s="11" t="s">
        <v>26</v>
      </c>
      <c r="R104" s="11" t="s">
        <v>26</v>
      </c>
      <c r="S104" s="35">
        <v>1257589256.4300001</v>
      </c>
      <c r="T104" s="59">
        <v>1</v>
      </c>
      <c r="U104" s="11" t="s">
        <v>26</v>
      </c>
      <c r="V104" s="11" t="s">
        <v>26</v>
      </c>
      <c r="W104" s="35" t="s">
        <v>26</v>
      </c>
      <c r="X104" s="59" t="s">
        <v>26</v>
      </c>
      <c r="Y104" s="59" t="s">
        <v>26</v>
      </c>
      <c r="Z104" s="59" t="s">
        <v>26</v>
      </c>
      <c r="AA104" s="35">
        <v>1923038010.53</v>
      </c>
      <c r="AB104" s="59">
        <v>1</v>
      </c>
      <c r="AC104" s="59" t="s">
        <v>26</v>
      </c>
      <c r="AD104" s="59" t="s">
        <v>26</v>
      </c>
      <c r="AE104" s="35">
        <v>8555594421.8299999</v>
      </c>
      <c r="AF104" s="59">
        <v>1</v>
      </c>
      <c r="AG104" s="59" t="s">
        <v>26</v>
      </c>
      <c r="AH104" s="59" t="s">
        <v>26</v>
      </c>
      <c r="AI104" s="35" t="s">
        <v>26</v>
      </c>
      <c r="AJ104" s="59" t="s">
        <v>26</v>
      </c>
      <c r="AK104" s="59" t="s">
        <v>26</v>
      </c>
      <c r="AL104" s="59" t="s">
        <v>26</v>
      </c>
      <c r="AM104" s="35" t="s">
        <v>26</v>
      </c>
      <c r="AN104" s="59" t="s">
        <v>26</v>
      </c>
      <c r="AO104" s="59" t="s">
        <v>26</v>
      </c>
      <c r="AP104" s="59" t="s">
        <v>26</v>
      </c>
      <c r="AQ104" s="35" t="s">
        <v>26</v>
      </c>
      <c r="AR104" s="59" t="s">
        <v>26</v>
      </c>
      <c r="AS104" s="59" t="s">
        <v>26</v>
      </c>
      <c r="AT104" s="59" t="s">
        <v>26</v>
      </c>
      <c r="AU104" s="35">
        <v>315470865.89999998</v>
      </c>
      <c r="AV104" s="59">
        <v>1</v>
      </c>
      <c r="AW104" s="11" t="s">
        <v>26</v>
      </c>
      <c r="AX104" s="11" t="s">
        <v>26</v>
      </c>
      <c r="AY104" s="35">
        <v>8871065287.7299995</v>
      </c>
      <c r="AZ104" s="59">
        <v>1</v>
      </c>
      <c r="BA104" s="59" t="s">
        <v>26</v>
      </c>
      <c r="BB104" s="59" t="s">
        <v>26</v>
      </c>
    </row>
    <row r="105" spans="1:54" s="7" customFormat="1">
      <c r="A105" s="5" t="s">
        <v>88</v>
      </c>
      <c r="B105" s="24" t="s">
        <v>25</v>
      </c>
      <c r="C105" s="10" t="s">
        <v>26</v>
      </c>
      <c r="D105" s="11" t="s">
        <v>26</v>
      </c>
      <c r="E105" s="11" t="s">
        <v>26</v>
      </c>
      <c r="F105" s="11" t="s">
        <v>26</v>
      </c>
      <c r="G105" s="10">
        <v>2081854971.1300001</v>
      </c>
      <c r="H105" s="11">
        <v>1.3680084882170001E-2</v>
      </c>
      <c r="I105" s="59" t="s">
        <v>26</v>
      </c>
      <c r="J105" s="59" t="s">
        <v>26</v>
      </c>
      <c r="K105" s="10" t="s">
        <v>26</v>
      </c>
      <c r="L105" s="11" t="s">
        <v>26</v>
      </c>
      <c r="M105" s="11" t="s">
        <v>26</v>
      </c>
      <c r="N105" s="11" t="s">
        <v>26</v>
      </c>
      <c r="O105" s="10">
        <v>1355374330.1700001</v>
      </c>
      <c r="P105" s="11">
        <v>5.9768337780500003E-3</v>
      </c>
      <c r="Q105" s="11" t="s">
        <v>26</v>
      </c>
      <c r="R105" s="11" t="s">
        <v>26</v>
      </c>
      <c r="S105" s="10">
        <v>1355374330.1700001</v>
      </c>
      <c r="T105" s="11">
        <v>1.2078377694170001E-2</v>
      </c>
      <c r="U105" s="11" t="s">
        <v>26</v>
      </c>
      <c r="V105" s="11" t="s">
        <v>26</v>
      </c>
      <c r="W105" s="10" t="s">
        <v>26</v>
      </c>
      <c r="X105" s="11" t="s">
        <v>26</v>
      </c>
      <c r="Y105" s="11" t="s">
        <v>26</v>
      </c>
      <c r="Z105" s="11" t="s">
        <v>26</v>
      </c>
      <c r="AA105" s="10">
        <v>1300346132.3599999</v>
      </c>
      <c r="AB105" s="11">
        <v>9.3213701323900007E-3</v>
      </c>
      <c r="AC105" s="59" t="s">
        <v>26</v>
      </c>
      <c r="AD105" s="59" t="s">
        <v>26</v>
      </c>
      <c r="AE105" s="10">
        <v>6092949763.8299999</v>
      </c>
      <c r="AF105" s="11">
        <v>9.4270983629100007E-3</v>
      </c>
      <c r="AG105" s="59" t="s">
        <v>26</v>
      </c>
      <c r="AH105" s="59" t="s">
        <v>26</v>
      </c>
      <c r="AI105" s="10" t="s">
        <v>26</v>
      </c>
      <c r="AJ105" s="11" t="s">
        <v>26</v>
      </c>
      <c r="AK105" s="11" t="s">
        <v>26</v>
      </c>
      <c r="AL105" s="11" t="s">
        <v>26</v>
      </c>
      <c r="AM105" s="10" t="s">
        <v>26</v>
      </c>
      <c r="AN105" s="11" t="s">
        <v>26</v>
      </c>
      <c r="AO105" s="11" t="s">
        <v>26</v>
      </c>
      <c r="AP105" s="11" t="s">
        <v>26</v>
      </c>
      <c r="AQ105" s="10" t="s">
        <v>26</v>
      </c>
      <c r="AR105" s="11" t="s">
        <v>26</v>
      </c>
      <c r="AS105" s="11" t="s">
        <v>26</v>
      </c>
      <c r="AT105" s="11" t="s">
        <v>26</v>
      </c>
      <c r="AU105" s="10" t="s">
        <v>26</v>
      </c>
      <c r="AV105" s="11" t="s">
        <v>26</v>
      </c>
      <c r="AW105" s="11" t="s">
        <v>26</v>
      </c>
      <c r="AX105" s="11" t="s">
        <v>26</v>
      </c>
      <c r="AY105" s="10">
        <v>6092949763.8299999</v>
      </c>
      <c r="AZ105" s="11">
        <v>8.3135628370399998E-3</v>
      </c>
      <c r="BA105" s="59" t="s">
        <v>26</v>
      </c>
      <c r="BB105" s="59" t="s">
        <v>26</v>
      </c>
    </row>
    <row r="106" spans="1:54">
      <c r="A106" s="3" t="s">
        <v>86</v>
      </c>
      <c r="B106" s="36" t="s">
        <v>46</v>
      </c>
      <c r="C106" s="35" t="s">
        <v>26</v>
      </c>
      <c r="D106" s="59" t="s">
        <v>26</v>
      </c>
      <c r="E106" s="59" t="s">
        <v>26</v>
      </c>
      <c r="F106" s="59" t="s">
        <v>26</v>
      </c>
      <c r="G106" s="35">
        <v>2081854971.1300001</v>
      </c>
      <c r="H106" s="59">
        <v>1</v>
      </c>
      <c r="I106" s="59" t="s">
        <v>26</v>
      </c>
      <c r="J106" s="59" t="s">
        <v>26</v>
      </c>
      <c r="K106" s="35" t="s">
        <v>26</v>
      </c>
      <c r="L106" s="59" t="s">
        <v>26</v>
      </c>
      <c r="M106" s="59" t="s">
        <v>26</v>
      </c>
      <c r="N106" s="59" t="s">
        <v>26</v>
      </c>
      <c r="O106" s="35">
        <v>1355374330.1700001</v>
      </c>
      <c r="P106" s="59">
        <v>1</v>
      </c>
      <c r="Q106" s="11" t="s">
        <v>26</v>
      </c>
      <c r="R106" s="11" t="s">
        <v>26</v>
      </c>
      <c r="S106" s="35">
        <v>1355374330.1700001</v>
      </c>
      <c r="T106" s="59">
        <v>1</v>
      </c>
      <c r="U106" s="11" t="s">
        <v>26</v>
      </c>
      <c r="V106" s="11" t="s">
        <v>26</v>
      </c>
      <c r="W106" s="35" t="s">
        <v>26</v>
      </c>
      <c r="X106" s="59" t="s">
        <v>26</v>
      </c>
      <c r="Y106" s="59" t="s">
        <v>26</v>
      </c>
      <c r="Z106" s="59" t="s">
        <v>26</v>
      </c>
      <c r="AA106" s="63">
        <v>1300346132.3599999</v>
      </c>
      <c r="AB106" s="64">
        <v>1</v>
      </c>
      <c r="AC106" s="59" t="s">
        <v>26</v>
      </c>
      <c r="AD106" s="59" t="s">
        <v>26</v>
      </c>
      <c r="AE106" s="35">
        <v>6092949763.8299999</v>
      </c>
      <c r="AF106" s="59">
        <v>1</v>
      </c>
      <c r="AG106" s="59" t="s">
        <v>26</v>
      </c>
      <c r="AH106" s="59" t="s">
        <v>26</v>
      </c>
      <c r="AI106" s="35" t="s">
        <v>26</v>
      </c>
      <c r="AJ106" s="59" t="s">
        <v>26</v>
      </c>
      <c r="AK106" s="59" t="s">
        <v>26</v>
      </c>
      <c r="AL106" s="59" t="s">
        <v>26</v>
      </c>
      <c r="AM106" s="35" t="s">
        <v>26</v>
      </c>
      <c r="AN106" s="59" t="s">
        <v>26</v>
      </c>
      <c r="AO106" s="59" t="s">
        <v>26</v>
      </c>
      <c r="AP106" s="59" t="s">
        <v>26</v>
      </c>
      <c r="AQ106" s="35" t="s">
        <v>26</v>
      </c>
      <c r="AR106" s="59" t="s">
        <v>26</v>
      </c>
      <c r="AS106" s="59" t="s">
        <v>26</v>
      </c>
      <c r="AT106" s="59" t="s">
        <v>26</v>
      </c>
      <c r="AU106" s="35" t="s">
        <v>26</v>
      </c>
      <c r="AV106" s="59" t="s">
        <v>26</v>
      </c>
      <c r="AW106" s="11" t="s">
        <v>26</v>
      </c>
      <c r="AX106" s="11" t="s">
        <v>26</v>
      </c>
      <c r="AY106" s="35">
        <v>6092949763.8299999</v>
      </c>
      <c r="AZ106" s="59">
        <v>1</v>
      </c>
      <c r="BA106" s="59" t="s">
        <v>26</v>
      </c>
      <c r="BB106" s="59" t="s">
        <v>26</v>
      </c>
    </row>
    <row r="107" spans="1:54" s="7" customFormat="1">
      <c r="A107" s="5" t="s">
        <v>89</v>
      </c>
      <c r="B107" s="24" t="s">
        <v>25</v>
      </c>
      <c r="C107" s="10" t="s">
        <v>26</v>
      </c>
      <c r="D107" s="11" t="s">
        <v>26</v>
      </c>
      <c r="E107" s="11" t="s">
        <v>26</v>
      </c>
      <c r="F107" s="11" t="s">
        <v>26</v>
      </c>
      <c r="G107" s="10" t="s">
        <v>26</v>
      </c>
      <c r="H107" s="11" t="s">
        <v>26</v>
      </c>
      <c r="I107" s="59" t="s">
        <v>26</v>
      </c>
      <c r="J107" s="59" t="s">
        <v>26</v>
      </c>
      <c r="K107" s="10" t="s">
        <v>26</v>
      </c>
      <c r="L107" s="11" t="s">
        <v>26</v>
      </c>
      <c r="M107" s="11" t="s">
        <v>26</v>
      </c>
      <c r="N107" s="11" t="s">
        <v>26</v>
      </c>
      <c r="O107" s="10">
        <v>3656404792.2199998</v>
      </c>
      <c r="P107" s="11">
        <v>1.612375502614E-2</v>
      </c>
      <c r="Q107" s="11" t="s">
        <v>26</v>
      </c>
      <c r="R107" s="11" t="s">
        <v>26</v>
      </c>
      <c r="S107" s="10">
        <v>656354451.39999998</v>
      </c>
      <c r="T107" s="11">
        <v>5.8490830088699999E-3</v>
      </c>
      <c r="U107" s="11" t="s">
        <v>26</v>
      </c>
      <c r="V107" s="11" t="s">
        <v>26</v>
      </c>
      <c r="W107" s="10" t="s">
        <v>26</v>
      </c>
      <c r="X107" s="11" t="s">
        <v>26</v>
      </c>
      <c r="Y107" s="11" t="s">
        <v>26</v>
      </c>
      <c r="Z107" s="11" t="s">
        <v>26</v>
      </c>
      <c r="AA107" s="10">
        <v>1312368570.8699999</v>
      </c>
      <c r="AB107" s="11">
        <v>9.4075514932300004E-3</v>
      </c>
      <c r="AC107" s="59" t="s">
        <v>26</v>
      </c>
      <c r="AD107" s="59" t="s">
        <v>26</v>
      </c>
      <c r="AE107" s="10">
        <v>5625127814.4899998</v>
      </c>
      <c r="AF107" s="11">
        <v>8.7032776022399998E-3</v>
      </c>
      <c r="AG107" s="59" t="s">
        <v>26</v>
      </c>
      <c r="AH107" s="59" t="s">
        <v>26</v>
      </c>
      <c r="AI107" s="10" t="s">
        <v>26</v>
      </c>
      <c r="AJ107" s="11" t="s">
        <v>26</v>
      </c>
      <c r="AK107" s="11" t="s">
        <v>26</v>
      </c>
      <c r="AL107" s="11" t="s">
        <v>26</v>
      </c>
      <c r="AM107" s="10" t="s">
        <v>26</v>
      </c>
      <c r="AN107" s="11" t="s">
        <v>26</v>
      </c>
      <c r="AO107" s="11" t="s">
        <v>26</v>
      </c>
      <c r="AP107" s="11" t="s">
        <v>26</v>
      </c>
      <c r="AQ107" s="10" t="s">
        <v>26</v>
      </c>
      <c r="AR107" s="11" t="s">
        <v>26</v>
      </c>
      <c r="AS107" s="11" t="s">
        <v>26</v>
      </c>
      <c r="AT107" s="11" t="s">
        <v>26</v>
      </c>
      <c r="AU107" s="10">
        <v>364641361.88999999</v>
      </c>
      <c r="AV107" s="11">
        <v>7.9860077578799999E-3</v>
      </c>
      <c r="AW107" s="11" t="s">
        <v>26</v>
      </c>
      <c r="AX107" s="11" t="s">
        <v>26</v>
      </c>
      <c r="AY107" s="10">
        <v>5989769176.3800001</v>
      </c>
      <c r="AZ107" s="11">
        <v>8.1727774489100003E-3</v>
      </c>
      <c r="BA107" s="59" t="s">
        <v>26</v>
      </c>
      <c r="BB107" s="59" t="s">
        <v>26</v>
      </c>
    </row>
    <row r="108" spans="1:54">
      <c r="A108" s="3" t="s">
        <v>86</v>
      </c>
      <c r="B108" s="36" t="s">
        <v>46</v>
      </c>
      <c r="C108" s="35" t="s">
        <v>26</v>
      </c>
      <c r="D108" s="59" t="s">
        <v>26</v>
      </c>
      <c r="E108" s="59" t="s">
        <v>26</v>
      </c>
      <c r="F108" s="59" t="s">
        <v>26</v>
      </c>
      <c r="G108" s="35" t="s">
        <v>26</v>
      </c>
      <c r="H108" s="59" t="s">
        <v>26</v>
      </c>
      <c r="I108" s="59" t="s">
        <v>26</v>
      </c>
      <c r="J108" s="59" t="s">
        <v>26</v>
      </c>
      <c r="K108" s="35" t="s">
        <v>26</v>
      </c>
      <c r="L108" s="59" t="s">
        <v>26</v>
      </c>
      <c r="M108" s="59" t="s">
        <v>26</v>
      </c>
      <c r="N108" s="59" t="s">
        <v>26</v>
      </c>
      <c r="O108" s="35">
        <v>3656404792.2199998</v>
      </c>
      <c r="P108" s="59">
        <v>1</v>
      </c>
      <c r="Q108" s="11" t="s">
        <v>26</v>
      </c>
      <c r="R108" s="11" t="s">
        <v>26</v>
      </c>
      <c r="S108" s="35">
        <v>656354451.39999998</v>
      </c>
      <c r="T108" s="59">
        <v>1</v>
      </c>
      <c r="U108" s="11" t="s">
        <v>26</v>
      </c>
      <c r="V108" s="11" t="s">
        <v>26</v>
      </c>
      <c r="W108" s="35" t="s">
        <v>26</v>
      </c>
      <c r="X108" s="59" t="s">
        <v>26</v>
      </c>
      <c r="Y108" s="59" t="s">
        <v>26</v>
      </c>
      <c r="Z108" s="59" t="s">
        <v>26</v>
      </c>
      <c r="AA108" s="35">
        <v>1312368570.8699999</v>
      </c>
      <c r="AB108" s="59">
        <v>1</v>
      </c>
      <c r="AC108" s="59" t="s">
        <v>26</v>
      </c>
      <c r="AD108" s="59" t="s">
        <v>26</v>
      </c>
      <c r="AE108" s="35">
        <v>5625127814.4899998</v>
      </c>
      <c r="AF108" s="59">
        <v>1</v>
      </c>
      <c r="AG108" s="59" t="s">
        <v>26</v>
      </c>
      <c r="AH108" s="59" t="s">
        <v>26</v>
      </c>
      <c r="AI108" s="35" t="s">
        <v>26</v>
      </c>
      <c r="AJ108" s="59" t="s">
        <v>26</v>
      </c>
      <c r="AK108" s="59" t="s">
        <v>26</v>
      </c>
      <c r="AL108" s="59" t="s">
        <v>26</v>
      </c>
      <c r="AM108" s="35" t="s">
        <v>26</v>
      </c>
      <c r="AN108" s="59" t="s">
        <v>26</v>
      </c>
      <c r="AO108" s="59" t="s">
        <v>26</v>
      </c>
      <c r="AP108" s="59" t="s">
        <v>26</v>
      </c>
      <c r="AQ108" s="35" t="s">
        <v>26</v>
      </c>
      <c r="AR108" s="59" t="s">
        <v>26</v>
      </c>
      <c r="AS108" s="59" t="s">
        <v>26</v>
      </c>
      <c r="AT108" s="59" t="s">
        <v>26</v>
      </c>
      <c r="AU108" s="35">
        <v>364641361.88999999</v>
      </c>
      <c r="AV108" s="59">
        <v>1</v>
      </c>
      <c r="AW108" s="11" t="s">
        <v>26</v>
      </c>
      <c r="AX108" s="11" t="s">
        <v>26</v>
      </c>
      <c r="AY108" s="35">
        <v>5989769176.3800001</v>
      </c>
      <c r="AZ108" s="59">
        <v>1</v>
      </c>
      <c r="BA108" s="59" t="s">
        <v>26</v>
      </c>
      <c r="BB108" s="59" t="s">
        <v>26</v>
      </c>
    </row>
    <row r="109" spans="1:54" s="7" customFormat="1">
      <c r="A109" s="5" t="s">
        <v>106</v>
      </c>
      <c r="B109" s="24" t="s">
        <v>25</v>
      </c>
      <c r="C109" s="10" t="s">
        <v>26</v>
      </c>
      <c r="D109" s="11" t="s">
        <v>26</v>
      </c>
      <c r="E109" s="11" t="s">
        <v>26</v>
      </c>
      <c r="F109" s="11" t="s">
        <v>26</v>
      </c>
      <c r="G109" s="10" t="s">
        <v>26</v>
      </c>
      <c r="H109" s="11" t="s">
        <v>26</v>
      </c>
      <c r="I109" s="59" t="s">
        <v>26</v>
      </c>
      <c r="J109" s="59" t="s">
        <v>26</v>
      </c>
      <c r="K109" s="10" t="s">
        <v>26</v>
      </c>
      <c r="L109" s="11" t="s">
        <v>26</v>
      </c>
      <c r="M109" s="11" t="s">
        <v>26</v>
      </c>
      <c r="N109" s="11" t="s">
        <v>26</v>
      </c>
      <c r="O109" s="10">
        <v>1536631633.5999999</v>
      </c>
      <c r="P109" s="11">
        <v>6.7761294040200003E-3</v>
      </c>
      <c r="Q109" s="11" t="s">
        <v>26</v>
      </c>
      <c r="R109" s="11" t="s">
        <v>26</v>
      </c>
      <c r="S109" s="10" t="s">
        <v>26</v>
      </c>
      <c r="T109" s="11" t="s">
        <v>26</v>
      </c>
      <c r="U109" s="11" t="s">
        <v>26</v>
      </c>
      <c r="V109" s="11" t="s">
        <v>26</v>
      </c>
      <c r="W109" s="10" t="s">
        <v>26</v>
      </c>
      <c r="X109" s="11" t="s">
        <v>26</v>
      </c>
      <c r="Y109" s="11" t="s">
        <v>26</v>
      </c>
      <c r="Z109" s="11" t="s">
        <v>26</v>
      </c>
      <c r="AA109" s="10" t="s">
        <v>26</v>
      </c>
      <c r="AB109" s="11" t="s">
        <v>26</v>
      </c>
      <c r="AC109" s="59" t="s">
        <v>26</v>
      </c>
      <c r="AD109" s="59" t="s">
        <v>26</v>
      </c>
      <c r="AE109" s="10">
        <v>1536631633.5999999</v>
      </c>
      <c r="AF109" s="11">
        <v>2.37749827571E-3</v>
      </c>
      <c r="AG109" s="59" t="s">
        <v>26</v>
      </c>
      <c r="AH109" s="59" t="s">
        <v>26</v>
      </c>
      <c r="AI109" s="10" t="s">
        <v>26</v>
      </c>
      <c r="AJ109" s="11" t="s">
        <v>26</v>
      </c>
      <c r="AK109" s="11" t="s">
        <v>26</v>
      </c>
      <c r="AL109" s="11" t="s">
        <v>26</v>
      </c>
      <c r="AM109" s="10" t="s">
        <v>26</v>
      </c>
      <c r="AN109" s="11" t="s">
        <v>26</v>
      </c>
      <c r="AO109" s="11" t="s">
        <v>26</v>
      </c>
      <c r="AP109" s="11" t="s">
        <v>26</v>
      </c>
      <c r="AQ109" s="10" t="s">
        <v>26</v>
      </c>
      <c r="AR109" s="11" t="s">
        <v>26</v>
      </c>
      <c r="AS109" s="11" t="s">
        <v>26</v>
      </c>
      <c r="AT109" s="11" t="s">
        <v>26</v>
      </c>
      <c r="AU109" s="10" t="s">
        <v>26</v>
      </c>
      <c r="AV109" s="11" t="s">
        <v>26</v>
      </c>
      <c r="AW109" s="11" t="s">
        <v>26</v>
      </c>
      <c r="AX109" s="11" t="s">
        <v>26</v>
      </c>
      <c r="AY109" s="10">
        <v>1536631633.5999999</v>
      </c>
      <c r="AZ109" s="11">
        <v>2.09666649792E-3</v>
      </c>
      <c r="BA109" s="59" t="s">
        <v>26</v>
      </c>
      <c r="BB109" s="59" t="s">
        <v>26</v>
      </c>
    </row>
    <row r="110" spans="1:54">
      <c r="A110" s="3" t="s">
        <v>86</v>
      </c>
      <c r="B110" s="36" t="s">
        <v>46</v>
      </c>
      <c r="C110" s="35" t="s">
        <v>26</v>
      </c>
      <c r="D110" s="59" t="s">
        <v>26</v>
      </c>
      <c r="E110" s="59" t="s">
        <v>26</v>
      </c>
      <c r="F110" s="59" t="s">
        <v>26</v>
      </c>
      <c r="G110" s="35" t="s">
        <v>26</v>
      </c>
      <c r="H110" s="59" t="s">
        <v>26</v>
      </c>
      <c r="I110" s="59" t="s">
        <v>26</v>
      </c>
      <c r="J110" s="59" t="s">
        <v>26</v>
      </c>
      <c r="K110" s="35" t="s">
        <v>26</v>
      </c>
      <c r="L110" s="59" t="s">
        <v>26</v>
      </c>
      <c r="M110" s="59" t="s">
        <v>26</v>
      </c>
      <c r="N110" s="59" t="s">
        <v>26</v>
      </c>
      <c r="O110" s="35">
        <v>1536631633.5999999</v>
      </c>
      <c r="P110" s="59">
        <v>1</v>
      </c>
      <c r="Q110" s="11" t="s">
        <v>26</v>
      </c>
      <c r="R110" s="11" t="s">
        <v>26</v>
      </c>
      <c r="S110" s="35" t="s">
        <v>26</v>
      </c>
      <c r="T110" s="59" t="s">
        <v>26</v>
      </c>
      <c r="U110" s="59" t="s">
        <v>26</v>
      </c>
      <c r="V110" s="59" t="s">
        <v>26</v>
      </c>
      <c r="W110" s="35" t="s">
        <v>26</v>
      </c>
      <c r="X110" s="59" t="s">
        <v>26</v>
      </c>
      <c r="Y110" s="59" t="s">
        <v>26</v>
      </c>
      <c r="Z110" s="59" t="s">
        <v>26</v>
      </c>
      <c r="AA110" s="35" t="s">
        <v>26</v>
      </c>
      <c r="AB110" s="59" t="s">
        <v>26</v>
      </c>
      <c r="AC110" s="59" t="s">
        <v>26</v>
      </c>
      <c r="AD110" s="59" t="s">
        <v>26</v>
      </c>
      <c r="AE110" s="35">
        <v>1536631633.5999999</v>
      </c>
      <c r="AF110" s="59">
        <v>1</v>
      </c>
      <c r="AG110" s="59" t="s">
        <v>26</v>
      </c>
      <c r="AH110" s="59" t="s">
        <v>26</v>
      </c>
      <c r="AI110" s="35" t="s">
        <v>26</v>
      </c>
      <c r="AJ110" s="59" t="s">
        <v>26</v>
      </c>
      <c r="AK110" s="59" t="s">
        <v>26</v>
      </c>
      <c r="AL110" s="59" t="s">
        <v>26</v>
      </c>
      <c r="AM110" s="35" t="s">
        <v>26</v>
      </c>
      <c r="AN110" s="59" t="s">
        <v>26</v>
      </c>
      <c r="AO110" s="59" t="s">
        <v>26</v>
      </c>
      <c r="AP110" s="59" t="s">
        <v>26</v>
      </c>
      <c r="AQ110" s="35" t="s">
        <v>26</v>
      </c>
      <c r="AR110" s="59" t="s">
        <v>26</v>
      </c>
      <c r="AS110" s="59" t="s">
        <v>26</v>
      </c>
      <c r="AT110" s="59" t="s">
        <v>26</v>
      </c>
      <c r="AU110" s="35" t="s">
        <v>26</v>
      </c>
      <c r="AV110" s="59" t="s">
        <v>26</v>
      </c>
      <c r="AW110" s="11" t="s">
        <v>26</v>
      </c>
      <c r="AX110" s="11" t="s">
        <v>26</v>
      </c>
      <c r="AY110" s="35">
        <v>1536631633.5999999</v>
      </c>
      <c r="AZ110" s="59">
        <v>1</v>
      </c>
      <c r="BA110" s="59" t="s">
        <v>26</v>
      </c>
      <c r="BB110" s="59" t="s">
        <v>26</v>
      </c>
    </row>
    <row r="111" spans="1:54" s="7" customFormat="1">
      <c r="A111" s="5" t="s">
        <v>90</v>
      </c>
      <c r="B111" s="24" t="s">
        <v>25</v>
      </c>
      <c r="C111" s="10" t="s">
        <v>26</v>
      </c>
      <c r="D111" s="11" t="s">
        <v>26</v>
      </c>
      <c r="E111" s="11" t="s">
        <v>26</v>
      </c>
      <c r="F111" s="11" t="s">
        <v>26</v>
      </c>
      <c r="G111" s="10" t="s">
        <v>26</v>
      </c>
      <c r="H111" s="11" t="s">
        <v>26</v>
      </c>
      <c r="I111" s="59" t="s">
        <v>26</v>
      </c>
      <c r="J111" s="59" t="s">
        <v>26</v>
      </c>
      <c r="K111" s="10" t="s">
        <v>26</v>
      </c>
      <c r="L111" s="11" t="s">
        <v>26</v>
      </c>
      <c r="M111" s="11" t="s">
        <v>26</v>
      </c>
      <c r="N111" s="11" t="s">
        <v>26</v>
      </c>
      <c r="O111" s="10">
        <v>332783260.92000002</v>
      </c>
      <c r="P111" s="11">
        <v>1.46748406722E-3</v>
      </c>
      <c r="Q111" s="11" t="s">
        <v>26</v>
      </c>
      <c r="R111" s="11" t="s">
        <v>26</v>
      </c>
      <c r="S111" s="10" t="s">
        <v>26</v>
      </c>
      <c r="T111" s="11" t="s">
        <v>26</v>
      </c>
      <c r="U111" s="11" t="s">
        <v>26</v>
      </c>
      <c r="V111" s="11" t="s">
        <v>26</v>
      </c>
      <c r="W111" s="10" t="s">
        <v>26</v>
      </c>
      <c r="X111" s="11" t="s">
        <v>26</v>
      </c>
      <c r="Y111" s="11" t="s">
        <v>26</v>
      </c>
      <c r="Z111" s="11" t="s">
        <v>26</v>
      </c>
      <c r="AA111" s="10">
        <v>332783260.92000002</v>
      </c>
      <c r="AB111" s="11">
        <v>2.3855155729E-3</v>
      </c>
      <c r="AC111" s="59" t="s">
        <v>26</v>
      </c>
      <c r="AD111" s="59" t="s">
        <v>26</v>
      </c>
      <c r="AE111" s="10">
        <v>665566521.84000003</v>
      </c>
      <c r="AF111" s="11">
        <v>1.0297739701900001E-3</v>
      </c>
      <c r="AG111" s="59" t="s">
        <v>26</v>
      </c>
      <c r="AH111" s="59" t="s">
        <v>26</v>
      </c>
      <c r="AI111" s="10" t="s">
        <v>26</v>
      </c>
      <c r="AJ111" s="11" t="s">
        <v>26</v>
      </c>
      <c r="AK111" s="11" t="s">
        <v>26</v>
      </c>
      <c r="AL111" s="11" t="s">
        <v>26</v>
      </c>
      <c r="AM111" s="10" t="s">
        <v>26</v>
      </c>
      <c r="AN111" s="11" t="s">
        <v>26</v>
      </c>
      <c r="AO111" s="11" t="s">
        <v>26</v>
      </c>
      <c r="AP111" s="11" t="s">
        <v>26</v>
      </c>
      <c r="AQ111" s="10" t="s">
        <v>26</v>
      </c>
      <c r="AR111" s="11" t="s">
        <v>26</v>
      </c>
      <c r="AS111" s="11" t="s">
        <v>26</v>
      </c>
      <c r="AT111" s="11" t="s">
        <v>26</v>
      </c>
      <c r="AU111" s="10" t="s">
        <v>26</v>
      </c>
      <c r="AV111" s="11" t="s">
        <v>26</v>
      </c>
      <c r="AW111" s="11" t="s">
        <v>26</v>
      </c>
      <c r="AX111" s="11" t="s">
        <v>26</v>
      </c>
      <c r="AY111" s="10">
        <v>665566521.84000003</v>
      </c>
      <c r="AZ111" s="11">
        <v>9.0813634052999996E-4</v>
      </c>
      <c r="BA111" s="59" t="s">
        <v>26</v>
      </c>
      <c r="BB111" s="59" t="s">
        <v>26</v>
      </c>
    </row>
    <row r="112" spans="1:54">
      <c r="A112" s="3" t="s">
        <v>86</v>
      </c>
      <c r="B112" s="36" t="s">
        <v>46</v>
      </c>
      <c r="C112" s="35" t="s">
        <v>26</v>
      </c>
      <c r="D112" s="59" t="s">
        <v>26</v>
      </c>
      <c r="E112" s="59" t="s">
        <v>26</v>
      </c>
      <c r="F112" s="59" t="s">
        <v>26</v>
      </c>
      <c r="G112" s="35" t="s">
        <v>26</v>
      </c>
      <c r="H112" s="59" t="s">
        <v>26</v>
      </c>
      <c r="I112" s="59" t="s">
        <v>26</v>
      </c>
      <c r="J112" s="59" t="s">
        <v>26</v>
      </c>
      <c r="K112" s="35" t="s">
        <v>26</v>
      </c>
      <c r="L112" s="59" t="s">
        <v>26</v>
      </c>
      <c r="M112" s="59" t="s">
        <v>26</v>
      </c>
      <c r="N112" s="59" t="s">
        <v>26</v>
      </c>
      <c r="O112" s="35">
        <v>332783260.92000002</v>
      </c>
      <c r="P112" s="59">
        <v>1</v>
      </c>
      <c r="Q112" s="11" t="s">
        <v>26</v>
      </c>
      <c r="R112" s="11" t="s">
        <v>26</v>
      </c>
      <c r="S112" s="35" t="s">
        <v>26</v>
      </c>
      <c r="T112" s="59" t="s">
        <v>26</v>
      </c>
      <c r="U112" s="59" t="s">
        <v>26</v>
      </c>
      <c r="V112" s="59" t="s">
        <v>26</v>
      </c>
      <c r="W112" s="35" t="s">
        <v>26</v>
      </c>
      <c r="X112" s="59" t="s">
        <v>26</v>
      </c>
      <c r="Y112" s="59" t="s">
        <v>26</v>
      </c>
      <c r="Z112" s="59" t="s">
        <v>26</v>
      </c>
      <c r="AA112" s="35">
        <v>332783260.92000002</v>
      </c>
      <c r="AB112" s="59">
        <v>1</v>
      </c>
      <c r="AC112" s="59" t="s">
        <v>26</v>
      </c>
      <c r="AD112" s="59" t="s">
        <v>26</v>
      </c>
      <c r="AE112" s="35">
        <v>665566521.84000003</v>
      </c>
      <c r="AF112" s="59">
        <v>1</v>
      </c>
      <c r="AG112" s="59" t="s">
        <v>26</v>
      </c>
      <c r="AH112" s="59" t="s">
        <v>26</v>
      </c>
      <c r="AI112" s="35" t="s">
        <v>26</v>
      </c>
      <c r="AJ112" s="59" t="s">
        <v>26</v>
      </c>
      <c r="AK112" s="59" t="s">
        <v>26</v>
      </c>
      <c r="AL112" s="59" t="s">
        <v>26</v>
      </c>
      <c r="AM112" s="35" t="s">
        <v>26</v>
      </c>
      <c r="AN112" s="59" t="s">
        <v>26</v>
      </c>
      <c r="AO112" s="59" t="s">
        <v>26</v>
      </c>
      <c r="AP112" s="59" t="s">
        <v>26</v>
      </c>
      <c r="AQ112" s="35" t="s">
        <v>26</v>
      </c>
      <c r="AR112" s="59" t="s">
        <v>26</v>
      </c>
      <c r="AS112" s="59" t="s">
        <v>26</v>
      </c>
      <c r="AT112" s="59" t="s">
        <v>26</v>
      </c>
      <c r="AU112" s="35" t="s">
        <v>26</v>
      </c>
      <c r="AV112" s="59" t="s">
        <v>26</v>
      </c>
      <c r="AW112" s="11" t="s">
        <v>26</v>
      </c>
      <c r="AX112" s="11" t="s">
        <v>26</v>
      </c>
      <c r="AY112" s="35">
        <v>665566521.84000003</v>
      </c>
      <c r="AZ112" s="59">
        <v>1</v>
      </c>
      <c r="BA112" s="59" t="s">
        <v>26</v>
      </c>
      <c r="BB112" s="59" t="s">
        <v>26</v>
      </c>
    </row>
    <row r="113" spans="1:54" s="7" customFormat="1">
      <c r="A113" s="5" t="s">
        <v>118</v>
      </c>
      <c r="B113" s="24" t="s">
        <v>25</v>
      </c>
      <c r="C113" s="10" t="s">
        <v>26</v>
      </c>
      <c r="D113" s="11" t="s">
        <v>26</v>
      </c>
      <c r="E113" s="11" t="s">
        <v>26</v>
      </c>
      <c r="F113" s="11" t="s">
        <v>26</v>
      </c>
      <c r="G113" s="10" t="s">
        <v>26</v>
      </c>
      <c r="H113" s="11" t="s">
        <v>26</v>
      </c>
      <c r="I113" s="59" t="s">
        <v>26</v>
      </c>
      <c r="J113" s="59" t="s">
        <v>26</v>
      </c>
      <c r="K113" s="10" t="s">
        <v>26</v>
      </c>
      <c r="L113" s="11" t="s">
        <v>26</v>
      </c>
      <c r="M113" s="11" t="s">
        <v>26</v>
      </c>
      <c r="N113" s="11" t="s">
        <v>26</v>
      </c>
      <c r="O113" s="10">
        <v>6177596444.7399998</v>
      </c>
      <c r="P113" s="11">
        <v>2.7241527507359999E-2</v>
      </c>
      <c r="Q113" s="11" t="s">
        <v>26</v>
      </c>
      <c r="R113" s="11" t="s">
        <v>26</v>
      </c>
      <c r="S113" s="10" t="s">
        <v>26</v>
      </c>
      <c r="T113" s="11" t="s">
        <v>26</v>
      </c>
      <c r="U113" s="11" t="s">
        <v>26</v>
      </c>
      <c r="V113" s="11" t="s">
        <v>26</v>
      </c>
      <c r="W113" s="10" t="s">
        <v>26</v>
      </c>
      <c r="X113" s="11" t="s">
        <v>26</v>
      </c>
      <c r="Y113" s="11" t="s">
        <v>26</v>
      </c>
      <c r="Z113" s="11" t="s">
        <v>26</v>
      </c>
      <c r="AA113" s="10" t="s">
        <v>26</v>
      </c>
      <c r="AB113" s="11" t="s">
        <v>26</v>
      </c>
      <c r="AC113" s="59" t="s">
        <v>26</v>
      </c>
      <c r="AD113" s="59" t="s">
        <v>26</v>
      </c>
      <c r="AE113" s="10">
        <v>6177596444.7399998</v>
      </c>
      <c r="AF113" s="11">
        <v>9.5580649091600006E-3</v>
      </c>
      <c r="AG113" s="59" t="s">
        <v>26</v>
      </c>
      <c r="AH113" s="59" t="s">
        <v>26</v>
      </c>
      <c r="AI113" s="10" t="s">
        <v>26</v>
      </c>
      <c r="AJ113" s="11" t="s">
        <v>26</v>
      </c>
      <c r="AK113" s="11" t="s">
        <v>26</v>
      </c>
      <c r="AL113" s="11" t="s">
        <v>26</v>
      </c>
      <c r="AM113" s="10" t="s">
        <v>26</v>
      </c>
      <c r="AN113" s="11" t="s">
        <v>26</v>
      </c>
      <c r="AO113" s="11" t="s">
        <v>26</v>
      </c>
      <c r="AP113" s="11" t="s">
        <v>26</v>
      </c>
      <c r="AQ113" s="10" t="s">
        <v>26</v>
      </c>
      <c r="AR113" s="11" t="s">
        <v>26</v>
      </c>
      <c r="AS113" s="11" t="s">
        <v>26</v>
      </c>
      <c r="AT113" s="11" t="s">
        <v>26</v>
      </c>
      <c r="AU113" s="10" t="s">
        <v>26</v>
      </c>
      <c r="AV113" s="11" t="s">
        <v>26</v>
      </c>
      <c r="AW113" s="11" t="s">
        <v>26</v>
      </c>
      <c r="AX113" s="11" t="s">
        <v>26</v>
      </c>
      <c r="AY113" s="10">
        <v>6177596444.7399998</v>
      </c>
      <c r="AZ113" s="11">
        <v>8.4290595222200008E-3</v>
      </c>
      <c r="BA113" s="59" t="s">
        <v>26</v>
      </c>
      <c r="BB113" s="59" t="s">
        <v>26</v>
      </c>
    </row>
    <row r="114" spans="1:54">
      <c r="A114" s="3" t="s">
        <v>86</v>
      </c>
      <c r="B114" s="36" t="s">
        <v>46</v>
      </c>
      <c r="C114" s="35" t="s">
        <v>26</v>
      </c>
      <c r="D114" s="59" t="s">
        <v>26</v>
      </c>
      <c r="E114" s="59" t="s">
        <v>26</v>
      </c>
      <c r="F114" s="59" t="s">
        <v>26</v>
      </c>
      <c r="G114" s="35" t="s">
        <v>26</v>
      </c>
      <c r="H114" s="59" t="s">
        <v>26</v>
      </c>
      <c r="I114" s="59" t="s">
        <v>26</v>
      </c>
      <c r="J114" s="59" t="s">
        <v>26</v>
      </c>
      <c r="K114" s="35" t="s">
        <v>26</v>
      </c>
      <c r="L114" s="59" t="s">
        <v>26</v>
      </c>
      <c r="M114" s="59" t="s">
        <v>26</v>
      </c>
      <c r="N114" s="59" t="s">
        <v>26</v>
      </c>
      <c r="O114" s="35">
        <v>6177596444.7399998</v>
      </c>
      <c r="P114" s="59">
        <v>1</v>
      </c>
      <c r="Q114" s="11" t="s">
        <v>26</v>
      </c>
      <c r="R114" s="11" t="s">
        <v>26</v>
      </c>
      <c r="S114" s="35" t="s">
        <v>26</v>
      </c>
      <c r="T114" s="59" t="s">
        <v>26</v>
      </c>
      <c r="U114" s="59" t="s">
        <v>26</v>
      </c>
      <c r="V114" s="59" t="s">
        <v>26</v>
      </c>
      <c r="W114" s="35" t="s">
        <v>26</v>
      </c>
      <c r="X114" s="59" t="s">
        <v>26</v>
      </c>
      <c r="Y114" s="59" t="s">
        <v>26</v>
      </c>
      <c r="Z114" s="59" t="s">
        <v>26</v>
      </c>
      <c r="AA114" s="35" t="s">
        <v>26</v>
      </c>
      <c r="AB114" s="59" t="s">
        <v>26</v>
      </c>
      <c r="AC114" s="59" t="s">
        <v>26</v>
      </c>
      <c r="AD114" s="59" t="s">
        <v>26</v>
      </c>
      <c r="AE114" s="35">
        <v>6177596444.7399998</v>
      </c>
      <c r="AF114" s="59">
        <v>1</v>
      </c>
      <c r="AG114" s="59" t="s">
        <v>26</v>
      </c>
      <c r="AH114" s="59" t="s">
        <v>26</v>
      </c>
      <c r="AI114" s="35" t="s">
        <v>26</v>
      </c>
      <c r="AJ114" s="59" t="s">
        <v>26</v>
      </c>
      <c r="AK114" s="59" t="s">
        <v>26</v>
      </c>
      <c r="AL114" s="59" t="s">
        <v>26</v>
      </c>
      <c r="AM114" s="35" t="s">
        <v>26</v>
      </c>
      <c r="AN114" s="59" t="s">
        <v>26</v>
      </c>
      <c r="AO114" s="59" t="s">
        <v>26</v>
      </c>
      <c r="AP114" s="59" t="s">
        <v>26</v>
      </c>
      <c r="AQ114" s="35" t="s">
        <v>26</v>
      </c>
      <c r="AR114" s="59" t="s">
        <v>26</v>
      </c>
      <c r="AS114" s="59" t="s">
        <v>26</v>
      </c>
      <c r="AT114" s="59" t="s">
        <v>26</v>
      </c>
      <c r="AU114" s="35" t="s">
        <v>26</v>
      </c>
      <c r="AV114" s="59" t="s">
        <v>26</v>
      </c>
      <c r="AW114" s="11" t="s">
        <v>26</v>
      </c>
      <c r="AX114" s="11" t="s">
        <v>26</v>
      </c>
      <c r="AY114" s="35">
        <v>6177596444.7399998</v>
      </c>
      <c r="AZ114" s="59">
        <v>1</v>
      </c>
      <c r="BA114" s="59" t="s">
        <v>26</v>
      </c>
      <c r="BB114" s="59" t="s">
        <v>26</v>
      </c>
    </row>
    <row r="115" spans="1:54" s="7" customFormat="1">
      <c r="A115" s="5" t="s">
        <v>91</v>
      </c>
      <c r="B115" s="24" t="s">
        <v>25</v>
      </c>
      <c r="C115" s="10" t="s">
        <v>26</v>
      </c>
      <c r="D115" s="11" t="s">
        <v>26</v>
      </c>
      <c r="E115" s="11" t="s">
        <v>26</v>
      </c>
      <c r="F115" s="11" t="s">
        <v>26</v>
      </c>
      <c r="G115" s="10" t="s">
        <v>26</v>
      </c>
      <c r="H115" s="11" t="s">
        <v>26</v>
      </c>
      <c r="I115" s="59" t="s">
        <v>26</v>
      </c>
      <c r="J115" s="59" t="s">
        <v>26</v>
      </c>
      <c r="K115" s="10" t="s">
        <v>26</v>
      </c>
      <c r="L115" s="11" t="s">
        <v>26</v>
      </c>
      <c r="M115" s="11" t="s">
        <v>26</v>
      </c>
      <c r="N115" s="11" t="s">
        <v>26</v>
      </c>
      <c r="O115" s="10" t="s">
        <v>26</v>
      </c>
      <c r="P115" s="11" t="s">
        <v>26</v>
      </c>
      <c r="Q115" s="11" t="s">
        <v>26</v>
      </c>
      <c r="R115" s="11" t="s">
        <v>26</v>
      </c>
      <c r="S115" s="10">
        <v>140063654.06999999</v>
      </c>
      <c r="T115" s="11">
        <v>1.24817305258E-3</v>
      </c>
      <c r="U115" s="59" t="s">
        <v>26</v>
      </c>
      <c r="V115" s="59" t="s">
        <v>26</v>
      </c>
      <c r="W115" s="10" t="s">
        <v>26</v>
      </c>
      <c r="X115" s="11" t="s">
        <v>26</v>
      </c>
      <c r="Y115" s="11" t="s">
        <v>26</v>
      </c>
      <c r="Z115" s="11" t="s">
        <v>26</v>
      </c>
      <c r="AA115" s="10" t="s">
        <v>26</v>
      </c>
      <c r="AB115" s="11" t="s">
        <v>26</v>
      </c>
      <c r="AC115" s="59" t="s">
        <v>26</v>
      </c>
      <c r="AD115" s="59" t="s">
        <v>26</v>
      </c>
      <c r="AE115" s="10">
        <v>140063654.06999999</v>
      </c>
      <c r="AF115" s="11">
        <v>2.1670847376000001E-4</v>
      </c>
      <c r="AG115" s="59" t="s">
        <v>26</v>
      </c>
      <c r="AH115" s="59" t="s">
        <v>26</v>
      </c>
      <c r="AI115" s="10" t="s">
        <v>26</v>
      </c>
      <c r="AJ115" s="11" t="s">
        <v>26</v>
      </c>
      <c r="AK115" s="11" t="s">
        <v>26</v>
      </c>
      <c r="AL115" s="11" t="s">
        <v>26</v>
      </c>
      <c r="AM115" s="10" t="s">
        <v>26</v>
      </c>
      <c r="AN115" s="11" t="s">
        <v>26</v>
      </c>
      <c r="AO115" s="11" t="s">
        <v>26</v>
      </c>
      <c r="AP115" s="11" t="s">
        <v>26</v>
      </c>
      <c r="AQ115" s="10" t="s">
        <v>26</v>
      </c>
      <c r="AR115" s="11" t="s">
        <v>26</v>
      </c>
      <c r="AS115" s="11" t="s">
        <v>26</v>
      </c>
      <c r="AT115" s="11" t="s">
        <v>26</v>
      </c>
      <c r="AU115" s="10">
        <v>179424607.94999999</v>
      </c>
      <c r="AV115" s="11">
        <v>3.9295770057899996E-3</v>
      </c>
      <c r="AW115" s="11" t="s">
        <v>26</v>
      </c>
      <c r="AX115" s="11" t="s">
        <v>26</v>
      </c>
      <c r="AY115" s="10">
        <v>319488262.01999998</v>
      </c>
      <c r="AZ115" s="11">
        <v>4.3592772712000002E-4</v>
      </c>
      <c r="BA115" s="59" t="s">
        <v>26</v>
      </c>
      <c r="BB115" s="59" t="s">
        <v>26</v>
      </c>
    </row>
    <row r="116" spans="1:54">
      <c r="A116" s="3" t="s">
        <v>86</v>
      </c>
      <c r="B116" s="36" t="s">
        <v>46</v>
      </c>
      <c r="C116" s="35" t="s">
        <v>26</v>
      </c>
      <c r="D116" s="59" t="s">
        <v>26</v>
      </c>
      <c r="E116" s="59" t="s">
        <v>26</v>
      </c>
      <c r="F116" s="59" t="s">
        <v>26</v>
      </c>
      <c r="G116" s="35" t="s">
        <v>26</v>
      </c>
      <c r="H116" s="59" t="s">
        <v>26</v>
      </c>
      <c r="I116" s="59" t="s">
        <v>26</v>
      </c>
      <c r="J116" s="59" t="s">
        <v>26</v>
      </c>
      <c r="K116" s="35" t="s">
        <v>26</v>
      </c>
      <c r="L116" s="59" t="s">
        <v>26</v>
      </c>
      <c r="M116" s="59" t="s">
        <v>26</v>
      </c>
      <c r="N116" s="59" t="s">
        <v>26</v>
      </c>
      <c r="O116" s="35" t="s">
        <v>26</v>
      </c>
      <c r="P116" s="59" t="s">
        <v>26</v>
      </c>
      <c r="Q116" s="11" t="s">
        <v>26</v>
      </c>
      <c r="R116" s="11" t="s">
        <v>26</v>
      </c>
      <c r="S116" s="35">
        <v>140063654.06999999</v>
      </c>
      <c r="T116" s="59">
        <v>1</v>
      </c>
      <c r="U116" s="59" t="s">
        <v>26</v>
      </c>
      <c r="V116" s="59" t="s">
        <v>26</v>
      </c>
      <c r="W116" s="35" t="s">
        <v>26</v>
      </c>
      <c r="X116" s="59" t="s">
        <v>26</v>
      </c>
      <c r="Y116" s="59" t="s">
        <v>26</v>
      </c>
      <c r="Z116" s="59" t="s">
        <v>26</v>
      </c>
      <c r="AA116" s="35" t="s">
        <v>26</v>
      </c>
      <c r="AB116" s="59" t="s">
        <v>26</v>
      </c>
      <c r="AC116" s="59" t="s">
        <v>26</v>
      </c>
      <c r="AD116" s="59" t="s">
        <v>26</v>
      </c>
      <c r="AE116" s="35">
        <v>140063654.06999999</v>
      </c>
      <c r="AF116" s="59">
        <v>1</v>
      </c>
      <c r="AG116" s="59" t="s">
        <v>26</v>
      </c>
      <c r="AH116" s="59" t="s">
        <v>26</v>
      </c>
      <c r="AI116" s="35" t="s">
        <v>26</v>
      </c>
      <c r="AJ116" s="59" t="s">
        <v>26</v>
      </c>
      <c r="AK116" s="59" t="s">
        <v>26</v>
      </c>
      <c r="AL116" s="59" t="s">
        <v>26</v>
      </c>
      <c r="AM116" s="35" t="s">
        <v>26</v>
      </c>
      <c r="AN116" s="59" t="s">
        <v>26</v>
      </c>
      <c r="AO116" s="59" t="s">
        <v>26</v>
      </c>
      <c r="AP116" s="59" t="s">
        <v>26</v>
      </c>
      <c r="AQ116" s="35" t="s">
        <v>26</v>
      </c>
      <c r="AR116" s="59" t="s">
        <v>26</v>
      </c>
      <c r="AS116" s="59" t="s">
        <v>26</v>
      </c>
      <c r="AT116" s="59" t="s">
        <v>26</v>
      </c>
      <c r="AU116" s="35">
        <v>179424607.94999999</v>
      </c>
      <c r="AV116" s="59">
        <v>1</v>
      </c>
      <c r="AW116" s="11" t="s">
        <v>26</v>
      </c>
      <c r="AX116" s="11" t="s">
        <v>26</v>
      </c>
      <c r="AY116" s="35">
        <v>319488262.01999998</v>
      </c>
      <c r="AZ116" s="59">
        <v>1</v>
      </c>
      <c r="BA116" s="59" t="s">
        <v>26</v>
      </c>
      <c r="BB116" s="59" t="s">
        <v>26</v>
      </c>
    </row>
    <row r="117" spans="1:54" s="7" customFormat="1">
      <c r="A117" s="5" t="s">
        <v>120</v>
      </c>
      <c r="B117" s="24" t="s">
        <v>25</v>
      </c>
      <c r="C117" s="10" t="s">
        <v>26</v>
      </c>
      <c r="D117" s="11" t="s">
        <v>26</v>
      </c>
      <c r="E117" s="11" t="s">
        <v>26</v>
      </c>
      <c r="F117" s="11" t="s">
        <v>26</v>
      </c>
      <c r="G117" s="10" t="s">
        <v>26</v>
      </c>
      <c r="H117" s="11" t="s">
        <v>26</v>
      </c>
      <c r="I117" s="59" t="s">
        <v>26</v>
      </c>
      <c r="J117" s="59" t="s">
        <v>26</v>
      </c>
      <c r="K117" s="10">
        <v>30399723.949999999</v>
      </c>
      <c r="L117" s="11">
        <v>1.014684783574E-2</v>
      </c>
      <c r="M117" s="59" t="s">
        <v>26</v>
      </c>
      <c r="N117" s="59" t="s">
        <v>26</v>
      </c>
      <c r="O117" s="10" t="s">
        <v>26</v>
      </c>
      <c r="P117" s="11" t="s">
        <v>26</v>
      </c>
      <c r="Q117" s="11" t="s">
        <v>26</v>
      </c>
      <c r="R117" s="11" t="s">
        <v>26</v>
      </c>
      <c r="S117" s="10" t="s">
        <v>26</v>
      </c>
      <c r="T117" s="11" t="s">
        <v>26</v>
      </c>
      <c r="U117" s="59" t="s">
        <v>26</v>
      </c>
      <c r="V117" s="59" t="s">
        <v>26</v>
      </c>
      <c r="W117" s="10" t="s">
        <v>26</v>
      </c>
      <c r="X117" s="11" t="s">
        <v>26</v>
      </c>
      <c r="Y117" s="11" t="s">
        <v>26</v>
      </c>
      <c r="Z117" s="11" t="s">
        <v>26</v>
      </c>
      <c r="AA117" s="10" t="s">
        <v>26</v>
      </c>
      <c r="AB117" s="11" t="s">
        <v>26</v>
      </c>
      <c r="AC117" s="59" t="s">
        <v>26</v>
      </c>
      <c r="AD117" s="59" t="s">
        <v>26</v>
      </c>
      <c r="AE117" s="10">
        <v>30399723.949999999</v>
      </c>
      <c r="AF117" s="11">
        <v>4.7034884409999998E-5</v>
      </c>
      <c r="AG117" s="59" t="s">
        <v>26</v>
      </c>
      <c r="AH117" s="59" t="s">
        <v>26</v>
      </c>
      <c r="AI117" s="10" t="s">
        <v>26</v>
      </c>
      <c r="AJ117" s="11" t="s">
        <v>26</v>
      </c>
      <c r="AK117" s="11" t="s">
        <v>26</v>
      </c>
      <c r="AL117" s="11" t="s">
        <v>26</v>
      </c>
      <c r="AM117" s="10" t="s">
        <v>26</v>
      </c>
      <c r="AN117" s="11" t="s">
        <v>26</v>
      </c>
      <c r="AO117" s="11" t="s">
        <v>26</v>
      </c>
      <c r="AP117" s="11" t="s">
        <v>26</v>
      </c>
      <c r="AQ117" s="10" t="s">
        <v>26</v>
      </c>
      <c r="AR117" s="11" t="s">
        <v>26</v>
      </c>
      <c r="AS117" s="11" t="s">
        <v>26</v>
      </c>
      <c r="AT117" s="11" t="s">
        <v>26</v>
      </c>
      <c r="AU117" s="10" t="s">
        <v>26</v>
      </c>
      <c r="AV117" s="11" t="s">
        <v>26</v>
      </c>
      <c r="AW117" s="11" t="s">
        <v>26</v>
      </c>
      <c r="AX117" s="11" t="s">
        <v>26</v>
      </c>
      <c r="AY117" s="10">
        <v>30399723.949999999</v>
      </c>
      <c r="AZ117" s="11">
        <v>4.1479090600000003E-5</v>
      </c>
      <c r="BA117" s="59" t="s">
        <v>26</v>
      </c>
      <c r="BB117" s="59" t="s">
        <v>26</v>
      </c>
    </row>
    <row r="118" spans="1:54">
      <c r="A118" s="3" t="s">
        <v>86</v>
      </c>
      <c r="B118" s="36" t="s">
        <v>46</v>
      </c>
      <c r="C118" s="35" t="s">
        <v>26</v>
      </c>
      <c r="D118" s="59" t="s">
        <v>26</v>
      </c>
      <c r="E118" s="59" t="s">
        <v>26</v>
      </c>
      <c r="F118" s="59" t="s">
        <v>26</v>
      </c>
      <c r="G118" s="35" t="s">
        <v>26</v>
      </c>
      <c r="H118" s="59" t="s">
        <v>26</v>
      </c>
      <c r="I118" s="59" t="s">
        <v>26</v>
      </c>
      <c r="J118" s="59" t="s">
        <v>26</v>
      </c>
      <c r="K118" s="35">
        <v>30399723.949999999</v>
      </c>
      <c r="L118" s="59">
        <v>1</v>
      </c>
      <c r="M118" s="59" t="s">
        <v>26</v>
      </c>
      <c r="N118" s="59" t="s">
        <v>26</v>
      </c>
      <c r="O118" s="35" t="s">
        <v>26</v>
      </c>
      <c r="P118" s="59" t="s">
        <v>26</v>
      </c>
      <c r="Q118" s="11" t="s">
        <v>26</v>
      </c>
      <c r="R118" s="11" t="s">
        <v>26</v>
      </c>
      <c r="S118" s="35" t="s">
        <v>26</v>
      </c>
      <c r="T118" s="59" t="s">
        <v>26</v>
      </c>
      <c r="U118" s="59" t="s">
        <v>26</v>
      </c>
      <c r="V118" s="59" t="s">
        <v>26</v>
      </c>
      <c r="W118" s="35" t="s">
        <v>26</v>
      </c>
      <c r="X118" s="59" t="s">
        <v>26</v>
      </c>
      <c r="Y118" s="59" t="s">
        <v>26</v>
      </c>
      <c r="Z118" s="59" t="s">
        <v>26</v>
      </c>
      <c r="AA118" s="35" t="s">
        <v>26</v>
      </c>
      <c r="AB118" s="59" t="s">
        <v>26</v>
      </c>
      <c r="AC118" s="59" t="s">
        <v>26</v>
      </c>
      <c r="AD118" s="59" t="s">
        <v>26</v>
      </c>
      <c r="AE118" s="35">
        <v>30399723.949999999</v>
      </c>
      <c r="AF118" s="59">
        <v>1</v>
      </c>
      <c r="AG118" s="59" t="s">
        <v>26</v>
      </c>
      <c r="AH118" s="59" t="s">
        <v>26</v>
      </c>
      <c r="AI118" s="35" t="s">
        <v>26</v>
      </c>
      <c r="AJ118" s="59" t="s">
        <v>26</v>
      </c>
      <c r="AK118" s="59" t="s">
        <v>26</v>
      </c>
      <c r="AL118" s="59" t="s">
        <v>26</v>
      </c>
      <c r="AM118" s="35" t="s">
        <v>26</v>
      </c>
      <c r="AN118" s="59" t="s">
        <v>26</v>
      </c>
      <c r="AO118" s="59" t="s">
        <v>26</v>
      </c>
      <c r="AP118" s="59" t="s">
        <v>26</v>
      </c>
      <c r="AQ118" s="35" t="s">
        <v>26</v>
      </c>
      <c r="AR118" s="59" t="s">
        <v>26</v>
      </c>
      <c r="AS118" s="59" t="s">
        <v>26</v>
      </c>
      <c r="AT118" s="59" t="s">
        <v>26</v>
      </c>
      <c r="AU118" s="35" t="s">
        <v>26</v>
      </c>
      <c r="AV118" s="59" t="s">
        <v>26</v>
      </c>
      <c r="AW118" s="11" t="s">
        <v>26</v>
      </c>
      <c r="AX118" s="11" t="s">
        <v>26</v>
      </c>
      <c r="AY118" s="35">
        <v>30399723.949999999</v>
      </c>
      <c r="AZ118" s="59">
        <v>1</v>
      </c>
      <c r="BA118" s="59" t="s">
        <v>26</v>
      </c>
      <c r="BB118" s="59" t="s">
        <v>26</v>
      </c>
    </row>
    <row r="119" spans="1:54" s="7" customFormat="1">
      <c r="A119" s="5" t="s">
        <v>92</v>
      </c>
      <c r="B119" s="24" t="s">
        <v>25</v>
      </c>
      <c r="C119" s="10" t="s">
        <v>26</v>
      </c>
      <c r="D119" s="11" t="s">
        <v>26</v>
      </c>
      <c r="E119" s="11" t="s">
        <v>26</v>
      </c>
      <c r="F119" s="11" t="s">
        <v>26</v>
      </c>
      <c r="G119" s="10">
        <v>754024109.34000003</v>
      </c>
      <c r="H119" s="11">
        <v>4.9547706069899998E-3</v>
      </c>
      <c r="I119" s="59" t="s">
        <v>26</v>
      </c>
      <c r="J119" s="59" t="s">
        <v>26</v>
      </c>
      <c r="K119" s="10" t="s">
        <v>26</v>
      </c>
      <c r="L119" s="11" t="s">
        <v>26</v>
      </c>
      <c r="M119" s="59" t="s">
        <v>26</v>
      </c>
      <c r="N119" s="59" t="s">
        <v>26</v>
      </c>
      <c r="O119" s="10">
        <v>2173254002.1199999</v>
      </c>
      <c r="P119" s="11">
        <v>9.5834616600200002E-3</v>
      </c>
      <c r="Q119" s="11" t="s">
        <v>26</v>
      </c>
      <c r="R119" s="11" t="s">
        <v>26</v>
      </c>
      <c r="S119" s="10" t="s">
        <v>26</v>
      </c>
      <c r="T119" s="11" t="s">
        <v>26</v>
      </c>
      <c r="U119" s="59" t="s">
        <v>26</v>
      </c>
      <c r="V119" s="59" t="s">
        <v>26</v>
      </c>
      <c r="W119" s="10" t="s">
        <v>26</v>
      </c>
      <c r="X119" s="11" t="s">
        <v>26</v>
      </c>
      <c r="Y119" s="11" t="s">
        <v>26</v>
      </c>
      <c r="Z119" s="11" t="s">
        <v>26</v>
      </c>
      <c r="AA119" s="10" t="s">
        <v>26</v>
      </c>
      <c r="AB119" s="11" t="s">
        <v>26</v>
      </c>
      <c r="AC119" s="59" t="s">
        <v>26</v>
      </c>
      <c r="AD119" s="59" t="s">
        <v>26</v>
      </c>
      <c r="AE119" s="10">
        <v>2927278111.46</v>
      </c>
      <c r="AF119" s="11">
        <v>4.5291262462299996E-3</v>
      </c>
      <c r="AG119" s="59" t="s">
        <v>26</v>
      </c>
      <c r="AH119" s="59" t="s">
        <v>26</v>
      </c>
      <c r="AI119" s="10" t="s">
        <v>26</v>
      </c>
      <c r="AJ119" s="11" t="s">
        <v>26</v>
      </c>
      <c r="AK119" s="11" t="s">
        <v>26</v>
      </c>
      <c r="AL119" s="11" t="s">
        <v>26</v>
      </c>
      <c r="AM119" s="10" t="s">
        <v>26</v>
      </c>
      <c r="AN119" s="11" t="s">
        <v>26</v>
      </c>
      <c r="AO119" s="11" t="s">
        <v>26</v>
      </c>
      <c r="AP119" s="11" t="s">
        <v>26</v>
      </c>
      <c r="AQ119" s="10" t="s">
        <v>26</v>
      </c>
      <c r="AR119" s="11" t="s">
        <v>26</v>
      </c>
      <c r="AS119" s="11" t="s">
        <v>26</v>
      </c>
      <c r="AT119" s="11" t="s">
        <v>26</v>
      </c>
      <c r="AU119" s="10" t="s">
        <v>26</v>
      </c>
      <c r="AV119" s="11" t="s">
        <v>26</v>
      </c>
      <c r="AW119" s="11" t="s">
        <v>26</v>
      </c>
      <c r="AX119" s="11" t="s">
        <v>26</v>
      </c>
      <c r="AY119" s="10">
        <v>2927278111.46</v>
      </c>
      <c r="AZ119" s="11">
        <v>3.9941426508300001E-3</v>
      </c>
      <c r="BA119" s="59" t="s">
        <v>26</v>
      </c>
      <c r="BB119" s="59" t="s">
        <v>26</v>
      </c>
    </row>
    <row r="120" spans="1:54">
      <c r="A120" s="3" t="s">
        <v>86</v>
      </c>
      <c r="B120" s="36" t="s">
        <v>46</v>
      </c>
      <c r="C120" s="35" t="s">
        <v>26</v>
      </c>
      <c r="D120" s="59" t="s">
        <v>26</v>
      </c>
      <c r="E120" s="59" t="s">
        <v>26</v>
      </c>
      <c r="F120" s="59" t="s">
        <v>26</v>
      </c>
      <c r="G120" s="35">
        <v>754024109.34000003</v>
      </c>
      <c r="H120" s="59">
        <v>1</v>
      </c>
      <c r="I120" s="59" t="s">
        <v>26</v>
      </c>
      <c r="J120" s="59" t="s">
        <v>26</v>
      </c>
      <c r="K120" s="35" t="s">
        <v>26</v>
      </c>
      <c r="L120" s="59" t="s">
        <v>26</v>
      </c>
      <c r="M120" s="59" t="s">
        <v>26</v>
      </c>
      <c r="N120" s="59" t="s">
        <v>26</v>
      </c>
      <c r="O120" s="35">
        <v>2173254002.1199999</v>
      </c>
      <c r="P120" s="59">
        <v>1</v>
      </c>
      <c r="Q120" s="11" t="s">
        <v>26</v>
      </c>
      <c r="R120" s="11" t="s">
        <v>26</v>
      </c>
      <c r="S120" s="35" t="s">
        <v>26</v>
      </c>
      <c r="T120" s="59" t="s">
        <v>26</v>
      </c>
      <c r="U120" s="59" t="s">
        <v>26</v>
      </c>
      <c r="V120" s="59" t="s">
        <v>26</v>
      </c>
      <c r="W120" s="35" t="s">
        <v>26</v>
      </c>
      <c r="X120" s="59" t="s">
        <v>26</v>
      </c>
      <c r="Y120" s="59" t="s">
        <v>26</v>
      </c>
      <c r="Z120" s="59" t="s">
        <v>26</v>
      </c>
      <c r="AA120" s="35" t="s">
        <v>26</v>
      </c>
      <c r="AB120" s="59" t="s">
        <v>26</v>
      </c>
      <c r="AC120" s="59" t="s">
        <v>26</v>
      </c>
      <c r="AD120" s="59" t="s">
        <v>26</v>
      </c>
      <c r="AE120" s="35">
        <v>2927278111.46</v>
      </c>
      <c r="AF120" s="59">
        <v>1</v>
      </c>
      <c r="AG120" s="59" t="s">
        <v>26</v>
      </c>
      <c r="AH120" s="59" t="s">
        <v>26</v>
      </c>
      <c r="AI120" s="35" t="s">
        <v>26</v>
      </c>
      <c r="AJ120" s="59" t="s">
        <v>26</v>
      </c>
      <c r="AK120" s="59" t="s">
        <v>26</v>
      </c>
      <c r="AL120" s="59" t="s">
        <v>26</v>
      </c>
      <c r="AM120" s="35" t="s">
        <v>26</v>
      </c>
      <c r="AN120" s="59" t="s">
        <v>26</v>
      </c>
      <c r="AO120" s="59" t="s">
        <v>26</v>
      </c>
      <c r="AP120" s="59" t="s">
        <v>26</v>
      </c>
      <c r="AQ120" s="35" t="s">
        <v>26</v>
      </c>
      <c r="AR120" s="59" t="s">
        <v>26</v>
      </c>
      <c r="AS120" s="59" t="s">
        <v>26</v>
      </c>
      <c r="AT120" s="59" t="s">
        <v>26</v>
      </c>
      <c r="AU120" s="35" t="s">
        <v>26</v>
      </c>
      <c r="AV120" s="59" t="s">
        <v>26</v>
      </c>
      <c r="AW120" s="11" t="s">
        <v>26</v>
      </c>
      <c r="AX120" s="11" t="s">
        <v>26</v>
      </c>
      <c r="AY120" s="35">
        <v>2927278111.46</v>
      </c>
      <c r="AZ120" s="59">
        <v>1</v>
      </c>
      <c r="BA120" s="59" t="s">
        <v>26</v>
      </c>
      <c r="BB120" s="59" t="s">
        <v>26</v>
      </c>
    </row>
    <row r="121" spans="1:54" s="7" customFormat="1">
      <c r="A121" s="5" t="s">
        <v>93</v>
      </c>
      <c r="B121" s="24" t="s">
        <v>25</v>
      </c>
      <c r="C121" s="10" t="s">
        <v>26</v>
      </c>
      <c r="D121" s="11" t="s">
        <v>26</v>
      </c>
      <c r="E121" s="11" t="s">
        <v>26</v>
      </c>
      <c r="F121" s="11" t="s">
        <v>26</v>
      </c>
      <c r="G121" s="10">
        <v>1496694458.47</v>
      </c>
      <c r="H121" s="11">
        <v>9.8349344783800006E-3</v>
      </c>
      <c r="I121" s="59" t="s">
        <v>26</v>
      </c>
      <c r="J121" s="59" t="s">
        <v>26</v>
      </c>
      <c r="K121" s="10" t="s">
        <v>26</v>
      </c>
      <c r="L121" s="11" t="s">
        <v>26</v>
      </c>
      <c r="M121" s="59" t="s">
        <v>26</v>
      </c>
      <c r="N121" s="59" t="s">
        <v>26</v>
      </c>
      <c r="O121" s="10">
        <v>3565984073.9699998</v>
      </c>
      <c r="P121" s="11">
        <v>1.5725024143430001E-2</v>
      </c>
      <c r="Q121" s="11" t="s">
        <v>26</v>
      </c>
      <c r="R121" s="11" t="s">
        <v>26</v>
      </c>
      <c r="S121" s="10">
        <v>998475540.71000004</v>
      </c>
      <c r="T121" s="11">
        <v>8.8978848356799992E-3</v>
      </c>
      <c r="U121" s="59" t="s">
        <v>26</v>
      </c>
      <c r="V121" s="59" t="s">
        <v>26</v>
      </c>
      <c r="W121" s="10" t="s">
        <v>26</v>
      </c>
      <c r="X121" s="11" t="s">
        <v>26</v>
      </c>
      <c r="Y121" s="11" t="s">
        <v>26</v>
      </c>
      <c r="Z121" s="11" t="s">
        <v>26</v>
      </c>
      <c r="AA121" s="10" t="s">
        <v>26</v>
      </c>
      <c r="AB121" s="11" t="s">
        <v>26</v>
      </c>
      <c r="AC121" s="59" t="s">
        <v>26</v>
      </c>
      <c r="AD121" s="59" t="s">
        <v>26</v>
      </c>
      <c r="AE121" s="10">
        <v>6061154073.1499996</v>
      </c>
      <c r="AF121" s="11">
        <v>9.3779036189599995E-3</v>
      </c>
      <c r="AG121" s="59" t="s">
        <v>26</v>
      </c>
      <c r="AH121" s="59" t="s">
        <v>26</v>
      </c>
      <c r="AI121" s="10" t="s">
        <v>26</v>
      </c>
      <c r="AJ121" s="11" t="s">
        <v>26</v>
      </c>
      <c r="AK121" s="11" t="s">
        <v>26</v>
      </c>
      <c r="AL121" s="11" t="s">
        <v>26</v>
      </c>
      <c r="AM121" s="10" t="s">
        <v>26</v>
      </c>
      <c r="AN121" s="11" t="s">
        <v>26</v>
      </c>
      <c r="AO121" s="11" t="s">
        <v>26</v>
      </c>
      <c r="AP121" s="11" t="s">
        <v>26</v>
      </c>
      <c r="AQ121" s="10" t="s">
        <v>26</v>
      </c>
      <c r="AR121" s="11" t="s">
        <v>26</v>
      </c>
      <c r="AS121" s="11" t="s">
        <v>26</v>
      </c>
      <c r="AT121" s="11" t="s">
        <v>26</v>
      </c>
      <c r="AU121" s="10">
        <v>998475540.71000004</v>
      </c>
      <c r="AV121" s="11">
        <v>2.1867605399549999E-2</v>
      </c>
      <c r="AW121" s="11" t="s">
        <v>26</v>
      </c>
      <c r="AX121" s="11" t="s">
        <v>26</v>
      </c>
      <c r="AY121" s="10">
        <v>7059629613.8599997</v>
      </c>
      <c r="AZ121" s="11">
        <v>9.6325551130299995E-3</v>
      </c>
      <c r="BA121" s="59" t="s">
        <v>26</v>
      </c>
      <c r="BB121" s="59" t="s">
        <v>26</v>
      </c>
    </row>
    <row r="122" spans="1:54">
      <c r="A122" s="3" t="s">
        <v>86</v>
      </c>
      <c r="B122" s="36" t="s">
        <v>37</v>
      </c>
      <c r="C122" s="35" t="s">
        <v>26</v>
      </c>
      <c r="D122" s="59" t="s">
        <v>26</v>
      </c>
      <c r="E122" s="59" t="s">
        <v>26</v>
      </c>
      <c r="F122" s="59" t="s">
        <v>26</v>
      </c>
      <c r="G122" s="35">
        <v>1496694458.47</v>
      </c>
      <c r="H122" s="59">
        <v>1</v>
      </c>
      <c r="I122" s="59" t="s">
        <v>26</v>
      </c>
      <c r="J122" s="59" t="s">
        <v>26</v>
      </c>
      <c r="K122" s="35" t="s">
        <v>26</v>
      </c>
      <c r="L122" s="59" t="s">
        <v>26</v>
      </c>
      <c r="M122" s="59" t="s">
        <v>26</v>
      </c>
      <c r="N122" s="59" t="s">
        <v>26</v>
      </c>
      <c r="O122" s="35">
        <v>3565984073.9699998</v>
      </c>
      <c r="P122" s="59">
        <v>1</v>
      </c>
      <c r="Q122" s="11" t="s">
        <v>26</v>
      </c>
      <c r="R122" s="11" t="s">
        <v>26</v>
      </c>
      <c r="S122" s="35">
        <v>998475540.71000004</v>
      </c>
      <c r="T122" s="59">
        <v>1</v>
      </c>
      <c r="U122" s="59" t="s">
        <v>26</v>
      </c>
      <c r="V122" s="59" t="s">
        <v>26</v>
      </c>
      <c r="W122" s="35" t="s">
        <v>26</v>
      </c>
      <c r="X122" s="59" t="s">
        <v>26</v>
      </c>
      <c r="Y122" s="59" t="s">
        <v>26</v>
      </c>
      <c r="Z122" s="59" t="s">
        <v>26</v>
      </c>
      <c r="AA122" s="35" t="s">
        <v>26</v>
      </c>
      <c r="AB122" s="59" t="s">
        <v>26</v>
      </c>
      <c r="AC122" s="59" t="s">
        <v>26</v>
      </c>
      <c r="AD122" s="59" t="s">
        <v>26</v>
      </c>
      <c r="AE122" s="35">
        <v>6061154073.1499996</v>
      </c>
      <c r="AF122" s="59">
        <v>1</v>
      </c>
      <c r="AG122" s="59" t="s">
        <v>26</v>
      </c>
      <c r="AH122" s="59" t="s">
        <v>26</v>
      </c>
      <c r="AI122" s="35" t="s">
        <v>26</v>
      </c>
      <c r="AJ122" s="59" t="s">
        <v>26</v>
      </c>
      <c r="AK122" s="59" t="s">
        <v>26</v>
      </c>
      <c r="AL122" s="59" t="s">
        <v>26</v>
      </c>
      <c r="AM122" s="35" t="s">
        <v>26</v>
      </c>
      <c r="AN122" s="59" t="s">
        <v>26</v>
      </c>
      <c r="AO122" s="59" t="s">
        <v>26</v>
      </c>
      <c r="AP122" s="59" t="s">
        <v>26</v>
      </c>
      <c r="AQ122" s="35" t="s">
        <v>26</v>
      </c>
      <c r="AR122" s="59" t="s">
        <v>26</v>
      </c>
      <c r="AS122" s="59" t="s">
        <v>26</v>
      </c>
      <c r="AT122" s="59" t="s">
        <v>26</v>
      </c>
      <c r="AU122" s="35">
        <v>998475540.71000004</v>
      </c>
      <c r="AV122" s="59">
        <v>1</v>
      </c>
      <c r="AW122" s="11" t="s">
        <v>26</v>
      </c>
      <c r="AX122" s="11" t="s">
        <v>26</v>
      </c>
      <c r="AY122" s="35">
        <v>7059629613.8599997</v>
      </c>
      <c r="AZ122" s="59">
        <v>1</v>
      </c>
      <c r="BA122" s="59" t="s">
        <v>26</v>
      </c>
      <c r="BB122" s="59" t="s">
        <v>26</v>
      </c>
    </row>
    <row r="123" spans="1:54" s="7" customFormat="1">
      <c r="A123" s="5" t="s">
        <v>94</v>
      </c>
      <c r="B123" s="24" t="s">
        <v>25</v>
      </c>
      <c r="C123" s="10" t="s">
        <v>26</v>
      </c>
      <c r="D123" s="11" t="s">
        <v>26</v>
      </c>
      <c r="E123" s="11" t="s">
        <v>26</v>
      </c>
      <c r="F123" s="11" t="s">
        <v>26</v>
      </c>
      <c r="G123" s="10">
        <v>579772428</v>
      </c>
      <c r="H123" s="11">
        <v>3.80974474081E-3</v>
      </c>
      <c r="I123" s="59" t="s">
        <v>26</v>
      </c>
      <c r="J123" s="59" t="s">
        <v>26</v>
      </c>
      <c r="K123" s="10" t="s">
        <v>26</v>
      </c>
      <c r="L123" s="11" t="s">
        <v>26</v>
      </c>
      <c r="M123" s="59" t="s">
        <v>26</v>
      </c>
      <c r="N123" s="59" t="s">
        <v>26</v>
      </c>
      <c r="O123" s="10">
        <v>803900853.22000003</v>
      </c>
      <c r="P123" s="11">
        <v>3.5449850766500002E-3</v>
      </c>
      <c r="Q123" s="11" t="s">
        <v>26</v>
      </c>
      <c r="R123" s="11" t="s">
        <v>26</v>
      </c>
      <c r="S123" s="10">
        <v>268086770.71000001</v>
      </c>
      <c r="T123" s="11">
        <v>2.3890472169700002E-3</v>
      </c>
      <c r="U123" s="59" t="s">
        <v>26</v>
      </c>
      <c r="V123" s="59" t="s">
        <v>26</v>
      </c>
      <c r="W123" s="10" t="s">
        <v>26</v>
      </c>
      <c r="X123" s="11" t="s">
        <v>26</v>
      </c>
      <c r="Y123" s="11" t="s">
        <v>26</v>
      </c>
      <c r="Z123" s="11" t="s">
        <v>26</v>
      </c>
      <c r="AA123" s="10">
        <v>869658642</v>
      </c>
      <c r="AB123" s="11">
        <v>6.2340402214299999E-3</v>
      </c>
      <c r="AC123" s="59" t="s">
        <v>26</v>
      </c>
      <c r="AD123" s="59" t="s">
        <v>26</v>
      </c>
      <c r="AE123" s="10">
        <v>2521418693.9299998</v>
      </c>
      <c r="AF123" s="11">
        <v>3.9011747943300001E-3</v>
      </c>
      <c r="AG123" s="59" t="s">
        <v>26</v>
      </c>
      <c r="AH123" s="59" t="s">
        <v>26</v>
      </c>
      <c r="AI123" s="10" t="s">
        <v>26</v>
      </c>
      <c r="AJ123" s="11" t="s">
        <v>26</v>
      </c>
      <c r="AK123" s="11" t="s">
        <v>26</v>
      </c>
      <c r="AL123" s="11" t="s">
        <v>26</v>
      </c>
      <c r="AM123" s="10" t="s">
        <v>26</v>
      </c>
      <c r="AN123" s="11" t="s">
        <v>26</v>
      </c>
      <c r="AO123" s="11" t="s">
        <v>26</v>
      </c>
      <c r="AP123" s="11" t="s">
        <v>26</v>
      </c>
      <c r="AQ123" s="10" t="s">
        <v>26</v>
      </c>
      <c r="AR123" s="11" t="s">
        <v>26</v>
      </c>
      <c r="AS123" s="11" t="s">
        <v>26</v>
      </c>
      <c r="AT123" s="11" t="s">
        <v>26</v>
      </c>
      <c r="AU123" s="10" t="s">
        <v>26</v>
      </c>
      <c r="AV123" s="11" t="s">
        <v>26</v>
      </c>
      <c r="AW123" s="11" t="s">
        <v>26</v>
      </c>
      <c r="AX123" s="11" t="s">
        <v>26</v>
      </c>
      <c r="AY123" s="10">
        <v>2521418693.9299998</v>
      </c>
      <c r="AZ123" s="11">
        <v>3.44036526854E-3</v>
      </c>
      <c r="BA123" s="59" t="s">
        <v>26</v>
      </c>
      <c r="BB123" s="59" t="s">
        <v>26</v>
      </c>
    </row>
    <row r="124" spans="1:54">
      <c r="A124" s="3" t="s">
        <v>86</v>
      </c>
      <c r="B124" s="36" t="s">
        <v>46</v>
      </c>
      <c r="C124" s="35" t="s">
        <v>26</v>
      </c>
      <c r="D124" s="59" t="s">
        <v>26</v>
      </c>
      <c r="E124" s="59" t="s">
        <v>26</v>
      </c>
      <c r="F124" s="59" t="s">
        <v>26</v>
      </c>
      <c r="G124" s="35">
        <v>579772428</v>
      </c>
      <c r="H124" s="59">
        <v>1</v>
      </c>
      <c r="I124" s="59" t="s">
        <v>26</v>
      </c>
      <c r="J124" s="59" t="s">
        <v>26</v>
      </c>
      <c r="K124" s="35" t="s">
        <v>26</v>
      </c>
      <c r="L124" s="59" t="s">
        <v>26</v>
      </c>
      <c r="M124" s="59" t="s">
        <v>26</v>
      </c>
      <c r="N124" s="59" t="s">
        <v>26</v>
      </c>
      <c r="O124" s="35">
        <v>803900853.22000003</v>
      </c>
      <c r="P124" s="59">
        <v>1</v>
      </c>
      <c r="Q124" s="11" t="s">
        <v>26</v>
      </c>
      <c r="R124" s="11" t="s">
        <v>26</v>
      </c>
      <c r="S124" s="35">
        <v>268086770.71000001</v>
      </c>
      <c r="T124" s="59">
        <v>1</v>
      </c>
      <c r="U124" s="59" t="s">
        <v>26</v>
      </c>
      <c r="V124" s="59" t="s">
        <v>26</v>
      </c>
      <c r="W124" s="35" t="s">
        <v>26</v>
      </c>
      <c r="X124" s="59" t="s">
        <v>26</v>
      </c>
      <c r="Y124" s="59" t="s">
        <v>26</v>
      </c>
      <c r="Z124" s="59" t="s">
        <v>26</v>
      </c>
      <c r="AA124" s="35">
        <v>869658642</v>
      </c>
      <c r="AB124" s="59">
        <v>1</v>
      </c>
      <c r="AC124" s="59" t="s">
        <v>26</v>
      </c>
      <c r="AD124" s="59" t="s">
        <v>26</v>
      </c>
      <c r="AE124" s="35">
        <v>2521418693.9300003</v>
      </c>
      <c r="AF124" s="59">
        <v>1</v>
      </c>
      <c r="AG124" s="59" t="s">
        <v>26</v>
      </c>
      <c r="AH124" s="59" t="s">
        <v>26</v>
      </c>
      <c r="AI124" s="35" t="s">
        <v>26</v>
      </c>
      <c r="AJ124" s="59" t="s">
        <v>26</v>
      </c>
      <c r="AK124" s="59" t="s">
        <v>26</v>
      </c>
      <c r="AL124" s="59" t="s">
        <v>26</v>
      </c>
      <c r="AM124" s="35" t="s">
        <v>26</v>
      </c>
      <c r="AN124" s="59" t="s">
        <v>26</v>
      </c>
      <c r="AO124" s="59" t="s">
        <v>26</v>
      </c>
      <c r="AP124" s="59" t="s">
        <v>26</v>
      </c>
      <c r="AQ124" s="35" t="s">
        <v>26</v>
      </c>
      <c r="AR124" s="59" t="s">
        <v>26</v>
      </c>
      <c r="AS124" s="59" t="s">
        <v>26</v>
      </c>
      <c r="AT124" s="59" t="s">
        <v>26</v>
      </c>
      <c r="AU124" s="35" t="s">
        <v>26</v>
      </c>
      <c r="AV124" s="59" t="s">
        <v>26</v>
      </c>
      <c r="AW124" s="11" t="s">
        <v>26</v>
      </c>
      <c r="AX124" s="11" t="s">
        <v>26</v>
      </c>
      <c r="AY124" s="35">
        <v>2521418693.9299998</v>
      </c>
      <c r="AZ124" s="59">
        <v>1</v>
      </c>
      <c r="BA124" s="59" t="s">
        <v>26</v>
      </c>
      <c r="BB124" s="59" t="s">
        <v>26</v>
      </c>
    </row>
    <row r="125" spans="1:54" s="7" customFormat="1">
      <c r="A125" s="5" t="s">
        <v>95</v>
      </c>
      <c r="B125" s="24" t="s">
        <v>25</v>
      </c>
      <c r="C125" s="10" t="s">
        <v>26</v>
      </c>
      <c r="D125" s="11" t="s">
        <v>26</v>
      </c>
      <c r="E125" s="11" t="s">
        <v>26</v>
      </c>
      <c r="F125" s="11" t="s">
        <v>26</v>
      </c>
      <c r="G125" s="10" t="s">
        <v>26</v>
      </c>
      <c r="H125" s="11" t="s">
        <v>26</v>
      </c>
      <c r="I125" s="59" t="s">
        <v>26</v>
      </c>
      <c r="J125" s="59" t="s">
        <v>26</v>
      </c>
      <c r="K125" s="10" t="s">
        <v>26</v>
      </c>
      <c r="L125" s="11" t="s">
        <v>26</v>
      </c>
      <c r="M125" s="59" t="s">
        <v>26</v>
      </c>
      <c r="N125" s="59" t="s">
        <v>26</v>
      </c>
      <c r="O125" s="10">
        <v>366579569.98000002</v>
      </c>
      <c r="P125" s="11">
        <v>1.6165166385599999E-3</v>
      </c>
      <c r="Q125" s="11" t="s">
        <v>26</v>
      </c>
      <c r="R125" s="11" t="s">
        <v>26</v>
      </c>
      <c r="S125" s="10" t="s">
        <v>26</v>
      </c>
      <c r="T125" s="11" t="s">
        <v>26</v>
      </c>
      <c r="U125" s="59" t="s">
        <v>26</v>
      </c>
      <c r="V125" s="59" t="s">
        <v>26</v>
      </c>
      <c r="W125" s="10" t="s">
        <v>26</v>
      </c>
      <c r="X125" s="11" t="s">
        <v>26</v>
      </c>
      <c r="Y125" s="11" t="s">
        <v>26</v>
      </c>
      <c r="Z125" s="11" t="s">
        <v>26</v>
      </c>
      <c r="AA125" s="10" t="s">
        <v>26</v>
      </c>
      <c r="AB125" s="11" t="s">
        <v>26</v>
      </c>
      <c r="AC125" s="59" t="s">
        <v>26</v>
      </c>
      <c r="AD125" s="59" t="s">
        <v>26</v>
      </c>
      <c r="AE125" s="10">
        <v>366579569.98000002</v>
      </c>
      <c r="AF125" s="11">
        <v>5.6717711420000002E-4</v>
      </c>
      <c r="AG125" s="59" t="s">
        <v>26</v>
      </c>
      <c r="AH125" s="59" t="s">
        <v>26</v>
      </c>
      <c r="AI125" s="10" t="s">
        <v>26</v>
      </c>
      <c r="AJ125" s="11" t="s">
        <v>26</v>
      </c>
      <c r="AK125" s="11" t="s">
        <v>26</v>
      </c>
      <c r="AL125" s="11" t="s">
        <v>26</v>
      </c>
      <c r="AM125" s="10" t="s">
        <v>26</v>
      </c>
      <c r="AN125" s="11" t="s">
        <v>26</v>
      </c>
      <c r="AO125" s="11" t="s">
        <v>26</v>
      </c>
      <c r="AP125" s="11" t="s">
        <v>26</v>
      </c>
      <c r="AQ125" s="10" t="s">
        <v>26</v>
      </c>
      <c r="AR125" s="11" t="s">
        <v>26</v>
      </c>
      <c r="AS125" s="11" t="s">
        <v>26</v>
      </c>
      <c r="AT125" s="11" t="s">
        <v>26</v>
      </c>
      <c r="AU125" s="10" t="s">
        <v>26</v>
      </c>
      <c r="AV125" s="11" t="s">
        <v>26</v>
      </c>
      <c r="AW125" s="11" t="s">
        <v>26</v>
      </c>
      <c r="AX125" s="11" t="s">
        <v>26</v>
      </c>
      <c r="AY125" s="10">
        <v>366579569.98000002</v>
      </c>
      <c r="AZ125" s="11">
        <v>5.0018175234000002E-4</v>
      </c>
      <c r="BA125" s="59" t="s">
        <v>26</v>
      </c>
      <c r="BB125" s="59" t="s">
        <v>26</v>
      </c>
    </row>
    <row r="126" spans="1:54">
      <c r="A126" s="3" t="s">
        <v>86</v>
      </c>
      <c r="B126" s="36" t="s">
        <v>56</v>
      </c>
      <c r="C126" s="35" t="s">
        <v>26</v>
      </c>
      <c r="D126" s="59" t="s">
        <v>26</v>
      </c>
      <c r="E126" s="59" t="s">
        <v>26</v>
      </c>
      <c r="F126" s="59" t="s">
        <v>26</v>
      </c>
      <c r="G126" s="35" t="s">
        <v>26</v>
      </c>
      <c r="H126" s="59" t="s">
        <v>26</v>
      </c>
      <c r="I126" s="59" t="s">
        <v>26</v>
      </c>
      <c r="J126" s="59" t="s">
        <v>26</v>
      </c>
      <c r="K126" s="35" t="s">
        <v>26</v>
      </c>
      <c r="L126" s="59" t="s">
        <v>26</v>
      </c>
      <c r="M126" s="59" t="s">
        <v>26</v>
      </c>
      <c r="N126" s="59" t="s">
        <v>26</v>
      </c>
      <c r="O126" s="35">
        <v>366579569.98000002</v>
      </c>
      <c r="P126" s="59">
        <v>1</v>
      </c>
      <c r="Q126" s="11" t="s">
        <v>26</v>
      </c>
      <c r="R126" s="11" t="s">
        <v>26</v>
      </c>
      <c r="S126" s="35" t="s">
        <v>26</v>
      </c>
      <c r="T126" s="59" t="s">
        <v>26</v>
      </c>
      <c r="U126" s="59" t="s">
        <v>26</v>
      </c>
      <c r="V126" s="59" t="s">
        <v>26</v>
      </c>
      <c r="W126" s="35" t="s">
        <v>26</v>
      </c>
      <c r="X126" s="59" t="s">
        <v>26</v>
      </c>
      <c r="Y126" s="59" t="s">
        <v>26</v>
      </c>
      <c r="Z126" s="59" t="s">
        <v>26</v>
      </c>
      <c r="AA126" s="35" t="s">
        <v>26</v>
      </c>
      <c r="AB126" s="59" t="s">
        <v>26</v>
      </c>
      <c r="AC126" s="59" t="s">
        <v>26</v>
      </c>
      <c r="AD126" s="59" t="s">
        <v>26</v>
      </c>
      <c r="AE126" s="35">
        <v>366579569.98000002</v>
      </c>
      <c r="AF126" s="59">
        <v>1</v>
      </c>
      <c r="AG126" s="59" t="s">
        <v>26</v>
      </c>
      <c r="AH126" s="59" t="s">
        <v>26</v>
      </c>
      <c r="AI126" s="35" t="s">
        <v>26</v>
      </c>
      <c r="AJ126" s="59" t="s">
        <v>26</v>
      </c>
      <c r="AK126" s="59" t="s">
        <v>26</v>
      </c>
      <c r="AL126" s="59" t="s">
        <v>26</v>
      </c>
      <c r="AM126" s="35" t="s">
        <v>26</v>
      </c>
      <c r="AN126" s="59" t="s">
        <v>26</v>
      </c>
      <c r="AO126" s="59" t="s">
        <v>26</v>
      </c>
      <c r="AP126" s="59" t="s">
        <v>26</v>
      </c>
      <c r="AQ126" s="35" t="s">
        <v>26</v>
      </c>
      <c r="AR126" s="59" t="s">
        <v>26</v>
      </c>
      <c r="AS126" s="59" t="s">
        <v>26</v>
      </c>
      <c r="AT126" s="59" t="s">
        <v>26</v>
      </c>
      <c r="AU126" s="35" t="s">
        <v>26</v>
      </c>
      <c r="AV126" s="59" t="s">
        <v>26</v>
      </c>
      <c r="AW126" s="11" t="s">
        <v>26</v>
      </c>
      <c r="AX126" s="11" t="s">
        <v>26</v>
      </c>
      <c r="AY126" s="35">
        <v>366579569.98000002</v>
      </c>
      <c r="AZ126" s="59">
        <v>1</v>
      </c>
      <c r="BA126" s="59" t="s">
        <v>26</v>
      </c>
      <c r="BB126" s="59" t="s">
        <v>26</v>
      </c>
    </row>
    <row r="127" spans="1:54" s="7" customFormat="1">
      <c r="A127" s="5" t="s">
        <v>96</v>
      </c>
      <c r="B127" s="24" t="s">
        <v>25</v>
      </c>
      <c r="C127" s="10" t="s">
        <v>26</v>
      </c>
      <c r="D127" s="11" t="s">
        <v>26</v>
      </c>
      <c r="E127" s="11" t="s">
        <v>26</v>
      </c>
      <c r="F127" s="11" t="s">
        <v>26</v>
      </c>
      <c r="G127" s="10" t="s">
        <v>26</v>
      </c>
      <c r="H127" s="11" t="s">
        <v>26</v>
      </c>
      <c r="I127" s="59" t="s">
        <v>26</v>
      </c>
      <c r="J127" s="59" t="s">
        <v>26</v>
      </c>
      <c r="K127" s="10" t="s">
        <v>26</v>
      </c>
      <c r="L127" s="11" t="s">
        <v>26</v>
      </c>
      <c r="M127" s="59" t="s">
        <v>26</v>
      </c>
      <c r="N127" s="59" t="s">
        <v>26</v>
      </c>
      <c r="O127" s="10">
        <v>32588348.18</v>
      </c>
      <c r="P127" s="11">
        <v>1.4370579096999999E-4</v>
      </c>
      <c r="Q127" s="11" t="s">
        <v>26</v>
      </c>
      <c r="R127" s="11" t="s">
        <v>26</v>
      </c>
      <c r="S127" s="10" t="s">
        <v>26</v>
      </c>
      <c r="T127" s="11" t="s">
        <v>26</v>
      </c>
      <c r="U127" s="11" t="s">
        <v>26</v>
      </c>
      <c r="V127" s="11" t="s">
        <v>26</v>
      </c>
      <c r="W127" s="10" t="s">
        <v>26</v>
      </c>
      <c r="X127" s="11" t="s">
        <v>26</v>
      </c>
      <c r="Y127" s="11" t="s">
        <v>26</v>
      </c>
      <c r="Z127" s="11" t="s">
        <v>26</v>
      </c>
      <c r="AA127" s="10" t="s">
        <v>26</v>
      </c>
      <c r="AB127" s="11" t="s">
        <v>26</v>
      </c>
      <c r="AC127" s="59" t="s">
        <v>26</v>
      </c>
      <c r="AD127" s="59" t="s">
        <v>26</v>
      </c>
      <c r="AE127" s="10">
        <v>32588348.18</v>
      </c>
      <c r="AF127" s="11">
        <v>5.042115489E-5</v>
      </c>
      <c r="AG127" s="59" t="s">
        <v>26</v>
      </c>
      <c r="AH127" s="59" t="s">
        <v>26</v>
      </c>
      <c r="AI127" s="10" t="s">
        <v>26</v>
      </c>
      <c r="AJ127" s="11" t="s">
        <v>26</v>
      </c>
      <c r="AK127" s="11" t="s">
        <v>26</v>
      </c>
      <c r="AL127" s="11" t="s">
        <v>26</v>
      </c>
      <c r="AM127" s="10" t="s">
        <v>26</v>
      </c>
      <c r="AN127" s="11" t="s">
        <v>26</v>
      </c>
      <c r="AO127" s="11" t="s">
        <v>26</v>
      </c>
      <c r="AP127" s="11" t="s">
        <v>26</v>
      </c>
      <c r="AQ127" s="10" t="s">
        <v>26</v>
      </c>
      <c r="AR127" s="11" t="s">
        <v>26</v>
      </c>
      <c r="AS127" s="11" t="s">
        <v>26</v>
      </c>
      <c r="AT127" s="11" t="s">
        <v>26</v>
      </c>
      <c r="AU127" s="10" t="s">
        <v>26</v>
      </c>
      <c r="AV127" s="11" t="s">
        <v>26</v>
      </c>
      <c r="AW127" s="11" t="s">
        <v>26</v>
      </c>
      <c r="AX127" s="11" t="s">
        <v>26</v>
      </c>
      <c r="AY127" s="10">
        <v>32588348.18</v>
      </c>
      <c r="AZ127" s="11">
        <v>4.4465372410000003E-5</v>
      </c>
      <c r="BA127" s="59" t="s">
        <v>26</v>
      </c>
      <c r="BB127" s="59" t="s">
        <v>26</v>
      </c>
    </row>
    <row r="128" spans="1:54">
      <c r="A128" s="3" t="s">
        <v>86</v>
      </c>
      <c r="B128" s="36" t="s">
        <v>56</v>
      </c>
      <c r="C128" s="35" t="s">
        <v>26</v>
      </c>
      <c r="D128" s="59" t="s">
        <v>26</v>
      </c>
      <c r="E128" s="59" t="s">
        <v>26</v>
      </c>
      <c r="F128" s="59" t="s">
        <v>26</v>
      </c>
      <c r="G128" s="35" t="s">
        <v>26</v>
      </c>
      <c r="H128" s="59" t="s">
        <v>26</v>
      </c>
      <c r="I128" s="59" t="s">
        <v>26</v>
      </c>
      <c r="J128" s="59" t="s">
        <v>26</v>
      </c>
      <c r="K128" s="35" t="s">
        <v>26</v>
      </c>
      <c r="L128" s="59" t="s">
        <v>26</v>
      </c>
      <c r="M128" s="59" t="s">
        <v>26</v>
      </c>
      <c r="N128" s="59" t="s">
        <v>26</v>
      </c>
      <c r="O128" s="35">
        <v>32588348.18</v>
      </c>
      <c r="P128" s="59">
        <v>1</v>
      </c>
      <c r="Q128" s="11" t="s">
        <v>26</v>
      </c>
      <c r="R128" s="11" t="s">
        <v>26</v>
      </c>
      <c r="S128" s="35" t="s">
        <v>26</v>
      </c>
      <c r="T128" s="59" t="s">
        <v>26</v>
      </c>
      <c r="U128" s="59" t="s">
        <v>26</v>
      </c>
      <c r="V128" s="59" t="s">
        <v>26</v>
      </c>
      <c r="W128" s="35" t="s">
        <v>26</v>
      </c>
      <c r="X128" s="59" t="s">
        <v>26</v>
      </c>
      <c r="Y128" s="59" t="s">
        <v>26</v>
      </c>
      <c r="Z128" s="59" t="s">
        <v>26</v>
      </c>
      <c r="AA128" s="35" t="s">
        <v>26</v>
      </c>
      <c r="AB128" s="59" t="s">
        <v>26</v>
      </c>
      <c r="AC128" s="59" t="s">
        <v>26</v>
      </c>
      <c r="AD128" s="59" t="s">
        <v>26</v>
      </c>
      <c r="AE128" s="35">
        <v>32588348.18</v>
      </c>
      <c r="AF128" s="59">
        <v>1</v>
      </c>
      <c r="AG128" s="59" t="s">
        <v>26</v>
      </c>
      <c r="AH128" s="59" t="s">
        <v>26</v>
      </c>
      <c r="AI128" s="35" t="s">
        <v>26</v>
      </c>
      <c r="AJ128" s="59" t="s">
        <v>26</v>
      </c>
      <c r="AK128" s="59" t="s">
        <v>26</v>
      </c>
      <c r="AL128" s="59" t="s">
        <v>26</v>
      </c>
      <c r="AM128" s="35" t="s">
        <v>26</v>
      </c>
      <c r="AN128" s="59" t="s">
        <v>26</v>
      </c>
      <c r="AO128" s="59" t="s">
        <v>26</v>
      </c>
      <c r="AP128" s="59" t="s">
        <v>26</v>
      </c>
      <c r="AQ128" s="35" t="s">
        <v>26</v>
      </c>
      <c r="AR128" s="59" t="s">
        <v>26</v>
      </c>
      <c r="AS128" s="59" t="s">
        <v>26</v>
      </c>
      <c r="AT128" s="59" t="s">
        <v>26</v>
      </c>
      <c r="AU128" s="35" t="s">
        <v>26</v>
      </c>
      <c r="AV128" s="59" t="s">
        <v>26</v>
      </c>
      <c r="AW128" s="11" t="s">
        <v>26</v>
      </c>
      <c r="AX128" s="11" t="s">
        <v>26</v>
      </c>
      <c r="AY128" s="35">
        <v>32588348.18</v>
      </c>
      <c r="AZ128" s="59">
        <v>1</v>
      </c>
      <c r="BA128" s="59" t="s">
        <v>26</v>
      </c>
      <c r="BB128" s="59" t="s">
        <v>26</v>
      </c>
    </row>
    <row r="129" spans="1:54" s="7" customFormat="1">
      <c r="A129" s="5" t="s">
        <v>97</v>
      </c>
      <c r="B129" s="24" t="s">
        <v>25</v>
      </c>
      <c r="C129" s="10" t="s">
        <v>26</v>
      </c>
      <c r="D129" s="11" t="s">
        <v>26</v>
      </c>
      <c r="E129" s="11" t="s">
        <v>26</v>
      </c>
      <c r="F129" s="11" t="s">
        <v>26</v>
      </c>
      <c r="G129" s="10" t="s">
        <v>26</v>
      </c>
      <c r="H129" s="11" t="s">
        <v>26</v>
      </c>
      <c r="I129" s="59" t="s">
        <v>26</v>
      </c>
      <c r="J129" s="59" t="s">
        <v>26</v>
      </c>
      <c r="K129" s="10" t="s">
        <v>26</v>
      </c>
      <c r="L129" s="11" t="s">
        <v>26</v>
      </c>
      <c r="M129" s="59" t="s">
        <v>26</v>
      </c>
      <c r="N129" s="59" t="s">
        <v>26</v>
      </c>
      <c r="O129" s="10">
        <v>1878391319.5899999</v>
      </c>
      <c r="P129" s="11">
        <v>8.2831970751E-3</v>
      </c>
      <c r="Q129" s="11" t="s">
        <v>26</v>
      </c>
      <c r="R129" s="11" t="s">
        <v>26</v>
      </c>
      <c r="S129" s="10" t="s">
        <v>26</v>
      </c>
      <c r="T129" s="11" t="s">
        <v>26</v>
      </c>
      <c r="U129" s="11" t="s">
        <v>26</v>
      </c>
      <c r="V129" s="11" t="s">
        <v>26</v>
      </c>
      <c r="W129" s="10" t="s">
        <v>26</v>
      </c>
      <c r="X129" s="11" t="s">
        <v>26</v>
      </c>
      <c r="Y129" s="11" t="s">
        <v>26</v>
      </c>
      <c r="Z129" s="11" t="s">
        <v>26</v>
      </c>
      <c r="AA129" s="10" t="s">
        <v>26</v>
      </c>
      <c r="AB129" s="11" t="s">
        <v>26</v>
      </c>
      <c r="AC129" s="59" t="s">
        <v>26</v>
      </c>
      <c r="AD129" s="59" t="s">
        <v>26</v>
      </c>
      <c r="AE129" s="10">
        <v>1878391319.5899999</v>
      </c>
      <c r="AF129" s="11">
        <v>2.9062737130899998E-3</v>
      </c>
      <c r="AG129" s="59" t="s">
        <v>26</v>
      </c>
      <c r="AH129" s="59" t="s">
        <v>26</v>
      </c>
      <c r="AI129" s="10" t="s">
        <v>26</v>
      </c>
      <c r="AJ129" s="11" t="s">
        <v>26</v>
      </c>
      <c r="AK129" s="11" t="s">
        <v>26</v>
      </c>
      <c r="AL129" s="11" t="s">
        <v>26</v>
      </c>
      <c r="AM129" s="10" t="s">
        <v>26</v>
      </c>
      <c r="AN129" s="11" t="s">
        <v>26</v>
      </c>
      <c r="AO129" s="11" t="s">
        <v>26</v>
      </c>
      <c r="AP129" s="11" t="s">
        <v>26</v>
      </c>
      <c r="AQ129" s="10" t="s">
        <v>26</v>
      </c>
      <c r="AR129" s="11" t="s">
        <v>26</v>
      </c>
      <c r="AS129" s="11" t="s">
        <v>26</v>
      </c>
      <c r="AT129" s="11" t="s">
        <v>26</v>
      </c>
      <c r="AU129" s="10" t="s">
        <v>26</v>
      </c>
      <c r="AV129" s="11" t="s">
        <v>26</v>
      </c>
      <c r="AW129" s="11" t="s">
        <v>26</v>
      </c>
      <c r="AX129" s="11" t="s">
        <v>26</v>
      </c>
      <c r="AY129" s="10">
        <v>1878391319.5899999</v>
      </c>
      <c r="AZ129" s="11">
        <v>2.5629826066600001E-3</v>
      </c>
      <c r="BA129" s="59" t="s">
        <v>26</v>
      </c>
      <c r="BB129" s="59" t="s">
        <v>26</v>
      </c>
    </row>
    <row r="130" spans="1:54">
      <c r="A130" s="3" t="s">
        <v>86</v>
      </c>
      <c r="B130" s="36" t="s">
        <v>46</v>
      </c>
      <c r="C130" s="35" t="s">
        <v>26</v>
      </c>
      <c r="D130" s="59" t="s">
        <v>26</v>
      </c>
      <c r="E130" s="59" t="s">
        <v>26</v>
      </c>
      <c r="F130" s="59" t="s">
        <v>26</v>
      </c>
      <c r="G130" s="35" t="s">
        <v>26</v>
      </c>
      <c r="H130" s="59" t="s">
        <v>26</v>
      </c>
      <c r="I130" s="59" t="s">
        <v>26</v>
      </c>
      <c r="J130" s="59" t="s">
        <v>26</v>
      </c>
      <c r="K130" s="35" t="s">
        <v>26</v>
      </c>
      <c r="L130" s="59" t="s">
        <v>26</v>
      </c>
      <c r="M130" s="59" t="s">
        <v>26</v>
      </c>
      <c r="N130" s="59" t="s">
        <v>26</v>
      </c>
      <c r="O130" s="35">
        <v>1878391319.5899999</v>
      </c>
      <c r="P130" s="59">
        <v>1</v>
      </c>
      <c r="Q130" s="11" t="s">
        <v>26</v>
      </c>
      <c r="R130" s="11" t="s">
        <v>26</v>
      </c>
      <c r="S130" s="35" t="s">
        <v>26</v>
      </c>
      <c r="T130" s="59" t="s">
        <v>26</v>
      </c>
      <c r="U130" s="59" t="s">
        <v>26</v>
      </c>
      <c r="V130" s="59" t="s">
        <v>26</v>
      </c>
      <c r="W130" s="35" t="s">
        <v>26</v>
      </c>
      <c r="X130" s="59" t="s">
        <v>26</v>
      </c>
      <c r="Y130" s="59" t="s">
        <v>26</v>
      </c>
      <c r="Z130" s="59" t="s">
        <v>26</v>
      </c>
      <c r="AA130" s="35" t="s">
        <v>26</v>
      </c>
      <c r="AB130" s="59" t="s">
        <v>26</v>
      </c>
      <c r="AC130" s="59" t="s">
        <v>26</v>
      </c>
      <c r="AD130" s="59" t="s">
        <v>26</v>
      </c>
      <c r="AE130" s="35">
        <v>1878391319.5899999</v>
      </c>
      <c r="AF130" s="59">
        <v>1</v>
      </c>
      <c r="AG130" s="59" t="s">
        <v>26</v>
      </c>
      <c r="AH130" s="59" t="s">
        <v>26</v>
      </c>
      <c r="AI130" s="35" t="s">
        <v>26</v>
      </c>
      <c r="AJ130" s="59" t="s">
        <v>26</v>
      </c>
      <c r="AK130" s="59" t="s">
        <v>26</v>
      </c>
      <c r="AL130" s="59" t="s">
        <v>26</v>
      </c>
      <c r="AM130" s="35" t="s">
        <v>26</v>
      </c>
      <c r="AN130" s="59" t="s">
        <v>26</v>
      </c>
      <c r="AO130" s="59" t="s">
        <v>26</v>
      </c>
      <c r="AP130" s="59" t="s">
        <v>26</v>
      </c>
      <c r="AQ130" s="35" t="s">
        <v>26</v>
      </c>
      <c r="AR130" s="59" t="s">
        <v>26</v>
      </c>
      <c r="AS130" s="59" t="s">
        <v>26</v>
      </c>
      <c r="AT130" s="59" t="s">
        <v>26</v>
      </c>
      <c r="AU130" s="35" t="s">
        <v>26</v>
      </c>
      <c r="AV130" s="59" t="s">
        <v>26</v>
      </c>
      <c r="AW130" s="11" t="s">
        <v>26</v>
      </c>
      <c r="AX130" s="11" t="s">
        <v>26</v>
      </c>
      <c r="AY130" s="35">
        <v>1878391319.5899999</v>
      </c>
      <c r="AZ130" s="59">
        <v>1</v>
      </c>
      <c r="BA130" s="59" t="s">
        <v>26</v>
      </c>
      <c r="BB130" s="59" t="s">
        <v>26</v>
      </c>
    </row>
    <row r="131" spans="1:54" s="7" customFormat="1">
      <c r="A131" s="5" t="s">
        <v>98</v>
      </c>
      <c r="B131" s="24" t="s">
        <v>25</v>
      </c>
      <c r="C131" s="10" t="s">
        <v>26</v>
      </c>
      <c r="D131" s="11" t="s">
        <v>26</v>
      </c>
      <c r="E131" s="11" t="s">
        <v>26</v>
      </c>
      <c r="F131" s="11" t="s">
        <v>26</v>
      </c>
      <c r="G131" s="10" t="s">
        <v>26</v>
      </c>
      <c r="H131" s="11" t="s">
        <v>26</v>
      </c>
      <c r="I131" s="59" t="s">
        <v>26</v>
      </c>
      <c r="J131" s="59" t="s">
        <v>26</v>
      </c>
      <c r="K131" s="10" t="s">
        <v>26</v>
      </c>
      <c r="L131" s="11" t="s">
        <v>26</v>
      </c>
      <c r="M131" s="59" t="s">
        <v>26</v>
      </c>
      <c r="N131" s="59" t="s">
        <v>26</v>
      </c>
      <c r="O131" s="10">
        <v>610720673</v>
      </c>
      <c r="P131" s="11">
        <v>2.6931127926000001E-3</v>
      </c>
      <c r="Q131" s="11" t="s">
        <v>26</v>
      </c>
      <c r="R131" s="11" t="s">
        <v>26</v>
      </c>
      <c r="S131" s="10" t="s">
        <v>26</v>
      </c>
      <c r="T131" s="11" t="s">
        <v>26</v>
      </c>
      <c r="U131" s="11" t="s">
        <v>26</v>
      </c>
      <c r="V131" s="11" t="s">
        <v>26</v>
      </c>
      <c r="W131" s="10" t="s">
        <v>26</v>
      </c>
      <c r="X131" s="11" t="s">
        <v>26</v>
      </c>
      <c r="Y131" s="11" t="s">
        <v>26</v>
      </c>
      <c r="Z131" s="11" t="s">
        <v>26</v>
      </c>
      <c r="AA131" s="10" t="s">
        <v>26</v>
      </c>
      <c r="AB131" s="11" t="s">
        <v>26</v>
      </c>
      <c r="AC131" s="59" t="s">
        <v>26</v>
      </c>
      <c r="AD131" s="59" t="s">
        <v>26</v>
      </c>
      <c r="AE131" s="10">
        <v>610720673</v>
      </c>
      <c r="AF131" s="11">
        <v>9.4491569433000002E-4</v>
      </c>
      <c r="AG131" s="59" t="s">
        <v>26</v>
      </c>
      <c r="AH131" s="59" t="s">
        <v>26</v>
      </c>
      <c r="AI131" s="10" t="s">
        <v>26</v>
      </c>
      <c r="AJ131" s="11" t="s">
        <v>26</v>
      </c>
      <c r="AK131" s="11" t="s">
        <v>26</v>
      </c>
      <c r="AL131" s="11" t="s">
        <v>26</v>
      </c>
      <c r="AM131" s="10" t="s">
        <v>26</v>
      </c>
      <c r="AN131" s="11" t="s">
        <v>26</v>
      </c>
      <c r="AO131" s="11" t="s">
        <v>26</v>
      </c>
      <c r="AP131" s="11" t="s">
        <v>26</v>
      </c>
      <c r="AQ131" s="10" t="s">
        <v>26</v>
      </c>
      <c r="AR131" s="11" t="s">
        <v>26</v>
      </c>
      <c r="AS131" s="11" t="s">
        <v>26</v>
      </c>
      <c r="AT131" s="11" t="s">
        <v>26</v>
      </c>
      <c r="AU131" s="10" t="s">
        <v>26</v>
      </c>
      <c r="AV131" s="11" t="s">
        <v>26</v>
      </c>
      <c r="AW131" s="11" t="s">
        <v>26</v>
      </c>
      <c r="AX131" s="11" t="s">
        <v>26</v>
      </c>
      <c r="AY131" s="10">
        <v>610720673</v>
      </c>
      <c r="AZ131" s="11">
        <v>8.3330158423000004E-4</v>
      </c>
      <c r="BA131" s="59" t="s">
        <v>26</v>
      </c>
      <c r="BB131" s="59" t="s">
        <v>26</v>
      </c>
    </row>
    <row r="132" spans="1:54">
      <c r="A132" s="3" t="s">
        <v>86</v>
      </c>
      <c r="B132" s="36" t="s">
        <v>99</v>
      </c>
      <c r="C132" s="35" t="s">
        <v>26</v>
      </c>
      <c r="D132" s="59" t="s">
        <v>26</v>
      </c>
      <c r="E132" s="59" t="s">
        <v>26</v>
      </c>
      <c r="F132" s="59" t="s">
        <v>26</v>
      </c>
      <c r="G132" s="35" t="s">
        <v>26</v>
      </c>
      <c r="H132" s="59" t="s">
        <v>26</v>
      </c>
      <c r="I132" s="59" t="s">
        <v>26</v>
      </c>
      <c r="J132" s="59" t="s">
        <v>26</v>
      </c>
      <c r="K132" s="35" t="s">
        <v>26</v>
      </c>
      <c r="L132" s="59" t="s">
        <v>26</v>
      </c>
      <c r="M132" s="59" t="s">
        <v>26</v>
      </c>
      <c r="N132" s="59" t="s">
        <v>26</v>
      </c>
      <c r="O132" s="35">
        <v>610720673</v>
      </c>
      <c r="P132" s="59">
        <v>1</v>
      </c>
      <c r="Q132" s="11" t="s">
        <v>26</v>
      </c>
      <c r="R132" s="11" t="s">
        <v>26</v>
      </c>
      <c r="S132" s="35" t="s">
        <v>26</v>
      </c>
      <c r="T132" s="59" t="s">
        <v>26</v>
      </c>
      <c r="U132" s="59" t="s">
        <v>26</v>
      </c>
      <c r="V132" s="59" t="s">
        <v>26</v>
      </c>
      <c r="W132" s="35" t="s">
        <v>26</v>
      </c>
      <c r="X132" s="59" t="s">
        <v>26</v>
      </c>
      <c r="Y132" s="59" t="s">
        <v>26</v>
      </c>
      <c r="Z132" s="59" t="s">
        <v>26</v>
      </c>
      <c r="AA132" s="35" t="s">
        <v>26</v>
      </c>
      <c r="AB132" s="59" t="s">
        <v>26</v>
      </c>
      <c r="AC132" s="59" t="s">
        <v>26</v>
      </c>
      <c r="AD132" s="59" t="s">
        <v>26</v>
      </c>
      <c r="AE132" s="35">
        <v>610720673</v>
      </c>
      <c r="AF132" s="59">
        <v>1</v>
      </c>
      <c r="AG132" s="59" t="s">
        <v>26</v>
      </c>
      <c r="AH132" s="59" t="s">
        <v>26</v>
      </c>
      <c r="AI132" s="35" t="s">
        <v>26</v>
      </c>
      <c r="AJ132" s="59" t="s">
        <v>26</v>
      </c>
      <c r="AK132" s="59" t="s">
        <v>26</v>
      </c>
      <c r="AL132" s="59" t="s">
        <v>26</v>
      </c>
      <c r="AM132" s="35" t="s">
        <v>26</v>
      </c>
      <c r="AN132" s="59" t="s">
        <v>26</v>
      </c>
      <c r="AO132" s="59" t="s">
        <v>26</v>
      </c>
      <c r="AP132" s="59" t="s">
        <v>26</v>
      </c>
      <c r="AQ132" s="35" t="s">
        <v>26</v>
      </c>
      <c r="AR132" s="59" t="s">
        <v>26</v>
      </c>
      <c r="AS132" s="59" t="s">
        <v>26</v>
      </c>
      <c r="AT132" s="59" t="s">
        <v>26</v>
      </c>
      <c r="AU132" s="35" t="s">
        <v>26</v>
      </c>
      <c r="AV132" s="59" t="s">
        <v>26</v>
      </c>
      <c r="AW132" s="11" t="s">
        <v>26</v>
      </c>
      <c r="AX132" s="11" t="s">
        <v>26</v>
      </c>
      <c r="AY132" s="35">
        <v>610720673</v>
      </c>
      <c r="AZ132" s="59">
        <v>1</v>
      </c>
      <c r="BA132" s="59" t="s">
        <v>26</v>
      </c>
      <c r="BB132" s="59" t="s">
        <v>26</v>
      </c>
    </row>
    <row r="133" spans="1:54" s="7" customFormat="1">
      <c r="A133" s="5" t="s">
        <v>125</v>
      </c>
      <c r="B133" s="24" t="s">
        <v>25</v>
      </c>
      <c r="C133" s="10" t="s">
        <v>26</v>
      </c>
      <c r="D133" s="11" t="s">
        <v>26</v>
      </c>
      <c r="E133" s="11" t="s">
        <v>26</v>
      </c>
      <c r="F133" s="11" t="s">
        <v>26</v>
      </c>
      <c r="G133" s="10" t="s">
        <v>26</v>
      </c>
      <c r="H133" s="11" t="s">
        <v>26</v>
      </c>
      <c r="I133" s="59" t="s">
        <v>26</v>
      </c>
      <c r="J133" s="59" t="s">
        <v>26</v>
      </c>
      <c r="K133" s="10">
        <v>37671610.490000002</v>
      </c>
      <c r="L133" s="11">
        <v>1.25740648171E-2</v>
      </c>
      <c r="M133" s="59" t="s">
        <v>26</v>
      </c>
      <c r="N133" s="59" t="s">
        <v>26</v>
      </c>
      <c r="O133" s="10" t="s">
        <v>26</v>
      </c>
      <c r="P133" s="11" t="s">
        <v>26</v>
      </c>
      <c r="Q133" s="11" t="s">
        <v>26</v>
      </c>
      <c r="R133" s="11" t="s">
        <v>26</v>
      </c>
      <c r="S133" s="10" t="s">
        <v>26</v>
      </c>
      <c r="T133" s="11" t="s">
        <v>26</v>
      </c>
      <c r="U133" s="11" t="s">
        <v>26</v>
      </c>
      <c r="V133" s="11" t="s">
        <v>26</v>
      </c>
      <c r="W133" s="10" t="s">
        <v>26</v>
      </c>
      <c r="X133" s="11" t="s">
        <v>26</v>
      </c>
      <c r="Y133" s="11" t="s">
        <v>26</v>
      </c>
      <c r="Z133" s="11" t="s">
        <v>26</v>
      </c>
      <c r="AA133" s="10" t="s">
        <v>26</v>
      </c>
      <c r="AB133" s="11" t="s">
        <v>26</v>
      </c>
      <c r="AC133" s="59" t="s">
        <v>26</v>
      </c>
      <c r="AD133" s="59" t="s">
        <v>26</v>
      </c>
      <c r="AE133" s="10">
        <v>37671610.490000002</v>
      </c>
      <c r="AF133" s="11">
        <v>5.8286050490000002E-5</v>
      </c>
      <c r="AG133" s="59" t="s">
        <v>26</v>
      </c>
      <c r="AH133" s="59" t="s">
        <v>26</v>
      </c>
      <c r="AI133" s="10" t="s">
        <v>26</v>
      </c>
      <c r="AJ133" s="11" t="s">
        <v>26</v>
      </c>
      <c r="AK133" s="11" t="s">
        <v>26</v>
      </c>
      <c r="AL133" s="11" t="s">
        <v>26</v>
      </c>
      <c r="AM133" s="10" t="s">
        <v>26</v>
      </c>
      <c r="AN133" s="11" t="s">
        <v>26</v>
      </c>
      <c r="AO133" s="11" t="s">
        <v>26</v>
      </c>
      <c r="AP133" s="11" t="s">
        <v>26</v>
      </c>
      <c r="AQ133" s="10" t="s">
        <v>26</v>
      </c>
      <c r="AR133" s="11" t="s">
        <v>26</v>
      </c>
      <c r="AS133" s="11" t="s">
        <v>26</v>
      </c>
      <c r="AT133" s="11" t="s">
        <v>26</v>
      </c>
      <c r="AU133" s="10" t="s">
        <v>26</v>
      </c>
      <c r="AV133" s="11" t="s">
        <v>26</v>
      </c>
      <c r="AW133" s="11" t="s">
        <v>26</v>
      </c>
      <c r="AX133" s="11" t="s">
        <v>26</v>
      </c>
      <c r="AY133" s="10">
        <v>37671610.490000002</v>
      </c>
      <c r="AZ133" s="11">
        <v>5.1401260990000002E-5</v>
      </c>
      <c r="BA133" s="59" t="s">
        <v>26</v>
      </c>
      <c r="BB133" s="59" t="s">
        <v>26</v>
      </c>
    </row>
    <row r="134" spans="1:54">
      <c r="A134" s="3" t="s">
        <v>86</v>
      </c>
      <c r="B134" s="36" t="s">
        <v>46</v>
      </c>
      <c r="C134" s="35" t="s">
        <v>26</v>
      </c>
      <c r="D134" s="59" t="s">
        <v>26</v>
      </c>
      <c r="E134" s="59" t="s">
        <v>26</v>
      </c>
      <c r="F134" s="59" t="s">
        <v>26</v>
      </c>
      <c r="G134" s="35" t="s">
        <v>26</v>
      </c>
      <c r="H134" s="59" t="s">
        <v>26</v>
      </c>
      <c r="I134" s="59" t="s">
        <v>26</v>
      </c>
      <c r="J134" s="59" t="s">
        <v>26</v>
      </c>
      <c r="K134" s="35">
        <v>37671610.490000002</v>
      </c>
      <c r="L134" s="59">
        <v>1</v>
      </c>
      <c r="M134" s="59" t="s">
        <v>26</v>
      </c>
      <c r="N134" s="59" t="s">
        <v>26</v>
      </c>
      <c r="O134" s="35" t="s">
        <v>26</v>
      </c>
      <c r="P134" s="59" t="s">
        <v>26</v>
      </c>
      <c r="Q134" s="11" t="s">
        <v>26</v>
      </c>
      <c r="R134" s="11" t="s">
        <v>26</v>
      </c>
      <c r="S134" s="35" t="s">
        <v>26</v>
      </c>
      <c r="T134" s="59" t="s">
        <v>26</v>
      </c>
      <c r="U134" s="59" t="s">
        <v>26</v>
      </c>
      <c r="V134" s="59" t="s">
        <v>26</v>
      </c>
      <c r="W134" s="35" t="s">
        <v>26</v>
      </c>
      <c r="X134" s="59" t="s">
        <v>26</v>
      </c>
      <c r="Y134" s="59" t="s">
        <v>26</v>
      </c>
      <c r="Z134" s="59" t="s">
        <v>26</v>
      </c>
      <c r="AA134" s="35" t="s">
        <v>26</v>
      </c>
      <c r="AB134" s="59" t="s">
        <v>26</v>
      </c>
      <c r="AC134" s="59" t="s">
        <v>26</v>
      </c>
      <c r="AD134" s="59" t="s">
        <v>26</v>
      </c>
      <c r="AE134" s="35">
        <v>37671610.490000002</v>
      </c>
      <c r="AF134" s="59">
        <v>1</v>
      </c>
      <c r="AG134" s="59" t="s">
        <v>26</v>
      </c>
      <c r="AH134" s="59" t="s">
        <v>26</v>
      </c>
      <c r="AI134" s="35" t="s">
        <v>26</v>
      </c>
      <c r="AJ134" s="59" t="s">
        <v>26</v>
      </c>
      <c r="AK134" s="59" t="s">
        <v>26</v>
      </c>
      <c r="AL134" s="59" t="s">
        <v>26</v>
      </c>
      <c r="AM134" s="35" t="s">
        <v>26</v>
      </c>
      <c r="AN134" s="59" t="s">
        <v>26</v>
      </c>
      <c r="AO134" s="59" t="s">
        <v>26</v>
      </c>
      <c r="AP134" s="59" t="s">
        <v>26</v>
      </c>
      <c r="AQ134" s="35" t="s">
        <v>26</v>
      </c>
      <c r="AR134" s="59" t="s">
        <v>26</v>
      </c>
      <c r="AS134" s="59" t="s">
        <v>26</v>
      </c>
      <c r="AT134" s="59" t="s">
        <v>26</v>
      </c>
      <c r="AU134" s="35" t="s">
        <v>26</v>
      </c>
      <c r="AV134" s="59" t="s">
        <v>26</v>
      </c>
      <c r="AW134" s="11" t="s">
        <v>26</v>
      </c>
      <c r="AX134" s="11" t="s">
        <v>26</v>
      </c>
      <c r="AY134" s="35">
        <v>37671610.490000002</v>
      </c>
      <c r="AZ134" s="59">
        <v>1</v>
      </c>
      <c r="BA134" s="59" t="s">
        <v>26</v>
      </c>
      <c r="BB134" s="59" t="s">
        <v>26</v>
      </c>
    </row>
    <row r="135" spans="1:54">
      <c r="A135" s="13" t="s">
        <v>130</v>
      </c>
      <c r="B135" s="25" t="s">
        <v>25</v>
      </c>
      <c r="C135" s="55" t="s">
        <v>26</v>
      </c>
      <c r="D135" s="56" t="s">
        <v>26</v>
      </c>
      <c r="E135" s="56" t="s">
        <v>26</v>
      </c>
      <c r="F135" s="56" t="s">
        <v>26</v>
      </c>
      <c r="G135" s="55">
        <v>167835522.46000001</v>
      </c>
      <c r="H135" s="56">
        <v>1.1028646209000001E-3</v>
      </c>
      <c r="I135" s="56" t="s">
        <v>26</v>
      </c>
      <c r="J135" s="56" t="s">
        <v>26</v>
      </c>
      <c r="K135" s="55" t="s">
        <v>26</v>
      </c>
      <c r="L135" s="56" t="s">
        <v>26</v>
      </c>
      <c r="M135" s="56" t="s">
        <v>26</v>
      </c>
      <c r="N135" s="56" t="s">
        <v>26</v>
      </c>
      <c r="O135" s="55" t="s">
        <v>26</v>
      </c>
      <c r="P135" s="56" t="s">
        <v>26</v>
      </c>
      <c r="Q135" s="56" t="s">
        <v>26</v>
      </c>
      <c r="R135" s="56" t="s">
        <v>26</v>
      </c>
      <c r="S135" s="55">
        <v>167835522.46000001</v>
      </c>
      <c r="T135" s="56">
        <v>1.49566122483E-3</v>
      </c>
      <c r="U135" s="56" t="s">
        <v>26</v>
      </c>
      <c r="V135" s="56" t="s">
        <v>26</v>
      </c>
      <c r="W135" s="55" t="s">
        <v>26</v>
      </c>
      <c r="X135" s="56" t="s">
        <v>26</v>
      </c>
      <c r="Y135" s="56" t="s">
        <v>26</v>
      </c>
      <c r="Z135" s="56" t="s">
        <v>26</v>
      </c>
      <c r="AA135" s="55">
        <v>167835522.46000001</v>
      </c>
      <c r="AB135" s="56">
        <v>1.2031081473500001E-3</v>
      </c>
      <c r="AC135" s="56" t="s">
        <v>26</v>
      </c>
      <c r="AD135" s="56" t="s">
        <v>26</v>
      </c>
      <c r="AE135" s="55">
        <v>503506567.38</v>
      </c>
      <c r="AF135" s="56">
        <v>7.7903250823E-4</v>
      </c>
      <c r="AG135" s="56" t="s">
        <v>26</v>
      </c>
      <c r="AH135" s="56" t="s">
        <v>26</v>
      </c>
      <c r="AI135" s="55" t="s">
        <v>26</v>
      </c>
      <c r="AJ135" s="56" t="s">
        <v>26</v>
      </c>
      <c r="AK135" s="56" t="s">
        <v>26</v>
      </c>
      <c r="AL135" s="56" t="s">
        <v>26</v>
      </c>
      <c r="AM135" s="55" t="s">
        <v>26</v>
      </c>
      <c r="AN135" s="56" t="s">
        <v>26</v>
      </c>
      <c r="AO135" s="56" t="s">
        <v>26</v>
      </c>
      <c r="AP135" s="56" t="s">
        <v>26</v>
      </c>
      <c r="AQ135" s="55" t="s">
        <v>26</v>
      </c>
      <c r="AR135" s="56" t="s">
        <v>26</v>
      </c>
      <c r="AS135" s="56" t="s">
        <v>26</v>
      </c>
      <c r="AT135" s="56" t="s">
        <v>26</v>
      </c>
      <c r="AU135" s="55" t="s">
        <v>26</v>
      </c>
      <c r="AV135" s="56" t="s">
        <v>26</v>
      </c>
      <c r="AW135" s="56" t="s">
        <v>26</v>
      </c>
      <c r="AX135" s="56" t="s">
        <v>26</v>
      </c>
      <c r="AY135" s="55">
        <v>503506567.38</v>
      </c>
      <c r="AZ135" s="56">
        <v>6.8701263740000005E-4</v>
      </c>
      <c r="BA135" s="56" t="s">
        <v>26</v>
      </c>
      <c r="BB135" s="56" t="s">
        <v>26</v>
      </c>
    </row>
    <row r="136" spans="1:54" s="7" customFormat="1">
      <c r="A136" s="5" t="s">
        <v>131</v>
      </c>
      <c r="B136" s="24" t="s">
        <v>25</v>
      </c>
      <c r="C136" s="10" t="s">
        <v>26</v>
      </c>
      <c r="D136" s="11" t="s">
        <v>26</v>
      </c>
      <c r="E136" s="11" t="s">
        <v>26</v>
      </c>
      <c r="F136" s="11" t="s">
        <v>26</v>
      </c>
      <c r="G136" s="10">
        <v>167835522.46000001</v>
      </c>
      <c r="H136" s="11">
        <v>1.1028646209000001E-3</v>
      </c>
      <c r="I136" s="11" t="s">
        <v>26</v>
      </c>
      <c r="J136" s="11" t="s">
        <v>26</v>
      </c>
      <c r="K136" s="10" t="s">
        <v>26</v>
      </c>
      <c r="L136" s="11" t="s">
        <v>26</v>
      </c>
      <c r="M136" s="11" t="s">
        <v>26</v>
      </c>
      <c r="N136" s="11" t="s">
        <v>26</v>
      </c>
      <c r="O136" s="10" t="s">
        <v>26</v>
      </c>
      <c r="P136" s="11" t="s">
        <v>26</v>
      </c>
      <c r="Q136" s="11" t="s">
        <v>26</v>
      </c>
      <c r="R136" s="11" t="s">
        <v>26</v>
      </c>
      <c r="S136" s="10">
        <v>167835522.46000001</v>
      </c>
      <c r="T136" s="11">
        <v>1.49566122483E-3</v>
      </c>
      <c r="U136" s="11" t="s">
        <v>26</v>
      </c>
      <c r="V136" s="11" t="s">
        <v>26</v>
      </c>
      <c r="W136" s="10" t="s">
        <v>26</v>
      </c>
      <c r="X136" s="11" t="s">
        <v>26</v>
      </c>
      <c r="Y136" s="11" t="s">
        <v>26</v>
      </c>
      <c r="Z136" s="11" t="s">
        <v>26</v>
      </c>
      <c r="AA136" s="10">
        <v>167835522.46000001</v>
      </c>
      <c r="AB136" s="11">
        <v>1.2031081473500001E-3</v>
      </c>
      <c r="AC136" s="11" t="s">
        <v>26</v>
      </c>
      <c r="AD136" s="11" t="s">
        <v>26</v>
      </c>
      <c r="AE136" s="10">
        <v>503506567.38</v>
      </c>
      <c r="AF136" s="11">
        <v>7.7903250823E-4</v>
      </c>
      <c r="AG136" s="11" t="s">
        <v>26</v>
      </c>
      <c r="AH136" s="11" t="s">
        <v>26</v>
      </c>
      <c r="AI136" s="10" t="s">
        <v>26</v>
      </c>
      <c r="AJ136" s="11" t="s">
        <v>26</v>
      </c>
      <c r="AK136" s="11" t="s">
        <v>26</v>
      </c>
      <c r="AL136" s="11" t="s">
        <v>26</v>
      </c>
      <c r="AM136" s="10" t="s">
        <v>26</v>
      </c>
      <c r="AN136" s="11" t="s">
        <v>26</v>
      </c>
      <c r="AO136" s="11" t="s">
        <v>26</v>
      </c>
      <c r="AP136" s="11" t="s">
        <v>26</v>
      </c>
      <c r="AQ136" s="10" t="s">
        <v>26</v>
      </c>
      <c r="AR136" s="11" t="s">
        <v>26</v>
      </c>
      <c r="AS136" s="11" t="s">
        <v>26</v>
      </c>
      <c r="AT136" s="11" t="s">
        <v>26</v>
      </c>
      <c r="AU136" s="10" t="s">
        <v>26</v>
      </c>
      <c r="AV136" s="11" t="s">
        <v>26</v>
      </c>
      <c r="AW136" s="11" t="s">
        <v>26</v>
      </c>
      <c r="AX136" s="11" t="s">
        <v>26</v>
      </c>
      <c r="AY136" s="10">
        <v>503506567.38</v>
      </c>
      <c r="AZ136" s="11">
        <v>6.8701263740000005E-4</v>
      </c>
      <c r="BA136" s="11" t="s">
        <v>26</v>
      </c>
      <c r="BB136" s="11" t="s">
        <v>26</v>
      </c>
    </row>
    <row r="137" spans="1:54">
      <c r="A137" s="3" t="s">
        <v>132</v>
      </c>
      <c r="B137" s="36" t="s">
        <v>37</v>
      </c>
      <c r="C137" s="35" t="s">
        <v>26</v>
      </c>
      <c r="D137" s="59" t="s">
        <v>26</v>
      </c>
      <c r="E137" s="59" t="s">
        <v>26</v>
      </c>
      <c r="F137" s="59" t="s">
        <v>26</v>
      </c>
      <c r="G137" s="35">
        <v>167835522.46000001</v>
      </c>
      <c r="H137" s="59">
        <v>1</v>
      </c>
      <c r="I137" s="59" t="s">
        <v>26</v>
      </c>
      <c r="J137" s="59" t="s">
        <v>26</v>
      </c>
      <c r="K137" s="35" t="s">
        <v>26</v>
      </c>
      <c r="L137" s="59" t="s">
        <v>26</v>
      </c>
      <c r="M137" s="59" t="s">
        <v>26</v>
      </c>
      <c r="N137" s="59" t="s">
        <v>26</v>
      </c>
      <c r="O137" s="35" t="s">
        <v>26</v>
      </c>
      <c r="P137" s="59" t="s">
        <v>26</v>
      </c>
      <c r="Q137" s="59" t="s">
        <v>26</v>
      </c>
      <c r="R137" s="59" t="s">
        <v>26</v>
      </c>
      <c r="S137" s="35">
        <v>167835522.46000001</v>
      </c>
      <c r="T137" s="59">
        <v>1</v>
      </c>
      <c r="U137" s="59" t="s">
        <v>26</v>
      </c>
      <c r="V137" s="59" t="s">
        <v>26</v>
      </c>
      <c r="W137" s="35" t="s">
        <v>26</v>
      </c>
      <c r="X137" s="59" t="s">
        <v>26</v>
      </c>
      <c r="Y137" s="59" t="s">
        <v>26</v>
      </c>
      <c r="Z137" s="59" t="s">
        <v>26</v>
      </c>
      <c r="AA137" s="35">
        <v>167835522.46000001</v>
      </c>
      <c r="AB137" s="59">
        <v>1</v>
      </c>
      <c r="AC137" s="59" t="s">
        <v>26</v>
      </c>
      <c r="AD137" s="59" t="s">
        <v>26</v>
      </c>
      <c r="AE137" s="35">
        <v>503506567.38</v>
      </c>
      <c r="AF137" s="59">
        <v>1</v>
      </c>
      <c r="AG137" s="59" t="s">
        <v>26</v>
      </c>
      <c r="AH137" s="59" t="s">
        <v>26</v>
      </c>
      <c r="AI137" s="35" t="s">
        <v>26</v>
      </c>
      <c r="AJ137" s="59" t="s">
        <v>26</v>
      </c>
      <c r="AK137" s="59" t="s">
        <v>26</v>
      </c>
      <c r="AL137" s="59" t="s">
        <v>26</v>
      </c>
      <c r="AM137" s="35" t="s">
        <v>26</v>
      </c>
      <c r="AN137" s="59" t="s">
        <v>26</v>
      </c>
      <c r="AO137" s="59" t="s">
        <v>26</v>
      </c>
      <c r="AP137" s="59" t="s">
        <v>26</v>
      </c>
      <c r="AQ137" s="35" t="s">
        <v>26</v>
      </c>
      <c r="AR137" s="59" t="s">
        <v>26</v>
      </c>
      <c r="AS137" s="59" t="s">
        <v>26</v>
      </c>
      <c r="AT137" s="59" t="s">
        <v>26</v>
      </c>
      <c r="AU137" s="35" t="s">
        <v>26</v>
      </c>
      <c r="AV137" s="59" t="s">
        <v>26</v>
      </c>
      <c r="AW137" s="59" t="s">
        <v>26</v>
      </c>
      <c r="AX137" s="59" t="s">
        <v>26</v>
      </c>
      <c r="AY137" s="35">
        <v>503506567.38</v>
      </c>
      <c r="AZ137" s="59">
        <v>1</v>
      </c>
      <c r="BA137" s="59" t="s">
        <v>26</v>
      </c>
      <c r="BB137" s="59" t="s">
        <v>26</v>
      </c>
    </row>
    <row r="138" spans="1:54">
      <c r="A138" s="13" t="s">
        <v>100</v>
      </c>
      <c r="B138" s="25" t="s">
        <v>25</v>
      </c>
      <c r="C138" s="55">
        <v>6399078267.9499998</v>
      </c>
      <c r="D138" s="56">
        <v>0.99980000000000002</v>
      </c>
      <c r="E138" s="56" t="s">
        <v>26</v>
      </c>
      <c r="F138" s="56" t="s">
        <v>26</v>
      </c>
      <c r="G138" s="55">
        <v>152180486539.59</v>
      </c>
      <c r="H138" s="56">
        <v>1</v>
      </c>
      <c r="I138" s="56" t="s">
        <v>26</v>
      </c>
      <c r="J138" s="56" t="s">
        <v>26</v>
      </c>
      <c r="K138" s="55">
        <v>2991922464.1100001</v>
      </c>
      <c r="L138" s="56">
        <v>0.99860000000000004</v>
      </c>
      <c r="M138" s="56" t="s">
        <v>26</v>
      </c>
      <c r="N138" s="56" t="s">
        <v>26</v>
      </c>
      <c r="O138" s="55">
        <v>226771048162.82001</v>
      </c>
      <c r="P138" s="56">
        <v>1</v>
      </c>
      <c r="Q138" s="56" t="s">
        <v>26</v>
      </c>
      <c r="R138" s="56" t="s">
        <v>26</v>
      </c>
      <c r="S138" s="55">
        <v>112214773542.35001</v>
      </c>
      <c r="T138" s="56">
        <v>1</v>
      </c>
      <c r="U138" s="56" t="s">
        <v>26</v>
      </c>
      <c r="V138" s="56" t="s">
        <v>26</v>
      </c>
      <c r="W138" s="55">
        <v>6250700450.6099997</v>
      </c>
      <c r="X138" s="56">
        <v>0.99890000000000001</v>
      </c>
      <c r="Y138" s="56" t="s">
        <v>26</v>
      </c>
      <c r="Z138" s="56" t="s">
        <v>26</v>
      </c>
      <c r="AA138" s="55">
        <v>139501407825.32999</v>
      </c>
      <c r="AB138" s="56">
        <v>1</v>
      </c>
      <c r="AC138" s="56" t="s">
        <v>26</v>
      </c>
      <c r="AD138" s="56" t="s">
        <v>26</v>
      </c>
      <c r="AE138" s="55">
        <v>646309417252.76001</v>
      </c>
      <c r="AF138" s="56">
        <v>1</v>
      </c>
      <c r="AG138" s="56" t="s">
        <v>26</v>
      </c>
      <c r="AH138" s="56" t="s">
        <v>26</v>
      </c>
      <c r="AI138" s="55">
        <v>17082263209.809999</v>
      </c>
      <c r="AJ138" s="56">
        <v>1</v>
      </c>
      <c r="AK138" s="56" t="s">
        <v>26</v>
      </c>
      <c r="AL138" s="56" t="s">
        <v>26</v>
      </c>
      <c r="AM138" s="55">
        <v>23826523744.450001</v>
      </c>
      <c r="AN138" s="56">
        <v>1</v>
      </c>
      <c r="AO138" s="56" t="s">
        <v>26</v>
      </c>
      <c r="AP138" s="56" t="s">
        <v>26</v>
      </c>
      <c r="AQ138" s="55">
        <v>40908786954.260002</v>
      </c>
      <c r="AR138" s="56">
        <v>1</v>
      </c>
      <c r="AS138" s="56" t="s">
        <v>26</v>
      </c>
      <c r="AT138" s="56" t="s">
        <v>26</v>
      </c>
      <c r="AU138" s="55">
        <v>45659987461.910004</v>
      </c>
      <c r="AV138" s="56">
        <v>1</v>
      </c>
      <c r="AW138" s="56" t="s">
        <v>26</v>
      </c>
      <c r="AX138" s="56" t="s">
        <v>26</v>
      </c>
      <c r="AY138" s="55">
        <v>732878191668.93005</v>
      </c>
      <c r="AZ138" s="56">
        <v>1</v>
      </c>
      <c r="BA138" s="56" t="s">
        <v>26</v>
      </c>
      <c r="BB138" s="56" t="s">
        <v>26</v>
      </c>
    </row>
    <row r="139" spans="1:54" s="7" customFormat="1">
      <c r="A139" s="5" t="s">
        <v>101</v>
      </c>
      <c r="B139" s="24" t="s">
        <v>25</v>
      </c>
      <c r="C139" s="10">
        <v>1283312.04</v>
      </c>
      <c r="D139" s="11">
        <v>2.0000000000000001E-4</v>
      </c>
      <c r="E139" s="11" t="s">
        <v>26</v>
      </c>
      <c r="F139" s="11" t="s">
        <v>26</v>
      </c>
      <c r="G139" s="10">
        <v>950129.95</v>
      </c>
      <c r="H139" s="11">
        <v>0</v>
      </c>
      <c r="I139" s="11" t="s">
        <v>26</v>
      </c>
      <c r="J139" s="11" t="s">
        <v>26</v>
      </c>
      <c r="K139" s="10">
        <v>4054655.3</v>
      </c>
      <c r="L139" s="11">
        <v>1.4E-3</v>
      </c>
      <c r="M139" s="11" t="s">
        <v>26</v>
      </c>
      <c r="N139" s="11" t="s">
        <v>26</v>
      </c>
      <c r="O139" s="10">
        <v>245887.04</v>
      </c>
      <c r="P139" s="11">
        <v>0</v>
      </c>
      <c r="Q139" s="11" t="s">
        <v>26</v>
      </c>
      <c r="R139" s="11" t="s">
        <v>26</v>
      </c>
      <c r="S139" s="10">
        <v>158337.44</v>
      </c>
      <c r="T139" s="11">
        <v>0</v>
      </c>
      <c r="U139" s="11" t="s">
        <v>26</v>
      </c>
      <c r="V139" s="11" t="s">
        <v>26</v>
      </c>
      <c r="W139" s="10">
        <v>6611581.3600000003</v>
      </c>
      <c r="X139" s="11">
        <v>1.1000000000000001E-3</v>
      </c>
      <c r="Y139" s="11" t="s">
        <v>26</v>
      </c>
      <c r="Z139" s="11" t="s">
        <v>26</v>
      </c>
      <c r="AA139" s="10">
        <v>201261.23</v>
      </c>
      <c r="AB139" s="11">
        <v>0</v>
      </c>
      <c r="AC139" s="11" t="s">
        <v>26</v>
      </c>
      <c r="AD139" s="11" t="s">
        <v>26</v>
      </c>
      <c r="AE139" s="10">
        <v>13505164.359999999</v>
      </c>
      <c r="AF139" s="11">
        <v>0</v>
      </c>
      <c r="AG139" s="11" t="s">
        <v>26</v>
      </c>
      <c r="AH139" s="11" t="s">
        <v>26</v>
      </c>
      <c r="AI139" s="10">
        <v>114545.32</v>
      </c>
      <c r="AJ139" s="11">
        <v>0</v>
      </c>
      <c r="AK139" s="11" t="s">
        <v>26</v>
      </c>
      <c r="AL139" s="11" t="s">
        <v>26</v>
      </c>
      <c r="AM139" s="10">
        <v>875091.06</v>
      </c>
      <c r="AN139" s="11">
        <v>0</v>
      </c>
      <c r="AO139" s="11" t="s">
        <v>26</v>
      </c>
      <c r="AP139" s="11" t="s">
        <v>26</v>
      </c>
      <c r="AQ139" s="10">
        <v>989636.38</v>
      </c>
      <c r="AR139" s="11">
        <v>0</v>
      </c>
      <c r="AS139" s="11" t="s">
        <v>26</v>
      </c>
      <c r="AT139" s="11" t="s">
        <v>26</v>
      </c>
      <c r="AU139" s="10">
        <v>43550.47</v>
      </c>
      <c r="AV139" s="11">
        <v>0</v>
      </c>
      <c r="AW139" s="11" t="s">
        <v>26</v>
      </c>
      <c r="AX139" s="11" t="s">
        <v>26</v>
      </c>
      <c r="AY139" s="10">
        <v>14538351.210000001</v>
      </c>
      <c r="AZ139" s="11">
        <v>0</v>
      </c>
      <c r="BA139" s="11" t="s">
        <v>26</v>
      </c>
      <c r="BB139" s="11" t="s">
        <v>26</v>
      </c>
    </row>
    <row r="140" spans="1:54">
      <c r="A140" s="13" t="s">
        <v>102</v>
      </c>
      <c r="B140" s="25" t="s">
        <v>25</v>
      </c>
      <c r="C140" s="55">
        <v>6400361579.9899998</v>
      </c>
      <c r="D140" s="56">
        <v>1</v>
      </c>
      <c r="E140" s="56" t="s">
        <v>26</v>
      </c>
      <c r="F140" s="56" t="s">
        <v>26</v>
      </c>
      <c r="G140" s="55">
        <v>152181436669.54001</v>
      </c>
      <c r="H140" s="56">
        <v>1</v>
      </c>
      <c r="I140" s="56" t="s">
        <v>26</v>
      </c>
      <c r="J140" s="56" t="s">
        <v>26</v>
      </c>
      <c r="K140" s="55">
        <v>2995977119.4099998</v>
      </c>
      <c r="L140" s="56">
        <v>1</v>
      </c>
      <c r="M140" s="56" t="s">
        <v>26</v>
      </c>
      <c r="N140" s="56" t="s">
        <v>26</v>
      </c>
      <c r="O140" s="55">
        <v>226771294049.85999</v>
      </c>
      <c r="P140" s="56">
        <v>1</v>
      </c>
      <c r="Q140" s="56" t="s">
        <v>26</v>
      </c>
      <c r="R140" s="56" t="s">
        <v>26</v>
      </c>
      <c r="S140" s="55">
        <v>112214931879.78999</v>
      </c>
      <c r="T140" s="56">
        <v>1</v>
      </c>
      <c r="U140" s="56" t="s">
        <v>26</v>
      </c>
      <c r="V140" s="56" t="s">
        <v>26</v>
      </c>
      <c r="W140" s="55">
        <v>6257312031.9700003</v>
      </c>
      <c r="X140" s="56">
        <v>1</v>
      </c>
      <c r="Y140" s="56" t="s">
        <v>26</v>
      </c>
      <c r="Z140" s="56" t="s">
        <v>26</v>
      </c>
      <c r="AA140" s="55">
        <v>139501609086.56</v>
      </c>
      <c r="AB140" s="56">
        <v>1</v>
      </c>
      <c r="AC140" s="56" t="s">
        <v>26</v>
      </c>
      <c r="AD140" s="56" t="s">
        <v>26</v>
      </c>
      <c r="AE140" s="55">
        <v>646322922417.12</v>
      </c>
      <c r="AF140" s="56">
        <v>1</v>
      </c>
      <c r="AG140" s="56" t="s">
        <v>26</v>
      </c>
      <c r="AH140" s="56" t="s">
        <v>26</v>
      </c>
      <c r="AI140" s="55">
        <v>17082377755.129999</v>
      </c>
      <c r="AJ140" s="56">
        <v>1</v>
      </c>
      <c r="AK140" s="56" t="s">
        <v>26</v>
      </c>
      <c r="AL140" s="56" t="s">
        <v>26</v>
      </c>
      <c r="AM140" s="55">
        <v>23827398835.509998</v>
      </c>
      <c r="AN140" s="56">
        <v>1</v>
      </c>
      <c r="AO140" s="56" t="s">
        <v>26</v>
      </c>
      <c r="AP140" s="56" t="s">
        <v>26</v>
      </c>
      <c r="AQ140" s="55">
        <v>40909776590.639999</v>
      </c>
      <c r="AR140" s="56">
        <v>1</v>
      </c>
      <c r="AS140" s="56" t="s">
        <v>26</v>
      </c>
      <c r="AT140" s="56" t="s">
        <v>26</v>
      </c>
      <c r="AU140" s="55">
        <v>45660031012.379997</v>
      </c>
      <c r="AV140" s="56">
        <v>1</v>
      </c>
      <c r="AW140" s="56" t="s">
        <v>26</v>
      </c>
      <c r="AX140" s="56" t="s">
        <v>26</v>
      </c>
      <c r="AY140" s="55">
        <v>732892730020.14001</v>
      </c>
      <c r="AZ140" s="56">
        <v>1</v>
      </c>
      <c r="BA140" s="56" t="s">
        <v>26</v>
      </c>
      <c r="BB140" s="56" t="s">
        <v>26</v>
      </c>
    </row>
    <row r="142" spans="1:54">
      <c r="A142" s="18" t="s">
        <v>103</v>
      </c>
      <c r="AY142" s="41"/>
    </row>
    <row r="143" spans="1:54">
      <c r="A143" s="39" t="s">
        <v>115</v>
      </c>
      <c r="AY143" s="65"/>
    </row>
    <row r="144" spans="1:54">
      <c r="A144" s="39" t="s">
        <v>133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7" ma:contentTypeDescription="Crear nuevo documento." ma:contentTypeScope="" ma:versionID="a516bec4670321183b143bbda4ddb767">
  <xsd:schema xmlns:xsd="http://www.w3.org/2001/XMLSchema" xmlns:xs="http://www.w3.org/2001/XMLSchema" xmlns:p="http://schemas.microsoft.com/office/2006/metadata/properties" xmlns:ns2="3d356bbc-c7e3-4705-a35e-a22d7fa248ea" targetNamespace="http://schemas.microsoft.com/office/2006/metadata/properties" ma:root="true" ma:fieldsID="3c4e604bddbf3ec1c38a737d85566936" ns2:_="">
    <xsd:import namespace="3d356bbc-c7e3-4705-a35e-a22d7fa2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D9C8E1-DC9D-4339-9361-650E93CD2792}"/>
</file>

<file path=customXml/itemProps2.xml><?xml version="1.0" encoding="utf-8"?>
<ds:datastoreItem xmlns:ds="http://schemas.openxmlformats.org/officeDocument/2006/customXml" ds:itemID="{FFA1D400-21A7-49AA-9F07-2C5E6F3EDEBD}"/>
</file>

<file path=customXml/itemProps3.xml><?xml version="1.0" encoding="utf-8"?>
<ds:datastoreItem xmlns:ds="http://schemas.openxmlformats.org/officeDocument/2006/customXml" ds:itemID="{42A4FBC3-B12C-4C90-9081-CEC475AEB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Urena</cp:lastModifiedBy>
  <cp:revision/>
  <dcterms:created xsi:type="dcterms:W3CDTF">2018-02-13T20:53:31Z</dcterms:created>
  <dcterms:modified xsi:type="dcterms:W3CDTF">2021-01-26T14:45:50Z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</Properties>
</file>