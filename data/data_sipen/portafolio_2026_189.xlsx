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1344" documentId="11_DE2EAA4013700FC3D7D7027417E91DF695EF89AA" xr6:coauthVersionLast="47" xr6:coauthVersionMax="47" xr10:uidLastSave="{435478CF-B1C7-41CC-A8CF-3B2C8546802C}"/>
  <bookViews>
    <workbookView xWindow="-120" yWindow="-120" windowWidth="29040" windowHeight="15720" activeTab="2" xr2:uid="{00000000-000D-0000-FFFF-FFFF00000000}"/>
  </bookViews>
  <sheets>
    <sheet name="Enero" sheetId="41" r:id="rId1"/>
    <sheet name="Febrero" sheetId="42" r:id="rId2"/>
    <sheet name="Marzo" sheetId="4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43" l="1"/>
  <c r="X13" i="43"/>
  <c r="U13" i="43"/>
  <c r="T13" i="43"/>
  <c r="S13" i="43"/>
  <c r="R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B13" i="43"/>
  <c r="V12" i="43"/>
  <c r="P12" i="43"/>
  <c r="V11" i="43"/>
  <c r="P11" i="43"/>
  <c r="V10" i="43"/>
  <c r="P10" i="43"/>
  <c r="V9" i="43"/>
  <c r="P9" i="43"/>
  <c r="Z9" i="43" s="1"/>
  <c r="V8" i="43"/>
  <c r="P8" i="43"/>
  <c r="Z8" i="43" s="1"/>
  <c r="V7" i="43"/>
  <c r="P7" i="43"/>
  <c r="V6" i="43"/>
  <c r="P6" i="43"/>
  <c r="Z6" i="43" s="1"/>
  <c r="Y13" i="42"/>
  <c r="X13" i="42"/>
  <c r="U13" i="42"/>
  <c r="T13" i="42"/>
  <c r="S13" i="42"/>
  <c r="R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B13" i="42"/>
  <c r="V12" i="42"/>
  <c r="P12" i="42"/>
  <c r="V11" i="42"/>
  <c r="P11" i="42"/>
  <c r="V10" i="42"/>
  <c r="P10" i="42"/>
  <c r="Z10" i="42" s="1"/>
  <c r="V9" i="42"/>
  <c r="P9" i="42"/>
  <c r="V8" i="42"/>
  <c r="P8" i="42"/>
  <c r="V7" i="42"/>
  <c r="P7" i="42"/>
  <c r="V6" i="42"/>
  <c r="P6" i="42"/>
  <c r="Z6" i="42" s="1"/>
  <c r="V8" i="41"/>
  <c r="P8" i="41"/>
  <c r="N13" i="41"/>
  <c r="V13" i="43" l="1"/>
  <c r="Z12" i="43"/>
  <c r="Z10" i="43"/>
  <c r="P13" i="43"/>
  <c r="Q10" i="43" s="1"/>
  <c r="W7" i="43"/>
  <c r="W8" i="43"/>
  <c r="W9" i="43"/>
  <c r="W11" i="43"/>
  <c r="W12" i="43"/>
  <c r="Z11" i="43"/>
  <c r="W6" i="43"/>
  <c r="W10" i="43"/>
  <c r="Z7" i="43"/>
  <c r="Z12" i="42"/>
  <c r="Z8" i="42"/>
  <c r="Z9" i="42"/>
  <c r="Z7" i="42"/>
  <c r="Z11" i="42"/>
  <c r="P13" i="42"/>
  <c r="Q11" i="42" s="1"/>
  <c r="Q8" i="42"/>
  <c r="Q12" i="42"/>
  <c r="Q6" i="42"/>
  <c r="V13" i="42"/>
  <c r="Z8" i="41"/>
  <c r="P6" i="41"/>
  <c r="V6" i="41"/>
  <c r="P7" i="41"/>
  <c r="V7" i="41"/>
  <c r="P9" i="41"/>
  <c r="V9" i="41"/>
  <c r="P10" i="41"/>
  <c r="V10" i="41"/>
  <c r="P11" i="41"/>
  <c r="V11" i="41"/>
  <c r="P12" i="41"/>
  <c r="V12" i="41"/>
  <c r="B13" i="41"/>
  <c r="C13" i="41"/>
  <c r="D13" i="41"/>
  <c r="E13" i="41"/>
  <c r="F13" i="41"/>
  <c r="G13" i="41"/>
  <c r="H13" i="41"/>
  <c r="J13" i="41"/>
  <c r="K13" i="41"/>
  <c r="L13" i="41"/>
  <c r="M13" i="41"/>
  <c r="R13" i="41"/>
  <c r="S13" i="41"/>
  <c r="T13" i="41"/>
  <c r="U13" i="41"/>
  <c r="X13" i="41"/>
  <c r="Y13" i="41"/>
  <c r="Q6" i="43" l="1"/>
  <c r="Q13" i="43" s="1"/>
  <c r="Q9" i="43"/>
  <c r="Q12" i="43"/>
  <c r="Q8" i="43"/>
  <c r="Q7" i="43"/>
  <c r="Q11" i="43"/>
  <c r="W13" i="43"/>
  <c r="Z13" i="43"/>
  <c r="W12" i="42"/>
  <c r="W10" i="42"/>
  <c r="W6" i="42"/>
  <c r="Q9" i="42"/>
  <c r="Q7" i="42"/>
  <c r="W7" i="42"/>
  <c r="W11" i="42"/>
  <c r="Q10" i="42"/>
  <c r="W9" i="42"/>
  <c r="W8" i="42"/>
  <c r="Z13" i="42"/>
  <c r="Z10" i="41"/>
  <c r="Z9" i="41"/>
  <c r="Z11" i="41"/>
  <c r="Z7" i="41"/>
  <c r="O13" i="41"/>
  <c r="I13" i="41"/>
  <c r="Z6" i="41"/>
  <c r="P13" i="41"/>
  <c r="Q8" i="41" s="1"/>
  <c r="Z12" i="41"/>
  <c r="V13" i="41"/>
  <c r="W8" i="41" s="1"/>
  <c r="AA8" i="43" l="1"/>
  <c r="AA12" i="43"/>
  <c r="AA6" i="43"/>
  <c r="AA9" i="43"/>
  <c r="AA10" i="43"/>
  <c r="AA11" i="43"/>
  <c r="AA7" i="43"/>
  <c r="Q13" i="42"/>
  <c r="AA6" i="42"/>
  <c r="AA7" i="42"/>
  <c r="AA8" i="42"/>
  <c r="AA9" i="42"/>
  <c r="AA10" i="42"/>
  <c r="AA12" i="42"/>
  <c r="W13" i="42"/>
  <c r="AA11" i="42"/>
  <c r="Z13" i="41"/>
  <c r="AA8" i="41" s="1"/>
  <c r="Q12" i="41"/>
  <c r="W11" i="41"/>
  <c r="W9" i="41"/>
  <c r="W7" i="41"/>
  <c r="Q10" i="41"/>
  <c r="Q7" i="41"/>
  <c r="Q9" i="41"/>
  <c r="Q6" i="41"/>
  <c r="W6" i="41"/>
  <c r="W12" i="41"/>
  <c r="W10" i="41"/>
  <c r="Q11" i="41"/>
  <c r="AA13" i="43" l="1"/>
  <c r="AA13" i="42"/>
  <c r="AA12" i="41"/>
  <c r="AA6" i="41"/>
  <c r="Q13" i="41"/>
  <c r="W13" i="41"/>
  <c r="AA7" i="41"/>
  <c r="AA9" i="41"/>
  <c r="AA10" i="41"/>
  <c r="AA11" i="41"/>
  <c r="AA13" i="41" l="1"/>
</calcChain>
</file>

<file path=xl/sharedStrings.xml><?xml version="1.0" encoding="utf-8"?>
<sst xmlns="http://schemas.openxmlformats.org/spreadsheetml/2006/main" count="156" uniqueCount="30">
  <si>
    <t>Inversiones de los Fondos de Pensiones Por Calificación de Riesgo</t>
  </si>
  <si>
    <r>
      <t>CALIFICACIÓN RIESGO</t>
    </r>
    <r>
      <rPr>
        <b/>
        <vertAlign val="superscript"/>
        <sz val="11"/>
        <color rgb="FFFFFFFF"/>
        <rFont val="Calibri"/>
        <family val="2"/>
      </rPr>
      <t>1</t>
    </r>
  </si>
  <si>
    <t xml:space="preserve"> ATLÁNTICO</t>
  </si>
  <si>
    <t>CRECER</t>
  </si>
  <si>
    <t>JMMB- BDI</t>
  </si>
  <si>
    <t xml:space="preserve"> POPULAR</t>
  </si>
  <si>
    <t xml:space="preserve"> RESERVAS</t>
  </si>
  <si>
    <t xml:space="preserve"> ROMANA</t>
  </si>
  <si>
    <t xml:space="preserve"> SIEMBRA</t>
  </si>
  <si>
    <t>TOTAL CCI</t>
  </si>
  <si>
    <t xml:space="preserve"> FONDO BANCO DE RESERVAS</t>
  </si>
  <si>
    <t>FONDO BANCO CENTRAL</t>
  </si>
  <si>
    <t>TOTAL FONDOS DE REPARTO INDIVIDUALIZADO</t>
  </si>
  <si>
    <t>FONDO DE SOLIDARIDAD SOCIAL</t>
  </si>
  <si>
    <t>TOTAL GENERAL</t>
  </si>
  <si>
    <t>VALOR MERCADO</t>
  </si>
  <si>
    <t>%</t>
  </si>
  <si>
    <t>C-1</t>
  </si>
  <si>
    <t>C-2</t>
  </si>
  <si>
    <t>C-3</t>
  </si>
  <si>
    <t>AAA</t>
  </si>
  <si>
    <t xml:space="preserve">AA </t>
  </si>
  <si>
    <t xml:space="preserve">A  </t>
  </si>
  <si>
    <t>BBB</t>
  </si>
  <si>
    <t>TOTAL</t>
  </si>
  <si>
    <t>Nota: No incluye Fondos Complementarios.</t>
  </si>
  <si>
    <t>1/Las Calificaciones C-1, C-2 y C-3 corresponden a instrumentos de corto plazo.</t>
  </si>
  <si>
    <t>Al 31 de enero 2026</t>
  </si>
  <si>
    <t>Al 28 de febrero 2026</t>
  </si>
  <si>
    <t>Al 31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</si>
</sst>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0.00%"/>
    <numFmt numFmtId="166" formatCode="#0.000%"/>
  </numFmts>
  <fonts count="9" x14ac:knownFonts="1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vertAlign val="superscript"/>
      <sz val="11"/>
      <color rgb="FFFFFFFF"/>
      <name val="Calibri"/>
      <family val="2"/>
    </font>
    <font>
      <sz val="11"/>
      <name val="Calibri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8">
    <xf numFmtId="0" fontId="0" fillId="0" borderId="0" xfId="0"/>
    <xf numFmtId="4" fontId="0" fillId="0" borderId="1" xfId="0" applyNumberFormat="1" applyBorder="1"/>
    <xf numFmtId="165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 vertical="center" wrapText="1"/>
    </xf>
    <xf numFmtId="0" fontId="5" fillId="0" borderId="0" xfId="1" applyFont="1"/>
    <xf numFmtId="164" fontId="0" fillId="0" borderId="1" xfId="2" applyFont="1" applyBorder="1" applyAlignment="1">
      <alignment horizontal="center"/>
    </xf>
    <xf numFmtId="9" fontId="1" fillId="2" borderId="1" xfId="3" applyFont="1" applyFill="1" applyBorder="1" applyAlignment="1">
      <alignment horizontal="center"/>
    </xf>
    <xf numFmtId="165" fontId="0" fillId="0" borderId="1" xfId="0" applyNumberFormat="1" applyBorder="1"/>
    <xf numFmtId="0" fontId="8" fillId="0" borderId="0" xfId="0" applyFont="1"/>
    <xf numFmtId="4" fontId="2" fillId="3" borderId="4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0" fillId="0" borderId="0" xfId="1" applyFont="1"/>
    <xf numFmtId="0" fontId="0" fillId="0" borderId="0" xfId="1" applyFont="1" applyAlignment="1">
      <alignment horizontal="center"/>
    </xf>
    <xf numFmtId="4" fontId="0" fillId="0" borderId="0" xfId="1" applyNumberFormat="1" applyFont="1"/>
    <xf numFmtId="4" fontId="0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2" borderId="1" xfId="2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1" applyFont="1" applyFill="1" applyBorder="1" applyAlignment="1">
      <alignment horizontal="center" vertical="center" wrapText="1"/>
    </xf>
  </cellXfs>
  <cellStyles count="4">
    <cellStyle name="Millares" xfId="2" builtinId="3"/>
    <cellStyle name="Normal" xfId="0" builtinId="0"/>
    <cellStyle name="Normal 2" xfId="1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5" sqref="H25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27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1" t="s">
        <v>2</v>
      </c>
      <c r="C4" s="22"/>
      <c r="D4" s="21" t="s">
        <v>3</v>
      </c>
      <c r="E4" s="22"/>
      <c r="F4" s="21" t="s">
        <v>4</v>
      </c>
      <c r="G4" s="22"/>
      <c r="H4" s="21" t="s">
        <v>5</v>
      </c>
      <c r="I4" s="22"/>
      <c r="J4" s="21" t="s">
        <v>6</v>
      </c>
      <c r="K4" s="22"/>
      <c r="L4" s="21" t="s">
        <v>7</v>
      </c>
      <c r="M4" s="22"/>
      <c r="N4" s="21" t="s">
        <v>8</v>
      </c>
      <c r="O4" s="22"/>
      <c r="P4" s="21" t="s">
        <v>9</v>
      </c>
      <c r="Q4" s="22"/>
      <c r="R4" s="21" t="s">
        <v>10</v>
      </c>
      <c r="S4" s="22"/>
      <c r="T4" s="21" t="s">
        <v>11</v>
      </c>
      <c r="U4" s="22"/>
      <c r="V4" s="21" t="s">
        <v>12</v>
      </c>
      <c r="W4" s="22"/>
      <c r="X4" s="23" t="s">
        <v>13</v>
      </c>
      <c r="Y4" s="24"/>
      <c r="Z4" s="21" t="s">
        <v>14</v>
      </c>
      <c r="AA4" s="22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52164173.530000001</v>
      </c>
      <c r="C6" s="6">
        <v>2.1896900000000002E-3</v>
      </c>
      <c r="D6" s="1">
        <v>10076355718.75</v>
      </c>
      <c r="E6" s="8">
        <v>3.3463E-2</v>
      </c>
      <c r="F6" s="1">
        <v>246983972.25</v>
      </c>
      <c r="G6" s="8">
        <v>1.8224000000000001E-2</v>
      </c>
      <c r="H6" s="1">
        <v>8615200793.4500008</v>
      </c>
      <c r="I6" s="8">
        <v>1.9984269999999998E-2</v>
      </c>
      <c r="J6" s="1">
        <v>3157072148.3499999</v>
      </c>
      <c r="K6" s="8">
        <v>1.413083E-2</v>
      </c>
      <c r="L6" s="1">
        <v>2404833989.4400001</v>
      </c>
      <c r="M6" s="8">
        <v>0.21881668000000001</v>
      </c>
      <c r="N6" s="1">
        <v>13384774310.309999</v>
      </c>
      <c r="O6" s="8">
        <v>4.798148E-2</v>
      </c>
      <c r="P6" s="3">
        <f t="shared" ref="P6:P12" si="0">+B6+D6+F6+H6+J6+L6+N6</f>
        <v>37937385106.080002</v>
      </c>
      <c r="Q6" s="2">
        <f t="shared" ref="Q6:Q12" si="1">+P6/$P$13</f>
        <v>2.9570237982551838E-2</v>
      </c>
      <c r="R6" s="1">
        <v>777544843.92999995</v>
      </c>
      <c r="S6" s="8">
        <v>3.4121579999999999E-2</v>
      </c>
      <c r="T6" s="1">
        <v>2869618568.54</v>
      </c>
      <c r="U6" s="8">
        <v>9.7845989999999994E-2</v>
      </c>
      <c r="V6" s="3">
        <f t="shared" ref="V6:V12" si="2">R6+T6</f>
        <v>3647163412.4699998</v>
      </c>
      <c r="W6" s="2">
        <f t="shared" ref="W6:W12" si="3">V6/$V$13</f>
        <v>6.998246149967309E-2</v>
      </c>
      <c r="X6" s="1">
        <v>2713528280.6799998</v>
      </c>
      <c r="Y6" s="8">
        <v>2.8693699999999999E-2</v>
      </c>
      <c r="Z6" s="3">
        <f t="shared" ref="Z6:Z12" si="4">P6+V6+X6</f>
        <v>44298076799.230003</v>
      </c>
      <c r="AA6" s="2">
        <f t="shared" ref="AA6:AA12" si="5">Z6/$Z$13</f>
        <v>3.0985420568280447E-2</v>
      </c>
      <c r="AB6" s="16"/>
    </row>
    <row r="7" spans="1:28" x14ac:dyDescent="0.25">
      <c r="A7" s="12" t="s">
        <v>18</v>
      </c>
      <c r="B7" s="6">
        <v>0</v>
      </c>
      <c r="C7" s="6">
        <v>0</v>
      </c>
      <c r="D7" s="6">
        <v>260761828.28</v>
      </c>
      <c r="E7" s="8">
        <v>8.6598000000000003E-4</v>
      </c>
      <c r="F7" s="1">
        <v>605738635.78999996</v>
      </c>
      <c r="G7" s="8">
        <v>4.469513E-2</v>
      </c>
      <c r="H7" s="1">
        <v>101303573.06</v>
      </c>
      <c r="I7" s="8">
        <v>2.3499E-4</v>
      </c>
      <c r="J7" s="6">
        <v>0</v>
      </c>
      <c r="K7" s="6">
        <v>0</v>
      </c>
      <c r="L7" s="6">
        <v>0</v>
      </c>
      <c r="M7" s="6">
        <v>0</v>
      </c>
      <c r="N7" s="1">
        <v>1336946676.48</v>
      </c>
      <c r="O7" s="8">
        <v>4.7926599999999998E-3</v>
      </c>
      <c r="P7" s="3">
        <f t="shared" si="0"/>
        <v>2304750713.6099997</v>
      </c>
      <c r="Q7" s="2">
        <f t="shared" si="1"/>
        <v>1.796434490709839E-3</v>
      </c>
      <c r="R7" s="6">
        <v>0</v>
      </c>
      <c r="S7" s="6">
        <v>0</v>
      </c>
      <c r="T7" s="1">
        <v>824591281.85000002</v>
      </c>
      <c r="U7" s="8">
        <v>2.8116260000000001E-2</v>
      </c>
      <c r="V7" s="3">
        <f t="shared" si="2"/>
        <v>824591281.85000002</v>
      </c>
      <c r="W7" s="2">
        <f t="shared" si="3"/>
        <v>1.5822413505720147E-2</v>
      </c>
      <c r="X7" s="1">
        <v>161581839.36000001</v>
      </c>
      <c r="Y7" s="8">
        <v>1.7086200000000001E-3</v>
      </c>
      <c r="Z7" s="3">
        <f t="shared" si="4"/>
        <v>3290923834.8199997</v>
      </c>
      <c r="AA7" s="2">
        <f t="shared" si="5"/>
        <v>2.3019206802641248E-3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3">
        <f t="shared" si="0"/>
        <v>0</v>
      </c>
      <c r="Q8" s="20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ref="V8" si="6">R8+T8</f>
        <v>0</v>
      </c>
      <c r="W8" s="19">
        <f t="shared" si="3"/>
        <v>0</v>
      </c>
      <c r="X8" s="6">
        <v>0</v>
      </c>
      <c r="Y8" s="6">
        <v>0</v>
      </c>
      <c r="Z8" s="3">
        <f t="shared" ref="Z8" si="7">P8+V8+X8</f>
        <v>0</v>
      </c>
      <c r="AA8" s="20">
        <f t="shared" si="5"/>
        <v>0</v>
      </c>
      <c r="AB8" s="16"/>
    </row>
    <row r="9" spans="1:28" x14ac:dyDescent="0.25">
      <c r="A9" s="12" t="s">
        <v>20</v>
      </c>
      <c r="B9" s="1">
        <v>17460925832.970001</v>
      </c>
      <c r="C9" s="8">
        <v>0.73295442</v>
      </c>
      <c r="D9" s="1">
        <v>190048744644.76999</v>
      </c>
      <c r="E9" s="8">
        <v>0.63114093999999998</v>
      </c>
      <c r="F9" s="1">
        <v>9988369417.6800003</v>
      </c>
      <c r="G9" s="8">
        <v>0.73700343000000001</v>
      </c>
      <c r="H9" s="1">
        <v>271467752948.78</v>
      </c>
      <c r="I9" s="8">
        <v>0.62971083999999999</v>
      </c>
      <c r="J9" s="1">
        <v>131374083120.71001</v>
      </c>
      <c r="K9" s="8">
        <v>0.58802091000000001</v>
      </c>
      <c r="L9" s="1">
        <v>8537159639.7299995</v>
      </c>
      <c r="M9" s="8">
        <v>0.77679911999999995</v>
      </c>
      <c r="N9" s="1">
        <v>206726651563.95001</v>
      </c>
      <c r="O9" s="8">
        <v>0.74106967000000001</v>
      </c>
      <c r="P9" s="3">
        <f t="shared" si="0"/>
        <v>835603687168.58984</v>
      </c>
      <c r="Q9" s="2">
        <f t="shared" si="1"/>
        <v>0.65131004204907716</v>
      </c>
      <c r="R9" s="1">
        <v>14926090264.77</v>
      </c>
      <c r="S9" s="8">
        <v>0.65501277000000002</v>
      </c>
      <c r="T9" s="1">
        <v>24253246705.700001</v>
      </c>
      <c r="U9" s="8">
        <v>0.82696807000000006</v>
      </c>
      <c r="V9" s="3">
        <f t="shared" si="2"/>
        <v>39179336970.470001</v>
      </c>
      <c r="W9" s="2">
        <f t="shared" si="3"/>
        <v>0.75178052942292972</v>
      </c>
      <c r="X9" s="1">
        <v>55302789492</v>
      </c>
      <c r="Y9" s="8">
        <v>0.58478896999999996</v>
      </c>
      <c r="Z9" s="3">
        <f t="shared" si="4"/>
        <v>930085813631.05981</v>
      </c>
      <c r="AA9" s="2">
        <f t="shared" si="5"/>
        <v>0.65057226368009358</v>
      </c>
      <c r="AB9" s="16"/>
    </row>
    <row r="10" spans="1:28" x14ac:dyDescent="0.25">
      <c r="A10" s="12" t="s">
        <v>21</v>
      </c>
      <c r="B10" s="1">
        <v>1992529411.3099999</v>
      </c>
      <c r="C10" s="8">
        <v>8.3640080000000006E-2</v>
      </c>
      <c r="D10" s="1">
        <v>47775312527.129997</v>
      </c>
      <c r="E10" s="8">
        <v>0.15865905999999999</v>
      </c>
      <c r="F10" s="1">
        <v>246496030.21000001</v>
      </c>
      <c r="G10" s="8">
        <v>1.8187999999999999E-2</v>
      </c>
      <c r="H10" s="1">
        <v>45903866281.019997</v>
      </c>
      <c r="I10" s="8">
        <v>0.10648102</v>
      </c>
      <c r="J10" s="1">
        <v>25838784773.099998</v>
      </c>
      <c r="K10" s="8">
        <v>0.11565254</v>
      </c>
      <c r="L10" s="6">
        <v>0</v>
      </c>
      <c r="M10" s="6">
        <v>0</v>
      </c>
      <c r="N10" s="1">
        <v>25068168608.759998</v>
      </c>
      <c r="O10" s="8">
        <v>8.9863879999999993E-2</v>
      </c>
      <c r="P10" s="3">
        <f t="shared" si="0"/>
        <v>146825157631.53</v>
      </c>
      <c r="Q10" s="2">
        <f t="shared" si="1"/>
        <v>0.1144426491401543</v>
      </c>
      <c r="R10" s="1">
        <v>265131473</v>
      </c>
      <c r="S10" s="8">
        <v>1.163496E-2</v>
      </c>
      <c r="T10" s="1">
        <v>420602364.14999998</v>
      </c>
      <c r="U10" s="8">
        <v>1.4341370000000001E-2</v>
      </c>
      <c r="V10" s="3">
        <f t="shared" si="2"/>
        <v>685733837.14999998</v>
      </c>
      <c r="W10" s="2">
        <f t="shared" si="3"/>
        <v>1.3157990588875955E-2</v>
      </c>
      <c r="X10" s="1">
        <v>8174190502.3199997</v>
      </c>
      <c r="Y10" s="8">
        <v>8.6436440000000003E-2</v>
      </c>
      <c r="Z10" s="3">
        <f t="shared" si="4"/>
        <v>155685081971</v>
      </c>
      <c r="AA10" s="2">
        <f t="shared" si="5"/>
        <v>0.1088979045962217</v>
      </c>
      <c r="AB10" s="16"/>
    </row>
    <row r="11" spans="1:28" x14ac:dyDescent="0.25">
      <c r="A11" s="12" t="s">
        <v>22</v>
      </c>
      <c r="B11" s="1">
        <v>3023059039.5700002</v>
      </c>
      <c r="C11" s="8">
        <v>0.12689845</v>
      </c>
      <c r="D11" s="1">
        <v>8086069761.9399996</v>
      </c>
      <c r="E11" s="8">
        <v>2.6853370000000001E-2</v>
      </c>
      <c r="F11" s="1">
        <v>1949359649.7</v>
      </c>
      <c r="G11" s="8">
        <v>0.14383576000000001</v>
      </c>
      <c r="H11" s="1">
        <v>12920615195.290001</v>
      </c>
      <c r="I11" s="8">
        <v>2.9971339999999999E-2</v>
      </c>
      <c r="J11" s="1">
        <v>6273402401.5</v>
      </c>
      <c r="K11" s="8">
        <v>2.8079300000000001E-2</v>
      </c>
      <c r="L11" s="1">
        <v>48183145.909999996</v>
      </c>
      <c r="M11" s="8">
        <v>4.3842000000000004E-3</v>
      </c>
      <c r="N11" s="1">
        <v>7770232064.3199997</v>
      </c>
      <c r="O11" s="8">
        <v>2.785458E-2</v>
      </c>
      <c r="P11" s="3">
        <f t="shared" si="0"/>
        <v>40070921258.229996</v>
      </c>
      <c r="Q11" s="2">
        <f t="shared" si="1"/>
        <v>3.1233219539848003E-2</v>
      </c>
      <c r="R11" s="1">
        <v>744364568.99000001</v>
      </c>
      <c r="S11" s="8">
        <v>3.2665510000000002E-2</v>
      </c>
      <c r="T11" s="1">
        <v>959853144.87</v>
      </c>
      <c r="U11" s="8">
        <v>3.2728319999999998E-2</v>
      </c>
      <c r="V11" s="3">
        <f t="shared" si="2"/>
        <v>1704217713.8600001</v>
      </c>
      <c r="W11" s="2">
        <f t="shared" si="3"/>
        <v>3.2700851883819826E-2</v>
      </c>
      <c r="X11" s="1">
        <v>2807959239.9699998</v>
      </c>
      <c r="Y11" s="8">
        <v>2.9692240000000002E-2</v>
      </c>
      <c r="Z11" s="3">
        <f t="shared" si="4"/>
        <v>44583098212.059998</v>
      </c>
      <c r="AA11" s="2">
        <f t="shared" si="5"/>
        <v>3.1184786070930358E-2</v>
      </c>
      <c r="AB11" s="16"/>
    </row>
    <row r="12" spans="1:28" x14ac:dyDescent="0.25">
      <c r="A12" s="12" t="s">
        <v>23</v>
      </c>
      <c r="B12" s="1">
        <v>1293984106.02</v>
      </c>
      <c r="C12" s="8">
        <v>5.4317360000000002E-2</v>
      </c>
      <c r="D12" s="1">
        <v>44872099594.900002</v>
      </c>
      <c r="E12" s="8">
        <v>0.14901766</v>
      </c>
      <c r="F12" s="1">
        <v>515729248.24000001</v>
      </c>
      <c r="G12" s="8">
        <v>3.8053679999999999E-2</v>
      </c>
      <c r="H12" s="1">
        <v>92090323404.289993</v>
      </c>
      <c r="I12" s="8">
        <v>0.21361754999999999</v>
      </c>
      <c r="J12" s="1">
        <v>56774022975.139999</v>
      </c>
      <c r="K12" s="8">
        <v>0.25411643</v>
      </c>
      <c r="L12" s="6">
        <v>0</v>
      </c>
      <c r="M12" s="6">
        <v>0</v>
      </c>
      <c r="N12" s="1">
        <v>24670335288.700001</v>
      </c>
      <c r="O12" s="8">
        <v>8.8437740000000001E-2</v>
      </c>
      <c r="P12" s="3">
        <f t="shared" si="0"/>
        <v>220216494617.28998</v>
      </c>
      <c r="Q12" s="2">
        <f t="shared" si="1"/>
        <v>0.17164741679765888</v>
      </c>
      <c r="R12" s="1">
        <v>6074348759.7600002</v>
      </c>
      <c r="S12" s="8">
        <v>0.26656518000000001</v>
      </c>
      <c r="T12" s="6">
        <v>0</v>
      </c>
      <c r="U12" s="6">
        <v>0</v>
      </c>
      <c r="V12" s="3">
        <f t="shared" si="2"/>
        <v>6074348759.7600002</v>
      </c>
      <c r="W12" s="2">
        <f t="shared" si="3"/>
        <v>0.11655575309898124</v>
      </c>
      <c r="X12" s="1">
        <v>25408748487.700001</v>
      </c>
      <c r="Y12" s="8">
        <v>0.26868004000000001</v>
      </c>
      <c r="Z12" s="3">
        <f t="shared" si="4"/>
        <v>251699591864.75</v>
      </c>
      <c r="AA12" s="2">
        <f t="shared" si="5"/>
        <v>0.17605770440420976</v>
      </c>
      <c r="AB12" s="16"/>
    </row>
    <row r="13" spans="1:28" x14ac:dyDescent="0.25">
      <c r="A13" s="13" t="s">
        <v>24</v>
      </c>
      <c r="B13" s="3">
        <f t="shared" ref="B13:AA13" si="8">SUM(B6:B12)</f>
        <v>23822662563.400002</v>
      </c>
      <c r="C13" s="7">
        <f t="shared" si="8"/>
        <v>1</v>
      </c>
      <c r="D13" s="3">
        <f t="shared" si="8"/>
        <v>301119344075.77002</v>
      </c>
      <c r="E13" s="7">
        <f t="shared" si="8"/>
        <v>1.0000000099999999</v>
      </c>
      <c r="F13" s="3">
        <f t="shared" si="8"/>
        <v>13552676953.870001</v>
      </c>
      <c r="G13" s="7">
        <f t="shared" si="8"/>
        <v>1</v>
      </c>
      <c r="H13" s="3">
        <f t="shared" si="8"/>
        <v>431099062195.88995</v>
      </c>
      <c r="I13" s="7">
        <f t="shared" si="8"/>
        <v>1.0000000099999999</v>
      </c>
      <c r="J13" s="3">
        <f t="shared" si="8"/>
        <v>223417365418.79999</v>
      </c>
      <c r="K13" s="7">
        <f t="shared" si="8"/>
        <v>1.0000000100000002</v>
      </c>
      <c r="L13" s="3">
        <f t="shared" si="8"/>
        <v>10990176775.08</v>
      </c>
      <c r="M13" s="7">
        <f t="shared" si="8"/>
        <v>0.99999999999999989</v>
      </c>
      <c r="N13" s="3">
        <f>SUM(N6:N12)</f>
        <v>278957108512.52002</v>
      </c>
      <c r="O13" s="7">
        <f t="shared" si="8"/>
        <v>1.0000000099999999</v>
      </c>
      <c r="P13" s="3">
        <f t="shared" si="8"/>
        <v>1282958396495.3298</v>
      </c>
      <c r="Q13" s="7">
        <f t="shared" si="8"/>
        <v>1</v>
      </c>
      <c r="R13" s="3">
        <f t="shared" si="8"/>
        <v>22787479910.450001</v>
      </c>
      <c r="S13" s="7">
        <f t="shared" si="8"/>
        <v>1</v>
      </c>
      <c r="T13" s="3">
        <f t="shared" si="8"/>
        <v>29327912065.110001</v>
      </c>
      <c r="U13" s="7">
        <f t="shared" si="8"/>
        <v>1.0000000100000002</v>
      </c>
      <c r="V13" s="3">
        <f t="shared" si="8"/>
        <v>52115391975.560005</v>
      </c>
      <c r="W13" s="7">
        <f t="shared" si="8"/>
        <v>0.99999999999999989</v>
      </c>
      <c r="X13" s="3">
        <f t="shared" si="8"/>
        <v>94568797842.029999</v>
      </c>
      <c r="Y13" s="7">
        <f t="shared" si="8"/>
        <v>1.0000000099999999</v>
      </c>
      <c r="Z13" s="3">
        <f>SUM(Z6:Z12)</f>
        <v>1429642586312.9199</v>
      </c>
      <c r="AA13" s="7">
        <f t="shared" si="8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F5C8-A976-4967-AE87-CEFAA041FFEC}">
  <dimension ref="A1:AB28"/>
  <sheetViews>
    <sheetView showGridLines="0" workbookViewId="0">
      <pane xSplit="1" ySplit="5" topLeftCell="J6" activePane="bottomRight" state="frozen"/>
      <selection pane="topRight" activeCell="B1" sqref="B1"/>
      <selection pane="bottomLeft" activeCell="A6" sqref="A6"/>
      <selection pane="bottomRight" activeCell="P31" sqref="P31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28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1" t="s">
        <v>2</v>
      </c>
      <c r="C4" s="22"/>
      <c r="D4" s="21" t="s">
        <v>3</v>
      </c>
      <c r="E4" s="22"/>
      <c r="F4" s="21" t="s">
        <v>4</v>
      </c>
      <c r="G4" s="22"/>
      <c r="H4" s="21" t="s">
        <v>5</v>
      </c>
      <c r="I4" s="22"/>
      <c r="J4" s="21" t="s">
        <v>6</v>
      </c>
      <c r="K4" s="22"/>
      <c r="L4" s="21" t="s">
        <v>7</v>
      </c>
      <c r="M4" s="22"/>
      <c r="N4" s="21" t="s">
        <v>8</v>
      </c>
      <c r="O4" s="22"/>
      <c r="P4" s="21" t="s">
        <v>9</v>
      </c>
      <c r="Q4" s="22"/>
      <c r="R4" s="21" t="s">
        <v>10</v>
      </c>
      <c r="S4" s="22"/>
      <c r="T4" s="21" t="s">
        <v>11</v>
      </c>
      <c r="U4" s="22"/>
      <c r="V4" s="21" t="s">
        <v>12</v>
      </c>
      <c r="W4" s="22"/>
      <c r="X4" s="23" t="s">
        <v>13</v>
      </c>
      <c r="Y4" s="24"/>
      <c r="Z4" s="21" t="s">
        <v>14</v>
      </c>
      <c r="AA4" s="22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65340278.07</v>
      </c>
      <c r="C6" s="8">
        <v>2.77714E-3</v>
      </c>
      <c r="D6" s="1">
        <v>10281283188.16</v>
      </c>
      <c r="E6" s="8">
        <v>3.3914739999999999E-2</v>
      </c>
      <c r="F6" s="1">
        <v>185974266.40000001</v>
      </c>
      <c r="G6" s="8">
        <v>1.338113E-2</v>
      </c>
      <c r="H6" s="1">
        <v>12153934446.27</v>
      </c>
      <c r="I6" s="8">
        <v>2.79861E-2</v>
      </c>
      <c r="J6" s="1">
        <v>8940450272.2900009</v>
      </c>
      <c r="K6" s="8">
        <v>3.9810779999999997E-2</v>
      </c>
      <c r="L6" s="1">
        <v>2668830822.3699999</v>
      </c>
      <c r="M6" s="8">
        <v>0.24055534000000001</v>
      </c>
      <c r="N6" s="1">
        <v>12620014049.52</v>
      </c>
      <c r="O6" s="8">
        <v>4.4881659999999997E-2</v>
      </c>
      <c r="P6" s="3">
        <f t="shared" ref="P6:P12" si="0">+B6+D6+F6+H6+J6+L6+N6</f>
        <v>46915827323.080002</v>
      </c>
      <c r="Q6" s="2">
        <f t="shared" ref="Q6:Q12" si="1">+P6/$P$13</f>
        <v>3.6320600332632902E-2</v>
      </c>
      <c r="R6" s="1">
        <v>797740933.70000005</v>
      </c>
      <c r="S6" s="8">
        <v>3.5039840000000003E-2</v>
      </c>
      <c r="T6" s="1">
        <v>2286671306.1100001</v>
      </c>
      <c r="U6" s="8">
        <v>7.7958810000000003E-2</v>
      </c>
      <c r="V6" s="3">
        <f t="shared" ref="V6:V12" si="2">R6+T6</f>
        <v>3084412239.8100004</v>
      </c>
      <c r="W6" s="2">
        <f t="shared" ref="W6:W12" si="3">V6/$V$13</f>
        <v>5.9203509942863997E-2</v>
      </c>
      <c r="X6" s="1">
        <v>3547987091.8000002</v>
      </c>
      <c r="Y6" s="8">
        <v>3.7254160000000001E-2</v>
      </c>
      <c r="Z6" s="3">
        <f t="shared" ref="Z6:Z12" si="4">P6+V6+X6</f>
        <v>53548226654.690002</v>
      </c>
      <c r="AA6" s="2">
        <f t="shared" ref="AA6:AA12" si="5">Z6/$Z$13</f>
        <v>3.7210822940527327E-2</v>
      </c>
      <c r="AB6" s="16"/>
    </row>
    <row r="7" spans="1:28" x14ac:dyDescent="0.25">
      <c r="A7" s="12" t="s">
        <v>18</v>
      </c>
      <c r="B7" s="6">
        <v>0</v>
      </c>
      <c r="C7" s="6">
        <v>0</v>
      </c>
      <c r="D7" s="6">
        <v>254918180.87</v>
      </c>
      <c r="E7" s="8">
        <v>8.409E-4</v>
      </c>
      <c r="F7" s="1">
        <v>739023420.64999998</v>
      </c>
      <c r="G7" s="8">
        <v>5.3173869999999998E-2</v>
      </c>
      <c r="H7" s="1">
        <v>101987115.93000001</v>
      </c>
      <c r="I7" s="8">
        <v>2.3483999999999999E-4</v>
      </c>
      <c r="J7" s="6">
        <v>0</v>
      </c>
      <c r="K7" s="6">
        <v>0</v>
      </c>
      <c r="L7" s="6">
        <v>0</v>
      </c>
      <c r="M7" s="6">
        <v>0</v>
      </c>
      <c r="N7" s="1">
        <v>1393922419.5</v>
      </c>
      <c r="O7" s="8">
        <v>4.9573300000000002E-3</v>
      </c>
      <c r="P7" s="3">
        <f t="shared" si="0"/>
        <v>2489851136.9499998</v>
      </c>
      <c r="Q7" s="2">
        <f t="shared" si="1"/>
        <v>1.9275560763355563E-3</v>
      </c>
      <c r="R7" s="6">
        <v>0</v>
      </c>
      <c r="S7" s="6">
        <v>0</v>
      </c>
      <c r="T7" s="1">
        <v>855862096.55999994</v>
      </c>
      <c r="U7" s="8">
        <v>2.917865E-2</v>
      </c>
      <c r="V7" s="3">
        <f t="shared" si="2"/>
        <v>855862096.55999994</v>
      </c>
      <c r="W7" s="2">
        <f t="shared" si="3"/>
        <v>1.6427778196902647E-2</v>
      </c>
      <c r="X7" s="1">
        <v>171131522.41</v>
      </c>
      <c r="Y7" s="8">
        <v>1.7968999999999999E-3</v>
      </c>
      <c r="Z7" s="3">
        <f t="shared" si="4"/>
        <v>3516844755.9199996</v>
      </c>
      <c r="AA7" s="2">
        <f t="shared" si="5"/>
        <v>2.4438659447259103E-3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f t="shared" si="4"/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17145106609.450001</v>
      </c>
      <c r="C9" s="8">
        <v>0.72871485999999996</v>
      </c>
      <c r="D9" s="1">
        <v>191566449922.54999</v>
      </c>
      <c r="E9" s="8">
        <v>0.63191786999999999</v>
      </c>
      <c r="F9" s="1">
        <v>10179384801.15</v>
      </c>
      <c r="G9" s="8">
        <v>0.73242240000000003</v>
      </c>
      <c r="H9" s="1">
        <v>265217058811.48999</v>
      </c>
      <c r="I9" s="8">
        <v>0.61069859000000004</v>
      </c>
      <c r="J9" s="1">
        <v>127057370461.75999</v>
      </c>
      <c r="K9" s="8">
        <v>0.56577155000000001</v>
      </c>
      <c r="L9" s="1">
        <v>8377143382.9899998</v>
      </c>
      <c r="M9" s="8">
        <v>0.75507468</v>
      </c>
      <c r="N9" s="1">
        <v>208087004986.04001</v>
      </c>
      <c r="O9" s="8">
        <v>0.74003801000000002</v>
      </c>
      <c r="P9" s="3">
        <f t="shared" si="0"/>
        <v>827629518975.43005</v>
      </c>
      <c r="Q9" s="2">
        <f t="shared" si="1"/>
        <v>0.64072196308489593</v>
      </c>
      <c r="R9" s="1">
        <v>14885272996.42</v>
      </c>
      <c r="S9" s="8">
        <v>0.65381831999999995</v>
      </c>
      <c r="T9" s="1">
        <v>24811568089.779999</v>
      </c>
      <c r="U9" s="8">
        <v>0.84589345999999999</v>
      </c>
      <c r="V9" s="3">
        <f t="shared" si="2"/>
        <v>39696841086.199997</v>
      </c>
      <c r="W9" s="2">
        <f t="shared" si="3"/>
        <v>0.76195791717254535</v>
      </c>
      <c r="X9" s="1">
        <v>55239286596.010002</v>
      </c>
      <c r="Y9" s="8">
        <v>0.58001716999999997</v>
      </c>
      <c r="Z9" s="3">
        <f t="shared" si="4"/>
        <v>922565646657.64001</v>
      </c>
      <c r="AA9" s="2">
        <f t="shared" si="5"/>
        <v>0.64109362855592922</v>
      </c>
      <c r="AB9" s="16"/>
    </row>
    <row r="10" spans="1:28" x14ac:dyDescent="0.25">
      <c r="A10" s="12" t="s">
        <v>21</v>
      </c>
      <c r="B10" s="1">
        <v>2002893859.78</v>
      </c>
      <c r="C10" s="8">
        <v>8.5128579999999995E-2</v>
      </c>
      <c r="D10" s="1">
        <v>47965181555.959999</v>
      </c>
      <c r="E10" s="8">
        <v>0.15822215000000001</v>
      </c>
      <c r="F10" s="1">
        <v>248812406.44</v>
      </c>
      <c r="G10" s="8">
        <v>1.7902439999999999E-2</v>
      </c>
      <c r="H10" s="1">
        <v>45827138669.779999</v>
      </c>
      <c r="I10" s="8">
        <v>0.10552325999999999</v>
      </c>
      <c r="J10" s="1">
        <v>25810376415.380001</v>
      </c>
      <c r="K10" s="8">
        <v>0.11493058</v>
      </c>
      <c r="L10" s="6">
        <v>0</v>
      </c>
      <c r="M10" s="6">
        <v>0</v>
      </c>
      <c r="N10" s="1">
        <v>25029310700.27</v>
      </c>
      <c r="O10" s="8">
        <v>8.9013930000000005E-2</v>
      </c>
      <c r="P10" s="3">
        <f t="shared" si="0"/>
        <v>146883713607.60999</v>
      </c>
      <c r="Q10" s="2">
        <f t="shared" si="1"/>
        <v>0.11371225792474593</v>
      </c>
      <c r="R10" s="1">
        <v>266930624.46000001</v>
      </c>
      <c r="S10" s="8">
        <v>1.172462E-2</v>
      </c>
      <c r="T10" s="1">
        <v>417369730.69</v>
      </c>
      <c r="U10" s="8">
        <v>1.4229260000000001E-2</v>
      </c>
      <c r="V10" s="3">
        <f t="shared" si="2"/>
        <v>684300355.14999998</v>
      </c>
      <c r="W10" s="2">
        <f t="shared" si="3"/>
        <v>1.3134749744905689E-2</v>
      </c>
      <c r="X10" s="1">
        <v>8076211493.3299999</v>
      </c>
      <c r="Y10" s="8">
        <v>8.4800899999999999E-2</v>
      </c>
      <c r="Z10" s="3">
        <f t="shared" si="4"/>
        <v>155644225456.08997</v>
      </c>
      <c r="AA10" s="2">
        <f t="shared" si="5"/>
        <v>0.10815763802058272</v>
      </c>
      <c r="AB10" s="16"/>
    </row>
    <row r="11" spans="1:28" x14ac:dyDescent="0.25">
      <c r="A11" s="12" t="s">
        <v>22</v>
      </c>
      <c r="B11" s="1">
        <v>3027913753.5799999</v>
      </c>
      <c r="C11" s="8">
        <v>0.12869478000000001</v>
      </c>
      <c r="D11" s="1">
        <v>8075104374.7600002</v>
      </c>
      <c r="E11" s="8">
        <v>2.6637250000000001E-2</v>
      </c>
      <c r="F11" s="1">
        <v>1939812221.1800001</v>
      </c>
      <c r="G11" s="8">
        <v>0.13957247</v>
      </c>
      <c r="H11" s="1">
        <v>12893741920.559999</v>
      </c>
      <c r="I11" s="8">
        <v>2.9689610000000002E-2</v>
      </c>
      <c r="J11" s="1">
        <v>6251344501.1499996</v>
      </c>
      <c r="K11" s="8">
        <v>2.78365E-2</v>
      </c>
      <c r="L11" s="1">
        <v>48482479.890000001</v>
      </c>
      <c r="M11" s="8">
        <v>4.3699699999999999E-3</v>
      </c>
      <c r="N11" s="1">
        <v>7723014554.0100002</v>
      </c>
      <c r="O11" s="8">
        <v>2.7466029999999999E-2</v>
      </c>
      <c r="P11" s="3">
        <f t="shared" si="0"/>
        <v>39959413805.130005</v>
      </c>
      <c r="Q11" s="2">
        <f t="shared" si="1"/>
        <v>3.0935187145861895E-2</v>
      </c>
      <c r="R11" s="1">
        <v>745366712.17999995</v>
      </c>
      <c r="S11" s="8">
        <v>3.2739369999999997E-2</v>
      </c>
      <c r="T11" s="1">
        <v>960317257.10000002</v>
      </c>
      <c r="U11" s="8">
        <v>3.2739810000000001E-2</v>
      </c>
      <c r="V11" s="3">
        <f t="shared" si="2"/>
        <v>1705683969.28</v>
      </c>
      <c r="W11" s="2">
        <f t="shared" si="3"/>
        <v>3.2739617788857145E-2</v>
      </c>
      <c r="X11" s="1">
        <v>2767311576.6799998</v>
      </c>
      <c r="Y11" s="8">
        <v>2.9056999999999999E-2</v>
      </c>
      <c r="Z11" s="3">
        <f t="shared" si="4"/>
        <v>44432409351.090004</v>
      </c>
      <c r="AA11" s="2">
        <f t="shared" si="5"/>
        <v>3.0876214218004013E-2</v>
      </c>
      <c r="AB11" s="16"/>
    </row>
    <row r="12" spans="1:28" x14ac:dyDescent="0.25">
      <c r="A12" s="12" t="s">
        <v>23</v>
      </c>
      <c r="B12" s="1">
        <v>1286612786.75</v>
      </c>
      <c r="C12" s="8">
        <v>5.4684629999999998E-2</v>
      </c>
      <c r="D12" s="1">
        <v>45007930492.800003</v>
      </c>
      <c r="E12" s="8">
        <v>0.14846709999999999</v>
      </c>
      <c r="F12" s="1">
        <v>605236375.17999995</v>
      </c>
      <c r="G12" s="8">
        <v>4.354769E-2</v>
      </c>
      <c r="H12" s="1">
        <v>98090845057.369995</v>
      </c>
      <c r="I12" s="8">
        <v>0.2258676</v>
      </c>
      <c r="J12" s="1">
        <v>56514086330.300003</v>
      </c>
      <c r="K12" s="8">
        <v>0.25165059000000001</v>
      </c>
      <c r="L12" s="6">
        <v>0</v>
      </c>
      <c r="M12" s="6">
        <v>0</v>
      </c>
      <c r="N12" s="1">
        <v>26330947177.23</v>
      </c>
      <c r="O12" s="8">
        <v>9.3643050000000005E-2</v>
      </c>
      <c r="P12" s="3">
        <f t="shared" si="0"/>
        <v>227835658219.63004</v>
      </c>
      <c r="Q12" s="2">
        <f t="shared" si="1"/>
        <v>0.17638243543552784</v>
      </c>
      <c r="R12" s="1">
        <v>6071369461.7799997</v>
      </c>
      <c r="S12" s="8">
        <v>0.26667784999999999</v>
      </c>
      <c r="T12" s="6">
        <v>0</v>
      </c>
      <c r="U12" s="6">
        <v>0</v>
      </c>
      <c r="V12" s="3">
        <f t="shared" si="2"/>
        <v>6071369461.7799997</v>
      </c>
      <c r="W12" s="2">
        <f t="shared" si="3"/>
        <v>0.11653642715392509</v>
      </c>
      <c r="X12" s="1">
        <v>25435401821.639999</v>
      </c>
      <c r="Y12" s="8">
        <v>0.26707386</v>
      </c>
      <c r="Z12" s="3">
        <f t="shared" si="4"/>
        <v>259342429503.05005</v>
      </c>
      <c r="AA12" s="2">
        <f t="shared" si="5"/>
        <v>0.18021783032023087</v>
      </c>
      <c r="AB12" s="16"/>
    </row>
    <row r="13" spans="1:28" x14ac:dyDescent="0.25">
      <c r="A13" s="13" t="s">
        <v>24</v>
      </c>
      <c r="B13" s="3">
        <f t="shared" ref="B13:AA13" si="6">SUM(B6:B12)</f>
        <v>23527867287.629997</v>
      </c>
      <c r="C13" s="7">
        <f t="shared" si="6"/>
        <v>0.99999998999999995</v>
      </c>
      <c r="D13" s="3">
        <f t="shared" si="6"/>
        <v>303150867715.09998</v>
      </c>
      <c r="E13" s="7">
        <f t="shared" si="6"/>
        <v>1.0000000099999999</v>
      </c>
      <c r="F13" s="3">
        <f t="shared" si="6"/>
        <v>13898243491</v>
      </c>
      <c r="G13" s="7">
        <f t="shared" si="6"/>
        <v>1</v>
      </c>
      <c r="H13" s="3">
        <f t="shared" si="6"/>
        <v>434284706021.39996</v>
      </c>
      <c r="I13" s="7">
        <f t="shared" si="6"/>
        <v>1</v>
      </c>
      <c r="J13" s="3">
        <f t="shared" si="6"/>
        <v>224573627980.88</v>
      </c>
      <c r="K13" s="7">
        <f t="shared" si="6"/>
        <v>1</v>
      </c>
      <c r="L13" s="3">
        <f t="shared" si="6"/>
        <v>11094456685.25</v>
      </c>
      <c r="M13" s="7">
        <f t="shared" si="6"/>
        <v>0.99999998999999995</v>
      </c>
      <c r="N13" s="3">
        <f>SUM(N6:N12)</f>
        <v>281184213886.57001</v>
      </c>
      <c r="O13" s="7">
        <f t="shared" si="6"/>
        <v>1.0000000100000002</v>
      </c>
      <c r="P13" s="3">
        <f t="shared" si="6"/>
        <v>1291713983067.8301</v>
      </c>
      <c r="Q13" s="7">
        <f t="shared" si="6"/>
        <v>1</v>
      </c>
      <c r="R13" s="3">
        <f t="shared" si="6"/>
        <v>22766680728.540001</v>
      </c>
      <c r="S13" s="7">
        <f t="shared" si="6"/>
        <v>1</v>
      </c>
      <c r="T13" s="3">
        <f t="shared" si="6"/>
        <v>29331788480.239994</v>
      </c>
      <c r="U13" s="7">
        <f t="shared" si="6"/>
        <v>0.99999999000000006</v>
      </c>
      <c r="V13" s="3">
        <f t="shared" si="6"/>
        <v>52098469208.779999</v>
      </c>
      <c r="W13" s="7">
        <f t="shared" si="6"/>
        <v>0.99999999999999989</v>
      </c>
      <c r="X13" s="3">
        <f t="shared" si="6"/>
        <v>95237330101.869995</v>
      </c>
      <c r="Y13" s="7">
        <f t="shared" si="6"/>
        <v>0.99999998999999995</v>
      </c>
      <c r="Z13" s="3">
        <f>SUM(Z6:Z12)</f>
        <v>1439049782378.48</v>
      </c>
      <c r="AA13" s="7">
        <f t="shared" si="6"/>
        <v>1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2E31-6F33-4270-8676-182777EDC329}">
  <dimension ref="A1:AB28"/>
  <sheetViews>
    <sheetView showGridLines="0" tabSelected="1" workbookViewId="0">
      <pane xSplit="1" ySplit="5" topLeftCell="J6" activePane="bottomRight" state="frozen"/>
      <selection pane="topRight" activeCell="B1" sqref="B1"/>
      <selection pane="bottomLeft" activeCell="A6" sqref="A6"/>
      <selection pane="bottomRight" activeCell="AA18" sqref="AA18"/>
    </sheetView>
  </sheetViews>
  <sheetFormatPr baseColWidth="10" defaultColWidth="9.140625" defaultRowHeight="15" x14ac:dyDescent="0.25"/>
  <cols>
    <col min="1" max="1" width="13.85546875" style="14" customWidth="1"/>
    <col min="2" max="2" width="17.28515625" style="14" customWidth="1"/>
    <col min="3" max="3" width="9.42578125" style="15" bestFit="1" customWidth="1"/>
    <col min="4" max="4" width="18.85546875" style="15" bestFit="1" customWidth="1"/>
    <col min="5" max="5" width="10.42578125" style="15" customWidth="1"/>
    <col min="6" max="6" width="18.85546875" style="14" customWidth="1"/>
    <col min="7" max="7" width="8.85546875" style="15" customWidth="1"/>
    <col min="8" max="8" width="19.42578125" style="14" customWidth="1"/>
    <col min="9" max="9" width="8.85546875" style="15" customWidth="1"/>
    <col min="10" max="10" width="17.85546875" style="14" bestFit="1" customWidth="1"/>
    <col min="11" max="11" width="8.85546875" style="14" customWidth="1"/>
    <col min="12" max="12" width="17.85546875" style="14" customWidth="1"/>
    <col min="13" max="13" width="8.85546875" style="14" customWidth="1"/>
    <col min="14" max="14" width="17.85546875" style="14" customWidth="1"/>
    <col min="15" max="15" width="8.85546875" style="14" customWidth="1"/>
    <col min="16" max="16" width="18.85546875" style="14" bestFit="1" customWidth="1"/>
    <col min="17" max="17" width="9.42578125" style="14" bestFit="1" customWidth="1"/>
    <col min="18" max="18" width="17.85546875" style="14" bestFit="1" customWidth="1"/>
    <col min="19" max="19" width="10.5703125" style="14" customWidth="1"/>
    <col min="20" max="20" width="19" style="14" bestFit="1" customWidth="1"/>
    <col min="21" max="21" width="9.140625" style="14" customWidth="1"/>
    <col min="22" max="22" width="19" style="14" bestFit="1" customWidth="1"/>
    <col min="23" max="23" width="9.42578125" style="14" customWidth="1"/>
    <col min="24" max="24" width="17.85546875" style="14" bestFit="1" customWidth="1"/>
    <col min="25" max="25" width="8.85546875" style="14" customWidth="1"/>
    <col min="26" max="26" width="18.5703125" style="14" customWidth="1"/>
    <col min="27" max="27" width="9.42578125" style="14" bestFit="1" customWidth="1"/>
    <col min="28" max="28" width="23" style="14" customWidth="1"/>
    <col min="29" max="16384" width="9.140625" style="14"/>
  </cols>
  <sheetData>
    <row r="1" spans="1:28" ht="18.600000000000001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/>
      <c r="Y1"/>
      <c r="Z1"/>
      <c r="AA1"/>
      <c r="AB1"/>
    </row>
    <row r="2" spans="1:28" x14ac:dyDescent="0.25">
      <c r="A2" s="26" t="s">
        <v>29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/>
      <c r="Y2"/>
      <c r="Z2"/>
      <c r="AA2"/>
      <c r="AB2"/>
    </row>
    <row r="3" spans="1:28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/>
      <c r="Y3"/>
      <c r="Z3"/>
      <c r="AA3"/>
      <c r="AB3"/>
    </row>
    <row r="4" spans="1:28" ht="33.75" customHeight="1" x14ac:dyDescent="0.25">
      <c r="A4" s="27" t="s">
        <v>1</v>
      </c>
      <c r="B4" s="21" t="s">
        <v>2</v>
      </c>
      <c r="C4" s="22"/>
      <c r="D4" s="21" t="s">
        <v>3</v>
      </c>
      <c r="E4" s="22"/>
      <c r="F4" s="21" t="s">
        <v>4</v>
      </c>
      <c r="G4" s="22"/>
      <c r="H4" s="21" t="s">
        <v>5</v>
      </c>
      <c r="I4" s="22"/>
      <c r="J4" s="21" t="s">
        <v>6</v>
      </c>
      <c r="K4" s="22"/>
      <c r="L4" s="21" t="s">
        <v>7</v>
      </c>
      <c r="M4" s="22"/>
      <c r="N4" s="21" t="s">
        <v>8</v>
      </c>
      <c r="O4" s="22"/>
      <c r="P4" s="21" t="s">
        <v>9</v>
      </c>
      <c r="Q4" s="22"/>
      <c r="R4" s="21" t="s">
        <v>10</v>
      </c>
      <c r="S4" s="22"/>
      <c r="T4" s="21" t="s">
        <v>11</v>
      </c>
      <c r="U4" s="22"/>
      <c r="V4" s="21" t="s">
        <v>12</v>
      </c>
      <c r="W4" s="22"/>
      <c r="X4" s="23" t="s">
        <v>13</v>
      </c>
      <c r="Y4" s="24"/>
      <c r="Z4" s="21" t="s">
        <v>14</v>
      </c>
      <c r="AA4" s="22"/>
    </row>
    <row r="5" spans="1:28" ht="31.5" customHeight="1" x14ac:dyDescent="0.25">
      <c r="A5" s="27"/>
      <c r="B5" s="10" t="s">
        <v>15</v>
      </c>
      <c r="C5" s="4" t="s">
        <v>16</v>
      </c>
      <c r="D5" s="10" t="s">
        <v>15</v>
      </c>
      <c r="E5" s="11" t="s">
        <v>16</v>
      </c>
      <c r="F5" s="10" t="s">
        <v>15</v>
      </c>
      <c r="G5" s="4" t="s">
        <v>16</v>
      </c>
      <c r="H5" s="10" t="s">
        <v>15</v>
      </c>
      <c r="I5" s="11" t="s">
        <v>16</v>
      </c>
      <c r="J5" s="10" t="s">
        <v>15</v>
      </c>
      <c r="K5" s="11" t="s">
        <v>16</v>
      </c>
      <c r="L5" s="10" t="s">
        <v>15</v>
      </c>
      <c r="M5" s="11" t="s">
        <v>16</v>
      </c>
      <c r="N5" s="10" t="s">
        <v>15</v>
      </c>
      <c r="O5" s="11" t="s">
        <v>16</v>
      </c>
      <c r="P5" s="10" t="s">
        <v>15</v>
      </c>
      <c r="Q5" s="11" t="s">
        <v>16</v>
      </c>
      <c r="R5" s="10" t="s">
        <v>15</v>
      </c>
      <c r="S5" s="11" t="s">
        <v>16</v>
      </c>
      <c r="T5" s="10" t="s">
        <v>15</v>
      </c>
      <c r="U5" s="11" t="s">
        <v>16</v>
      </c>
      <c r="V5" s="10" t="s">
        <v>15</v>
      </c>
      <c r="W5" s="11" t="s">
        <v>16</v>
      </c>
      <c r="X5" s="10" t="s">
        <v>15</v>
      </c>
      <c r="Y5" s="11" t="s">
        <v>16</v>
      </c>
      <c r="Z5" s="10" t="s">
        <v>15</v>
      </c>
      <c r="AA5" s="11" t="s">
        <v>16</v>
      </c>
    </row>
    <row r="6" spans="1:28" x14ac:dyDescent="0.25">
      <c r="A6" s="12" t="s">
        <v>17</v>
      </c>
      <c r="B6" s="6">
        <v>55312134.43</v>
      </c>
      <c r="C6" s="8">
        <v>2.3060099999999998E-3</v>
      </c>
      <c r="D6" s="1">
        <v>2164766735.1199999</v>
      </c>
      <c r="E6" s="8">
        <v>7.0946200000000003E-3</v>
      </c>
      <c r="F6" s="1">
        <v>182348663.84</v>
      </c>
      <c r="G6" s="8">
        <v>1.3027230000000001E-2</v>
      </c>
      <c r="H6" s="1">
        <v>12385389941.09</v>
      </c>
      <c r="I6" s="8">
        <v>2.838454E-2</v>
      </c>
      <c r="J6" s="1">
        <v>3598098880.71</v>
      </c>
      <c r="K6" s="8">
        <v>1.5922349999999998E-2</v>
      </c>
      <c r="L6" s="1">
        <v>2734198012.1999998</v>
      </c>
      <c r="M6" s="8">
        <v>0.24499631999999999</v>
      </c>
      <c r="N6" s="1">
        <v>11367816675.389999</v>
      </c>
      <c r="O6" s="8">
        <v>4.0179310000000003E-2</v>
      </c>
      <c r="P6" s="3">
        <f t="shared" ref="P6:P12" si="0">+B6+D6+F6+H6+J6+L6+N6</f>
        <v>32487931042.779999</v>
      </c>
      <c r="Q6" s="2">
        <f t="shared" ref="Q6:Q12" si="1">+P6/$P$13</f>
        <v>2.4999952515192325E-2</v>
      </c>
      <c r="R6" s="1">
        <v>1324278173.5599999</v>
      </c>
      <c r="S6" s="8">
        <v>5.8269590000000003E-2</v>
      </c>
      <c r="T6" s="1">
        <v>2364977014.96</v>
      </c>
      <c r="U6" s="8">
        <v>8.0809140000000002E-2</v>
      </c>
      <c r="V6" s="3">
        <f t="shared" ref="V6:V12" si="2">R6+T6</f>
        <v>3689255188.52</v>
      </c>
      <c r="W6" s="2">
        <f t="shared" ref="W6:W12" si="3">V6/$V$13</f>
        <v>7.0956828484033632E-2</v>
      </c>
      <c r="X6" s="1">
        <v>1765894784.23</v>
      </c>
      <c r="Y6" s="8">
        <v>1.846451E-2</v>
      </c>
      <c r="Z6" s="3">
        <f t="shared" ref="Z6:Z12" si="4">P6+V6+X6</f>
        <v>37943081015.529999</v>
      </c>
      <c r="AA6" s="2">
        <f t="shared" ref="AA6:AA12" si="5">Z6/$Z$13</f>
        <v>2.6219178182928848E-2</v>
      </c>
      <c r="AB6" s="16"/>
    </row>
    <row r="7" spans="1:28" x14ac:dyDescent="0.25">
      <c r="A7" s="12" t="s">
        <v>18</v>
      </c>
      <c r="B7" s="6">
        <v>100454428.84</v>
      </c>
      <c r="C7" s="8">
        <v>4.1880299999999997E-3</v>
      </c>
      <c r="D7" s="6">
        <v>286950597.80000001</v>
      </c>
      <c r="E7" s="8">
        <v>9.4043000000000002E-4</v>
      </c>
      <c r="F7" s="1">
        <v>344134435.27999997</v>
      </c>
      <c r="G7" s="8">
        <v>2.458542E-2</v>
      </c>
      <c r="H7" s="1">
        <v>100567302.06</v>
      </c>
      <c r="I7" s="8">
        <v>2.3048E-4</v>
      </c>
      <c r="J7" s="6">
        <v>0</v>
      </c>
      <c r="K7" s="6">
        <v>0</v>
      </c>
      <c r="L7" s="6">
        <v>0</v>
      </c>
      <c r="M7" s="6">
        <v>0</v>
      </c>
      <c r="N7" s="1">
        <v>1327519821.4300001</v>
      </c>
      <c r="O7" s="8">
        <v>4.6920900000000003E-3</v>
      </c>
      <c r="P7" s="3">
        <f t="shared" si="0"/>
        <v>2159626585.4099998</v>
      </c>
      <c r="Q7" s="2">
        <f t="shared" si="1"/>
        <v>1.6618652020254027E-3</v>
      </c>
      <c r="R7" s="6">
        <v>0</v>
      </c>
      <c r="S7" s="6">
        <v>0</v>
      </c>
      <c r="T7" s="1">
        <v>377740015.57999998</v>
      </c>
      <c r="U7" s="8">
        <v>1.290704E-2</v>
      </c>
      <c r="V7" s="3">
        <f t="shared" si="2"/>
        <v>377740015.57999998</v>
      </c>
      <c r="W7" s="2">
        <f t="shared" si="3"/>
        <v>7.265215369343634E-3</v>
      </c>
      <c r="X7" s="1">
        <v>181447639</v>
      </c>
      <c r="Y7" s="8">
        <v>1.8972500000000001E-3</v>
      </c>
      <c r="Z7" s="3">
        <f t="shared" si="4"/>
        <v>2718814239.9899998</v>
      </c>
      <c r="AA7" s="2">
        <f t="shared" si="5"/>
        <v>1.8787371266820768E-3</v>
      </c>
      <c r="AB7" s="16"/>
    </row>
    <row r="8" spans="1:28" x14ac:dyDescent="0.25">
      <c r="A8" s="12" t="s">
        <v>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9">
        <f t="shared" si="0"/>
        <v>0</v>
      </c>
      <c r="Q8" s="19">
        <f t="shared" si="1"/>
        <v>0</v>
      </c>
      <c r="R8" s="6">
        <v>0</v>
      </c>
      <c r="S8" s="6">
        <v>0</v>
      </c>
      <c r="T8" s="6">
        <v>0</v>
      </c>
      <c r="U8" s="6">
        <v>0</v>
      </c>
      <c r="V8" s="19">
        <f t="shared" si="2"/>
        <v>0</v>
      </c>
      <c r="W8" s="19">
        <f t="shared" si="3"/>
        <v>0</v>
      </c>
      <c r="X8" s="6">
        <v>0</v>
      </c>
      <c r="Y8" s="6">
        <v>0</v>
      </c>
      <c r="Z8" s="19">
        <f t="shared" si="4"/>
        <v>0</v>
      </c>
      <c r="AA8" s="19">
        <f t="shared" si="5"/>
        <v>0</v>
      </c>
      <c r="AB8" s="16"/>
    </row>
    <row r="9" spans="1:28" x14ac:dyDescent="0.25">
      <c r="A9" s="12" t="s">
        <v>20</v>
      </c>
      <c r="B9" s="1">
        <v>17494779010.389999</v>
      </c>
      <c r="C9" s="8">
        <v>0.72937147000000002</v>
      </c>
      <c r="D9" s="1">
        <v>199608515887.54999</v>
      </c>
      <c r="E9" s="8">
        <v>0.65417943999999995</v>
      </c>
      <c r="F9" s="1">
        <v>10560881035.73</v>
      </c>
      <c r="G9" s="8">
        <v>0.75448345000000006</v>
      </c>
      <c r="H9" s="1">
        <v>263313308487.54999</v>
      </c>
      <c r="I9" s="8">
        <v>0.60345512999999995</v>
      </c>
      <c r="J9" s="1">
        <v>131968591552.33</v>
      </c>
      <c r="K9" s="8">
        <v>0.58398886999999999</v>
      </c>
      <c r="L9" s="1">
        <v>8377110586.8000002</v>
      </c>
      <c r="M9" s="8">
        <v>0.75062642000000002</v>
      </c>
      <c r="N9" s="1">
        <v>209793916577.70001</v>
      </c>
      <c r="O9" s="8">
        <v>0.74151219000000002</v>
      </c>
      <c r="P9" s="3">
        <f t="shared" si="0"/>
        <v>841117103138.05005</v>
      </c>
      <c r="Q9" s="2">
        <f t="shared" si="1"/>
        <v>0.64725228610211971</v>
      </c>
      <c r="R9" s="1">
        <v>14349880890.01</v>
      </c>
      <c r="S9" s="8">
        <v>0.63140934999999998</v>
      </c>
      <c r="T9" s="1">
        <v>25163064453.080002</v>
      </c>
      <c r="U9" s="8">
        <v>0.85979928999999999</v>
      </c>
      <c r="V9" s="3">
        <f t="shared" si="2"/>
        <v>39512945343.090004</v>
      </c>
      <c r="W9" s="2">
        <f t="shared" si="3"/>
        <v>0.75996729484397207</v>
      </c>
      <c r="X9" s="1">
        <v>54748601126.910004</v>
      </c>
      <c r="Y9" s="8">
        <v>0.57246116000000002</v>
      </c>
      <c r="Z9" s="3">
        <f t="shared" si="4"/>
        <v>935378649608.05005</v>
      </c>
      <c r="AA9" s="2">
        <f t="shared" si="5"/>
        <v>0.64635919978514333</v>
      </c>
      <c r="AB9" s="16"/>
    </row>
    <row r="10" spans="1:28" x14ac:dyDescent="0.25">
      <c r="A10" s="12" t="s">
        <v>21</v>
      </c>
      <c r="B10" s="1">
        <v>2055583257.5</v>
      </c>
      <c r="C10" s="8">
        <v>8.5698930000000006E-2</v>
      </c>
      <c r="D10" s="1">
        <v>48326334715.620003</v>
      </c>
      <c r="E10" s="8">
        <v>0.15838049000000001</v>
      </c>
      <c r="F10" s="1">
        <v>254206248.84999999</v>
      </c>
      <c r="G10" s="8">
        <v>1.8160829999999999E-2</v>
      </c>
      <c r="H10" s="1">
        <v>46347260596.860001</v>
      </c>
      <c r="I10" s="8">
        <v>0.10621754</v>
      </c>
      <c r="J10" s="1">
        <v>26284385821.529999</v>
      </c>
      <c r="K10" s="8">
        <v>0.11631395</v>
      </c>
      <c r="L10" s="6">
        <v>0</v>
      </c>
      <c r="M10" s="6">
        <v>0</v>
      </c>
      <c r="N10" s="1">
        <v>25228525090.73</v>
      </c>
      <c r="O10" s="8">
        <v>8.9169689999999996E-2</v>
      </c>
      <c r="P10" s="3">
        <f t="shared" si="0"/>
        <v>148496295731.09</v>
      </c>
      <c r="Q10" s="2">
        <f t="shared" si="1"/>
        <v>0.11427013733409894</v>
      </c>
      <c r="R10" s="1">
        <v>268281413.66999999</v>
      </c>
      <c r="S10" s="8">
        <v>1.180466E-2</v>
      </c>
      <c r="T10" s="1">
        <v>410385762.25999999</v>
      </c>
      <c r="U10" s="8">
        <v>1.402251E-2</v>
      </c>
      <c r="V10" s="3">
        <f t="shared" si="2"/>
        <v>678667175.92999995</v>
      </c>
      <c r="W10" s="2">
        <f t="shared" si="3"/>
        <v>1.3053060289799854E-2</v>
      </c>
      <c r="X10" s="1">
        <v>8114826234.0500002</v>
      </c>
      <c r="Y10" s="8">
        <v>8.485007E-2</v>
      </c>
      <c r="Z10" s="3">
        <f t="shared" si="4"/>
        <v>157289789141.06998</v>
      </c>
      <c r="AA10" s="2">
        <f t="shared" si="5"/>
        <v>0.1086893551463856</v>
      </c>
      <c r="AB10" s="16"/>
    </row>
    <row r="11" spans="1:28" x14ac:dyDescent="0.25">
      <c r="A11" s="12" t="s">
        <v>22</v>
      </c>
      <c r="B11" s="1">
        <v>3010661362.3499999</v>
      </c>
      <c r="C11" s="8">
        <v>0.12551689999999999</v>
      </c>
      <c r="D11" s="1">
        <v>8151656801.3400002</v>
      </c>
      <c r="E11" s="8">
        <v>2.671552E-2</v>
      </c>
      <c r="F11" s="1">
        <v>1932184088.71</v>
      </c>
      <c r="G11" s="8">
        <v>0.13803781000000001</v>
      </c>
      <c r="H11" s="1">
        <v>12784372544.6</v>
      </c>
      <c r="I11" s="8">
        <v>2.9298919999999999E-2</v>
      </c>
      <c r="J11" s="1">
        <v>6252189058.3800001</v>
      </c>
      <c r="K11" s="8">
        <v>2.7667259999999999E-2</v>
      </c>
      <c r="L11" s="1">
        <v>48850859.100000001</v>
      </c>
      <c r="M11" s="8">
        <v>4.3772500000000001E-3</v>
      </c>
      <c r="N11" s="1">
        <v>7666606727.2299995</v>
      </c>
      <c r="O11" s="8">
        <v>2.709746E-2</v>
      </c>
      <c r="P11" s="3">
        <f t="shared" si="0"/>
        <v>39846521441.709999</v>
      </c>
      <c r="Q11" s="2">
        <f t="shared" si="1"/>
        <v>3.0662498717649984E-2</v>
      </c>
      <c r="R11" s="1">
        <v>748676633.90999997</v>
      </c>
      <c r="S11" s="8">
        <v>3.2942529999999998E-2</v>
      </c>
      <c r="T11" s="1">
        <v>950040225.05999994</v>
      </c>
      <c r="U11" s="8">
        <v>3.2462020000000001E-2</v>
      </c>
      <c r="V11" s="3">
        <f t="shared" si="2"/>
        <v>1698716858.9699998</v>
      </c>
      <c r="W11" s="2">
        <f t="shared" si="3"/>
        <v>3.2672058354744841E-2</v>
      </c>
      <c r="X11" s="1">
        <v>2775767512.3800001</v>
      </c>
      <c r="Y11" s="8">
        <v>2.9023920000000002E-2</v>
      </c>
      <c r="Z11" s="3">
        <f t="shared" si="4"/>
        <v>44321005813.059998</v>
      </c>
      <c r="AA11" s="2">
        <f t="shared" si="5"/>
        <v>3.0626409810621792E-2</v>
      </c>
      <c r="AB11" s="16"/>
    </row>
    <row r="12" spans="1:28" x14ac:dyDescent="0.25">
      <c r="A12" s="12" t="s">
        <v>23</v>
      </c>
      <c r="B12" s="1">
        <v>1269312476.5699999</v>
      </c>
      <c r="C12" s="8">
        <v>5.2918659999999999E-2</v>
      </c>
      <c r="D12" s="1">
        <v>46589854895.839996</v>
      </c>
      <c r="E12" s="8">
        <v>0.15268950000000001</v>
      </c>
      <c r="F12" s="1">
        <v>723744075.48000002</v>
      </c>
      <c r="G12" s="8">
        <v>5.170524E-2</v>
      </c>
      <c r="H12" s="1">
        <v>101411914887.7</v>
      </c>
      <c r="I12" s="8">
        <v>0.23241339999999999</v>
      </c>
      <c r="J12" s="1">
        <v>57874658249.970001</v>
      </c>
      <c r="K12" s="8">
        <v>0.25610758</v>
      </c>
      <c r="L12" s="6">
        <v>0</v>
      </c>
      <c r="M12" s="6">
        <v>0</v>
      </c>
      <c r="N12" s="1">
        <v>27542747484.34</v>
      </c>
      <c r="O12" s="8">
        <v>9.7349260000000007E-2</v>
      </c>
      <c r="P12" s="3">
        <f t="shared" si="0"/>
        <v>235412232069.89999</v>
      </c>
      <c r="Q12" s="2">
        <f t="shared" si="1"/>
        <v>0.1811532601289137</v>
      </c>
      <c r="R12" s="1">
        <v>6035630392.6400003</v>
      </c>
      <c r="S12" s="8">
        <v>0.26557386999999999</v>
      </c>
      <c r="T12" s="6">
        <v>0</v>
      </c>
      <c r="U12" s="6">
        <v>0</v>
      </c>
      <c r="V12" s="3">
        <f t="shared" si="2"/>
        <v>6035630392.6400003</v>
      </c>
      <c r="W12" s="2">
        <f t="shared" si="3"/>
        <v>0.11608554265810592</v>
      </c>
      <c r="X12" s="1">
        <v>28050695050.810001</v>
      </c>
      <c r="Y12" s="8">
        <v>0.29330307999999999</v>
      </c>
      <c r="Z12" s="3">
        <f t="shared" si="4"/>
        <v>269498557513.35001</v>
      </c>
      <c r="AA12" s="2">
        <f t="shared" si="5"/>
        <v>0.18622711994823812</v>
      </c>
      <c r="AB12" s="16"/>
    </row>
    <row r="13" spans="1:28" x14ac:dyDescent="0.25">
      <c r="A13" s="13" t="s">
        <v>24</v>
      </c>
      <c r="B13" s="3">
        <f t="shared" ref="B13:AA13" si="6">SUM(B6:B12)</f>
        <v>23986102670.079998</v>
      </c>
      <c r="C13" s="7">
        <f t="shared" si="6"/>
        <v>1</v>
      </c>
      <c r="D13" s="3">
        <f t="shared" si="6"/>
        <v>305128079633.27002</v>
      </c>
      <c r="E13" s="7">
        <f t="shared" si="6"/>
        <v>1</v>
      </c>
      <c r="F13" s="3">
        <f t="shared" si="6"/>
        <v>13997498547.889999</v>
      </c>
      <c r="G13" s="7">
        <f t="shared" si="6"/>
        <v>0.99999998000000012</v>
      </c>
      <c r="H13" s="3">
        <f t="shared" si="6"/>
        <v>436342813759.85999</v>
      </c>
      <c r="I13" s="7">
        <f t="shared" si="6"/>
        <v>1.0000000099999999</v>
      </c>
      <c r="J13" s="3">
        <f t="shared" si="6"/>
        <v>225977923562.92001</v>
      </c>
      <c r="K13" s="7">
        <f t="shared" si="6"/>
        <v>1.0000000099999999</v>
      </c>
      <c r="L13" s="3">
        <f t="shared" si="6"/>
        <v>11160159458.1</v>
      </c>
      <c r="M13" s="7">
        <f t="shared" si="6"/>
        <v>0.99999998999999995</v>
      </c>
      <c r="N13" s="3">
        <f>SUM(N6:N12)</f>
        <v>282927132376.82007</v>
      </c>
      <c r="O13" s="7">
        <f t="shared" si="6"/>
        <v>1</v>
      </c>
      <c r="P13" s="3">
        <f t="shared" si="6"/>
        <v>1299519710008.9399</v>
      </c>
      <c r="Q13" s="7">
        <f t="shared" si="6"/>
        <v>1.0000000000000002</v>
      </c>
      <c r="R13" s="3">
        <f t="shared" si="6"/>
        <v>22726747503.790001</v>
      </c>
      <c r="S13" s="7">
        <f t="shared" si="6"/>
        <v>1</v>
      </c>
      <c r="T13" s="3">
        <f t="shared" si="6"/>
        <v>29266207470.940002</v>
      </c>
      <c r="U13" s="7">
        <f t="shared" si="6"/>
        <v>1</v>
      </c>
      <c r="V13" s="3">
        <f t="shared" si="6"/>
        <v>51992954974.730003</v>
      </c>
      <c r="W13" s="7">
        <f t="shared" si="6"/>
        <v>0.99999999999999989</v>
      </c>
      <c r="X13" s="3">
        <f t="shared" si="6"/>
        <v>95637232347.380005</v>
      </c>
      <c r="Y13" s="7">
        <f t="shared" si="6"/>
        <v>0.99999999000000006</v>
      </c>
      <c r="Z13" s="3">
        <f>SUM(Z6:Z12)</f>
        <v>1447149897331.0503</v>
      </c>
      <c r="AA13" s="7">
        <f t="shared" si="6"/>
        <v>0.99999999999999978</v>
      </c>
    </row>
    <row r="14" spans="1:28" x14ac:dyDescent="0.25">
      <c r="B14" s="16"/>
      <c r="F14" s="16"/>
      <c r="H14" s="16"/>
      <c r="J14" s="16"/>
      <c r="L14" s="16"/>
      <c r="N14" s="16"/>
      <c r="P14" s="16"/>
      <c r="R14" s="16"/>
      <c r="T14" s="16"/>
      <c r="V14" s="16"/>
      <c r="X14" s="16"/>
      <c r="Z14" s="16"/>
    </row>
    <row r="15" spans="1:28" x14ac:dyDescent="0.25">
      <c r="A15" s="5" t="s">
        <v>25</v>
      </c>
      <c r="P15" s="16"/>
      <c r="R15" s="16"/>
      <c r="T15" s="16"/>
    </row>
    <row r="16" spans="1:28" x14ac:dyDescent="0.25">
      <c r="A16" s="5" t="s">
        <v>26</v>
      </c>
      <c r="L16" s="16"/>
      <c r="P16" s="16"/>
    </row>
    <row r="17" spans="1:26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26" x14ac:dyDescent="0.25">
      <c r="B18" s="16"/>
      <c r="D18" s="17"/>
      <c r="F18" s="16"/>
      <c r="H18" s="16"/>
      <c r="J18" s="16"/>
      <c r="L18" s="16"/>
      <c r="N18" s="16"/>
      <c r="P18" s="16"/>
      <c r="R18" s="16"/>
      <c r="T18" s="16"/>
      <c r="V18" s="16"/>
      <c r="X18" s="16"/>
      <c r="Z18" s="16"/>
    </row>
    <row r="27" spans="1:26" x14ac:dyDescent="0.25">
      <c r="H27" s="9"/>
    </row>
    <row r="28" spans="1:26" x14ac:dyDescent="0.25">
      <c r="H28" s="9"/>
    </row>
  </sheetData>
  <mergeCells count="16">
    <mergeCell ref="Z4:AA4"/>
    <mergeCell ref="A1:W1"/>
    <mergeCell ref="A2:W2"/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17BDF3-33AD-4465-A885-65BD4896EC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7D4700-D85A-4D38-BA99-8BAEC0BFD4B7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3.xml><?xml version="1.0" encoding="utf-8"?>
<ds:datastoreItem xmlns:ds="http://schemas.openxmlformats.org/officeDocument/2006/customXml" ds:itemID="{CFDA3446-6BA5-4B07-A0A6-669E9AEB5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Nadia Mercedes Ureña</cp:lastModifiedBy>
  <cp:revision/>
  <dcterms:created xsi:type="dcterms:W3CDTF">2017-06-23T15:36:35Z</dcterms:created>
  <dcterms:modified xsi:type="dcterms:W3CDTF">2026-04-10T13:59:49Z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