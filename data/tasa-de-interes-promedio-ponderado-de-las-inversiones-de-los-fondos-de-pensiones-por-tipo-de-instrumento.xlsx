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286" documentId="13_ncr:1_{DCCE144E-9026-4D86-9293-8D07FABC0D53}" xr6:coauthVersionLast="47" xr6:coauthVersionMax="47" xr10:uidLastSave="{AD1CB7CC-F34C-4D2A-9A5A-CAB63BF43A52}"/>
  <bookViews>
    <workbookView xWindow="-120" yWindow="-120" windowWidth="29040" windowHeight="15720" activeTab="2" xr2:uid="{00000000-000D-0000-FFFF-FFFF00000000}"/>
  </bookViews>
  <sheets>
    <sheet name="Enero" sheetId="57" r:id="rId1"/>
    <sheet name="Febrero" sheetId="58" r:id="rId2"/>
    <sheet name="Marzo" sheetId="59" r:id="rId3"/>
  </sheets>
  <definedNames>
    <definedName name="_xlnm.Print_Area" localSheetId="0">Enero!$A$1:$W$23</definedName>
    <definedName name="_xlnm.Print_Area" localSheetId="1">Febrero!$A$1:$W$23</definedName>
    <definedName name="_xlnm.Print_Area" localSheetId="2">Marzo!$A$1:$W$23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59" l="1"/>
  <c r="V23" i="59" s="1"/>
  <c r="U23" i="59"/>
  <c r="T23" i="59"/>
  <c r="S23" i="59"/>
  <c r="R23" i="59" s="1"/>
  <c r="O23" i="59"/>
  <c r="N23" i="59"/>
  <c r="M23" i="59"/>
  <c r="L23" i="59" s="1"/>
  <c r="K23" i="59"/>
  <c r="J23" i="59"/>
  <c r="I23" i="59"/>
  <c r="H23" i="59"/>
  <c r="G23" i="59"/>
  <c r="F23" i="59"/>
  <c r="E23" i="59"/>
  <c r="D23" i="59"/>
  <c r="C23" i="59"/>
  <c r="B23" i="59"/>
  <c r="Q22" i="59"/>
  <c r="Y22" i="59" s="1"/>
  <c r="Q21" i="59"/>
  <c r="Y21" i="59" s="1"/>
  <c r="P21" i="59"/>
  <c r="Q20" i="59"/>
  <c r="Y20" i="59" s="1"/>
  <c r="P20" i="59"/>
  <c r="Y19" i="59"/>
  <c r="Q18" i="59"/>
  <c r="Y18" i="59" s="1"/>
  <c r="Q17" i="59"/>
  <c r="Y17" i="59" s="1"/>
  <c r="P17" i="59"/>
  <c r="Y16" i="59"/>
  <c r="X16" i="59" s="1"/>
  <c r="Q15" i="59"/>
  <c r="P15" i="59" s="1"/>
  <c r="Q14" i="59"/>
  <c r="Y14" i="59" s="1"/>
  <c r="P14" i="59"/>
  <c r="Q13" i="59"/>
  <c r="Y13" i="59" s="1"/>
  <c r="P13" i="59"/>
  <c r="Q12" i="59"/>
  <c r="Y12" i="59" s="1"/>
  <c r="P12" i="59"/>
  <c r="Q11" i="59"/>
  <c r="Y11" i="59" s="1"/>
  <c r="Q10" i="59"/>
  <c r="P10" i="59" s="1"/>
  <c r="W23" i="58"/>
  <c r="V23" i="58" s="1"/>
  <c r="U23" i="58"/>
  <c r="T23" i="58"/>
  <c r="S23" i="58"/>
  <c r="R23" i="58"/>
  <c r="O23" i="58"/>
  <c r="N23" i="58" s="1"/>
  <c r="M23" i="58"/>
  <c r="L23" i="58" s="1"/>
  <c r="K23" i="58"/>
  <c r="J23" i="58" s="1"/>
  <c r="I23" i="58"/>
  <c r="H23" i="58" s="1"/>
  <c r="G23" i="58"/>
  <c r="F23" i="58" s="1"/>
  <c r="E23" i="58"/>
  <c r="D23" i="58" s="1"/>
  <c r="C23" i="58"/>
  <c r="B23" i="58" s="1"/>
  <c r="Q22" i="58"/>
  <c r="Y22" i="58" s="1"/>
  <c r="Q21" i="58"/>
  <c r="Y21" i="58" s="1"/>
  <c r="Q20" i="58"/>
  <c r="Y20" i="58" s="1"/>
  <c r="Y19" i="58"/>
  <c r="Q18" i="58"/>
  <c r="Y18" i="58" s="1"/>
  <c r="Q17" i="58"/>
  <c r="Y17" i="58" s="1"/>
  <c r="Y16" i="58"/>
  <c r="X16" i="58" s="1"/>
  <c r="Q15" i="58"/>
  <c r="P15" i="58" s="1"/>
  <c r="Q14" i="58"/>
  <c r="Y14" i="58" s="1"/>
  <c r="Q13" i="58"/>
  <c r="Y13" i="58" s="1"/>
  <c r="Q12" i="58"/>
  <c r="Y12" i="58" s="1"/>
  <c r="Q11" i="58"/>
  <c r="Y11" i="58" s="1"/>
  <c r="P11" i="58"/>
  <c r="X11" i="58" s="1"/>
  <c r="Q10" i="58"/>
  <c r="P23" i="57"/>
  <c r="X11" i="57"/>
  <c r="X23" i="57"/>
  <c r="P18" i="59" l="1"/>
  <c r="X20" i="59"/>
  <c r="P22" i="59"/>
  <c r="X22" i="59" s="1"/>
  <c r="X18" i="59"/>
  <c r="P11" i="59"/>
  <c r="X11" i="59" s="1"/>
  <c r="X14" i="59"/>
  <c r="X17" i="59"/>
  <c r="X13" i="59"/>
  <c r="Y15" i="59"/>
  <c r="X15" i="59" s="1"/>
  <c r="Q23" i="59"/>
  <c r="P23" i="59" s="1"/>
  <c r="Y10" i="59"/>
  <c r="X10" i="59" s="1"/>
  <c r="X12" i="59"/>
  <c r="X21" i="59"/>
  <c r="P13" i="58"/>
  <c r="P14" i="58"/>
  <c r="X14" i="58" s="1"/>
  <c r="P18" i="58"/>
  <c r="P20" i="58"/>
  <c r="X20" i="58" s="1"/>
  <c r="P21" i="58"/>
  <c r="X18" i="58"/>
  <c r="P17" i="58"/>
  <c r="X17" i="58" s="1"/>
  <c r="Y15" i="58"/>
  <c r="X15" i="58" s="1"/>
  <c r="Q23" i="58"/>
  <c r="Y10" i="58"/>
  <c r="Y23" i="58" s="1"/>
  <c r="X21" i="58"/>
  <c r="P12" i="58"/>
  <c r="P22" i="58"/>
  <c r="X22" i="58" s="1"/>
  <c r="X13" i="58"/>
  <c r="X12" i="58"/>
  <c r="P10" i="58"/>
  <c r="X10" i="58" s="1"/>
  <c r="W23" i="57"/>
  <c r="V23" i="57" s="1"/>
  <c r="U23" i="57"/>
  <c r="T23" i="57" s="1"/>
  <c r="S23" i="57"/>
  <c r="R23" i="57" s="1"/>
  <c r="O23" i="57"/>
  <c r="N23" i="57"/>
  <c r="M23" i="57"/>
  <c r="L23" i="57" s="1"/>
  <c r="K23" i="57"/>
  <c r="J23" i="57" s="1"/>
  <c r="I23" i="57"/>
  <c r="H23" i="57" s="1"/>
  <c r="G23" i="57"/>
  <c r="F23" i="57" s="1"/>
  <c r="E23" i="57"/>
  <c r="D23" i="57" s="1"/>
  <c r="C23" i="57"/>
  <c r="B23" i="57" s="1"/>
  <c r="Q22" i="57"/>
  <c r="Y22" i="57" s="1"/>
  <c r="Q21" i="57"/>
  <c r="Y21" i="57" s="1"/>
  <c r="Q20" i="57"/>
  <c r="Y20" i="57" s="1"/>
  <c r="Y19" i="57"/>
  <c r="Q18" i="57"/>
  <c r="P18" i="57" s="1"/>
  <c r="Q17" i="57"/>
  <c r="Y17" i="57" s="1"/>
  <c r="Y16" i="57"/>
  <c r="X16" i="57" s="1"/>
  <c r="Q15" i="57"/>
  <c r="P15" i="57" s="1"/>
  <c r="Q14" i="57"/>
  <c r="Y14" i="57" s="1"/>
  <c r="Q13" i="57"/>
  <c r="P13" i="57" s="1"/>
  <c r="Q12" i="57"/>
  <c r="Y12" i="57" s="1"/>
  <c r="P12" i="57"/>
  <c r="Q11" i="57"/>
  <c r="Y11" i="57" s="1"/>
  <c r="Q10" i="57"/>
  <c r="P10" i="57" s="1"/>
  <c r="Y23" i="59" l="1"/>
  <c r="X23" i="59" s="1"/>
  <c r="X23" i="58"/>
  <c r="P23" i="58"/>
  <c r="P20" i="57"/>
  <c r="P22" i="57"/>
  <c r="X22" i="57" s="1"/>
  <c r="P17" i="57"/>
  <c r="X17" i="57" s="1"/>
  <c r="P14" i="57"/>
  <c r="X14" i="57" s="1"/>
  <c r="Q23" i="57"/>
  <c r="Y10" i="57"/>
  <c r="X10" i="57" s="1"/>
  <c r="X12" i="57"/>
  <c r="Y15" i="57"/>
  <c r="X15" i="57" s="1"/>
  <c r="P11" i="57"/>
  <c r="P21" i="57"/>
  <c r="X21" i="57" s="1"/>
  <c r="X20" i="57"/>
  <c r="Y13" i="57"/>
  <c r="Y18" i="57"/>
  <c r="X18" i="57" s="1"/>
  <c r="Y23" i="57" l="1"/>
  <c r="X13" i="57"/>
</calcChain>
</file>

<file path=xl/sharedStrings.xml><?xml version="1.0" encoding="utf-8"?>
<sst xmlns="http://schemas.openxmlformats.org/spreadsheetml/2006/main" count="183" uniqueCount="42">
  <si>
    <t xml:space="preserve">Inversiones de los Fondos de Pensiones por Tipo de Instrumento </t>
  </si>
  <si>
    <t>$RD MM y %</t>
  </si>
  <si>
    <t>TIPO DE INSTRUMENTO</t>
  </si>
  <si>
    <t>ATLÁNTICO</t>
  </si>
  <si>
    <t>CRECER</t>
  </si>
  <si>
    <t>JMMB BDI</t>
  </si>
  <si>
    <t>POPULAR</t>
  </si>
  <si>
    <t>RESERVAS</t>
  </si>
  <si>
    <t>ROMANA</t>
  </si>
  <si>
    <t>SIEMBRA</t>
  </si>
  <si>
    <t>TOTAL CCI</t>
  </si>
  <si>
    <r>
      <t>RESERVAS-R</t>
    </r>
    <r>
      <rPr>
        <b/>
        <vertAlign val="superscript"/>
        <sz val="11"/>
        <color rgb="FFFFFFFF"/>
        <rFont val="Calibri"/>
        <family val="2"/>
      </rPr>
      <t>3</t>
    </r>
  </si>
  <si>
    <r>
      <t>BANCO CENTRAL-R</t>
    </r>
    <r>
      <rPr>
        <b/>
        <vertAlign val="superscript"/>
        <sz val="11"/>
        <color rgb="FFFFFFFF"/>
        <rFont val="Calibri"/>
        <family val="2"/>
      </rPr>
      <t>3</t>
    </r>
  </si>
  <si>
    <t>FONDO DE SOLIDARIDAD SOCIAL</t>
  </si>
  <si>
    <t>TOTAL SISTEMA</t>
  </si>
  <si>
    <t>TIPP</t>
  </si>
  <si>
    <t>RD$</t>
  </si>
  <si>
    <t>Bonos Ministerio de Hacienda</t>
  </si>
  <si>
    <r>
      <t xml:space="preserve">Bonos EIF </t>
    </r>
    <r>
      <rPr>
        <b/>
        <vertAlign val="superscript"/>
        <sz val="11"/>
        <rFont val="Calibri"/>
        <family val="2"/>
      </rPr>
      <t>1</t>
    </r>
  </si>
  <si>
    <t>Bonos Empresas</t>
  </si>
  <si>
    <t>Bonos de Hacienda para financiar desarrollo de  proyectos de infraestructura</t>
  </si>
  <si>
    <r>
      <t>Certificados de Depósito EIF</t>
    </r>
    <r>
      <rPr>
        <b/>
        <vertAlign val="superscript"/>
        <sz val="11"/>
        <rFont val="Calibri"/>
        <family val="2"/>
      </rPr>
      <t>1</t>
    </r>
  </si>
  <si>
    <r>
      <t>Certificados Inversión Especial BCRD</t>
    </r>
    <r>
      <rPr>
        <b/>
        <vertAlign val="superscript"/>
        <sz val="11"/>
        <rFont val="Calibri"/>
        <family val="2"/>
      </rPr>
      <t>2</t>
    </r>
  </si>
  <si>
    <r>
      <t>Cuotas de Participación de Fondos de Inversión</t>
    </r>
    <r>
      <rPr>
        <b/>
        <vertAlign val="superscript"/>
        <sz val="11"/>
        <rFont val="Calibri"/>
        <family val="2"/>
      </rPr>
      <t>4</t>
    </r>
  </si>
  <si>
    <r>
      <t>Letras BCRD</t>
    </r>
    <r>
      <rPr>
        <b/>
        <vertAlign val="superscript"/>
        <sz val="11"/>
        <rFont val="Calibri"/>
        <family val="2"/>
      </rPr>
      <t>2</t>
    </r>
  </si>
  <si>
    <r>
      <t>Notas BCRD</t>
    </r>
    <r>
      <rPr>
        <b/>
        <vertAlign val="superscript"/>
        <sz val="11"/>
        <rFont val="Calibri"/>
        <family val="2"/>
      </rPr>
      <t>2</t>
    </r>
  </si>
  <si>
    <r>
      <t>Valores representativos de capital emitidos por Fideicomisos de oferta pública</t>
    </r>
    <r>
      <rPr>
        <b/>
        <vertAlign val="superscript"/>
        <sz val="11"/>
        <rFont val="Calibri"/>
        <family val="2"/>
      </rPr>
      <t>5</t>
    </r>
  </si>
  <si>
    <t>Valores representativos de deuda emitidos por Fideicomisos de oferta pública</t>
  </si>
  <si>
    <t>TOTAL</t>
  </si>
  <si>
    <t>1/Entidades de Intermediación Financiera.</t>
  </si>
  <si>
    <t>2/Títulos valores emitidos por el Banco Central de la República Dominicana.</t>
  </si>
  <si>
    <t>3/Fondo de reparto individualizado administrado por AFP.</t>
  </si>
  <si>
    <t xml:space="preserve">5/Variación mensual anualizada del valor accionario. </t>
  </si>
  <si>
    <r>
      <t xml:space="preserve">Acciones de oferta pública </t>
    </r>
    <r>
      <rPr>
        <b/>
        <vertAlign val="superscript"/>
        <sz val="11"/>
        <rFont val="Calibri"/>
        <family val="2"/>
      </rPr>
      <t>6</t>
    </r>
  </si>
  <si>
    <t>Cuotas de Participación de Fondos de Mutuos</t>
  </si>
  <si>
    <t xml:space="preserve">4/Promedio ponderado del rendimiento de los fondos de inversión correspondiente a los últimos 365 días.  El Promedio ponderado del rendimiento del fondo de inversión Universal Desarrollo I,  Interval Inmobiliario I  e Interval Desarrollo I corresponden a los últimos 180 días. El Promedio ponderado del rendimiento del fondo de inversión Excel Turistico corresponde a los últimos 90 días. El promedio ponderado del rendimiento para el fondo de inversion TC Desarrollo I es de los últimos 30 días. </t>
  </si>
  <si>
    <t>Al 31 de enero de 2026</t>
  </si>
  <si>
    <t>Al 28 de febrero de 2026</t>
  </si>
  <si>
    <t>y Tasa de Interés Promedio Ponderada</t>
  </si>
  <si>
    <t xml:space="preserve">4/Promedio ponderado del rendimiento de los fondos de inversión correspondiente a los últimos 365 días.  El Promedio ponderado del rendimiento del fondo de inversión Universal Desarrollo I,  Excel Turístico, Interval Inmobiliario I, TC  e Interval Desarrollo I corresponden a los últimos 180 días. El Promedio ponderado del rendimiento del fondo de inversión Excel Desarrollo I corresponde a los últimos 90 días. </t>
  </si>
  <si>
    <t>6/Variación porcentual del valor accioniario de compra respecto al valor de las transacciones elegibles para los fondos de pensiones.</t>
  </si>
  <si>
    <t>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</si>
</sst>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0.00%"/>
    <numFmt numFmtId="166" formatCode="_-* #,##0.0000_-;\-* #,##0.0000_-;_-* &quot;-&quot;??_-;_-@_-"/>
  </numFmts>
  <fonts count="10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b/>
      <vertAlign val="superscript"/>
      <sz val="11"/>
      <name val="Calibri"/>
      <family val="2"/>
    </font>
    <font>
      <b/>
      <sz val="11"/>
      <color rgb="FFFFFFFF"/>
      <name val="Calibri"/>
      <family val="2"/>
    </font>
    <font>
      <b/>
      <vertAlign val="superscript"/>
      <sz val="11"/>
      <color rgb="FFFFFFFF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1" fillId="0" borderId="0" xfId="2"/>
    <xf numFmtId="0" fontId="3" fillId="0" borderId="0" xfId="2" applyFont="1" applyAlignment="1">
      <alignment horizontal="right"/>
    </xf>
    <xf numFmtId="164" fontId="3" fillId="2" borderId="1" xfId="1" applyFont="1" applyFill="1" applyBorder="1" applyAlignment="1">
      <alignment horizontal="center"/>
    </xf>
    <xf numFmtId="0" fontId="9" fillId="0" borderId="0" xfId="0" applyFont="1"/>
    <xf numFmtId="164" fontId="0" fillId="0" borderId="0" xfId="1" applyFont="1"/>
    <xf numFmtId="164" fontId="0" fillId="0" borderId="0" xfId="1" applyFont="1" applyFill="1"/>
    <xf numFmtId="0" fontId="5" fillId="3" borderId="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165" fontId="0" fillId="2" borderId="1" xfId="0" applyNumberFormat="1" applyFill="1" applyBorder="1" applyAlignment="1">
      <alignment horizontal="center"/>
    </xf>
    <xf numFmtId="164" fontId="0" fillId="2" borderId="1" xfId="1" applyFont="1" applyFill="1" applyBorder="1" applyAlignment="1">
      <alignment horizontal="center"/>
    </xf>
    <xf numFmtId="166" fontId="0" fillId="0" borderId="1" xfId="1" applyNumberFormat="1" applyFont="1" applyFill="1" applyBorder="1" applyAlignment="1">
      <alignment horizontal="center"/>
    </xf>
    <xf numFmtId="10" fontId="3" fillId="2" borderId="1" xfId="3" applyNumberFormat="1" applyFont="1" applyFill="1" applyBorder="1" applyAlignment="1">
      <alignment horizontal="center"/>
    </xf>
    <xf numFmtId="164" fontId="0" fillId="0" borderId="1" xfId="1" applyFont="1" applyFill="1" applyBorder="1" applyAlignment="1">
      <alignment horizontal="center"/>
    </xf>
    <xf numFmtId="166" fontId="0" fillId="2" borderId="1" xfId="1" applyNumberFormat="1" applyFont="1" applyFill="1" applyBorder="1" applyAlignment="1">
      <alignment horizontal="center"/>
    </xf>
    <xf numFmtId="165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3" fontId="0" fillId="0" borderId="0" xfId="0" applyNumberFormat="1"/>
    <xf numFmtId="165" fontId="0" fillId="4" borderId="1" xfId="0" applyNumberFormat="1" applyFill="1" applyBorder="1" applyAlignment="1">
      <alignment horizontal="center"/>
    </xf>
    <xf numFmtId="10" fontId="9" fillId="0" borderId="0" xfId="3" applyNumberFormat="1" applyFont="1"/>
    <xf numFmtId="10" fontId="0" fillId="0" borderId="0" xfId="3" applyNumberFormat="1" applyFont="1"/>
    <xf numFmtId="0" fontId="2" fillId="0" borderId="0" xfId="2" applyFont="1" applyAlignment="1">
      <alignment horizontal="left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4" fontId="0" fillId="0" borderId="1" xfId="0" applyNumberFormat="1" applyFill="1" applyBorder="1" applyAlignment="1">
      <alignment horizontal="center"/>
    </xf>
  </cellXfs>
  <cellStyles count="5">
    <cellStyle name="Millares" xfId="1" builtinId="3"/>
    <cellStyle name="Normal" xfId="0" builtinId="0"/>
    <cellStyle name="Normal 2" xfId="2" xr:uid="{00000000-0005-0000-0000-000002000000}"/>
    <cellStyle name="Normal 2 7" xfId="4" xr:uid="{8798E853-5069-4119-B6A8-5C4AB07B07AB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2866-A697-46FB-BB0A-1A6068B5DAEE}">
  <dimension ref="A1:AA31"/>
  <sheetViews>
    <sheetView showGridLines="0" zoomScale="90" zoomScaleNormal="9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  <col min="26" max="26" width="19.85546875" bestFit="1" customWidth="1"/>
  </cols>
  <sheetData>
    <row r="1" spans="1:27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7" x14ac:dyDescent="0.25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7" x14ac:dyDescent="0.25">
      <c r="A3" s="36" t="s">
        <v>38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7" x14ac:dyDescent="0.25">
      <c r="A4" s="36" t="s">
        <v>36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7" x14ac:dyDescent="0.25">
      <c r="A5" s="37" t="s">
        <v>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7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7" ht="9" customHeight="1" x14ac:dyDescent="0.25">
      <c r="A7" s="32" t="s">
        <v>2</v>
      </c>
      <c r="B7" s="26" t="s">
        <v>3</v>
      </c>
      <c r="C7" s="27"/>
      <c r="D7" s="26" t="s">
        <v>4</v>
      </c>
      <c r="E7" s="27"/>
      <c r="F7" s="26" t="s">
        <v>5</v>
      </c>
      <c r="G7" s="27"/>
      <c r="H7" s="26" t="s">
        <v>6</v>
      </c>
      <c r="I7" s="27"/>
      <c r="J7" s="30" t="s">
        <v>7</v>
      </c>
      <c r="K7" s="31"/>
      <c r="L7" s="26" t="s">
        <v>8</v>
      </c>
      <c r="M7" s="27"/>
      <c r="N7" s="26" t="s">
        <v>9</v>
      </c>
      <c r="O7" s="27"/>
      <c r="P7" s="26" t="s">
        <v>10</v>
      </c>
      <c r="Q7" s="27"/>
      <c r="R7" s="26" t="s">
        <v>11</v>
      </c>
      <c r="S7" s="27"/>
      <c r="T7" s="26" t="s">
        <v>12</v>
      </c>
      <c r="U7" s="27"/>
      <c r="V7" s="26" t="s">
        <v>13</v>
      </c>
      <c r="W7" s="27"/>
      <c r="X7" s="26" t="s">
        <v>14</v>
      </c>
      <c r="Y7" s="27"/>
    </row>
    <row r="8" spans="1:27" ht="24" customHeight="1" x14ac:dyDescent="0.25">
      <c r="A8" s="33"/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  <c r="N8" s="28"/>
      <c r="O8" s="29"/>
      <c r="P8" s="28"/>
      <c r="Q8" s="29"/>
      <c r="R8" s="28"/>
      <c r="S8" s="29"/>
      <c r="T8" s="28"/>
      <c r="U8" s="29"/>
      <c r="V8" s="28"/>
      <c r="W8" s="29"/>
      <c r="X8" s="28"/>
      <c r="Y8" s="29"/>
    </row>
    <row r="9" spans="1:27" ht="17.25" customHeight="1" x14ac:dyDescent="0.25">
      <c r="A9" s="34"/>
      <c r="B9" s="9" t="s">
        <v>15</v>
      </c>
      <c r="C9" s="9" t="s">
        <v>16</v>
      </c>
      <c r="D9" s="9" t="s">
        <v>15</v>
      </c>
      <c r="E9" s="9" t="s">
        <v>16</v>
      </c>
      <c r="F9" s="9" t="s">
        <v>15</v>
      </c>
      <c r="G9" s="9" t="s">
        <v>16</v>
      </c>
      <c r="H9" s="9" t="s">
        <v>15</v>
      </c>
      <c r="I9" s="9" t="s">
        <v>16</v>
      </c>
      <c r="J9" s="9" t="s">
        <v>15</v>
      </c>
      <c r="K9" s="9" t="s">
        <v>16</v>
      </c>
      <c r="L9" s="9" t="s">
        <v>15</v>
      </c>
      <c r="M9" s="9" t="s">
        <v>16</v>
      </c>
      <c r="N9" s="9" t="s">
        <v>15</v>
      </c>
      <c r="O9" s="9" t="s">
        <v>16</v>
      </c>
      <c r="P9" s="9" t="s">
        <v>15</v>
      </c>
      <c r="Q9" s="9" t="s">
        <v>16</v>
      </c>
      <c r="R9" s="9" t="s">
        <v>15</v>
      </c>
      <c r="S9" s="9" t="s">
        <v>16</v>
      </c>
      <c r="T9" s="9" t="s">
        <v>15</v>
      </c>
      <c r="U9" s="9" t="s">
        <v>16</v>
      </c>
      <c r="V9" s="9" t="s">
        <v>15</v>
      </c>
      <c r="W9" s="9" t="s">
        <v>16</v>
      </c>
      <c r="X9" s="9" t="s">
        <v>15</v>
      </c>
      <c r="Y9" s="9" t="s">
        <v>16</v>
      </c>
    </row>
    <row r="10" spans="1:27" ht="17.25" x14ac:dyDescent="0.25">
      <c r="A10" s="2" t="s">
        <v>33</v>
      </c>
      <c r="B10" s="19">
        <v>5.9299999999999999E-2</v>
      </c>
      <c r="C10" s="20">
        <v>2720427.52</v>
      </c>
      <c r="D10" s="19">
        <v>5.7299999999999997E-2</v>
      </c>
      <c r="E10" s="20">
        <v>1262424409.8900001</v>
      </c>
      <c r="F10" s="19">
        <v>5.9299999999999999E-2</v>
      </c>
      <c r="G10" s="20">
        <v>10609831.119999999</v>
      </c>
      <c r="H10" s="13">
        <v>0</v>
      </c>
      <c r="I10" s="15">
        <v>0</v>
      </c>
      <c r="J10" s="19">
        <v>5.9299999999999999E-2</v>
      </c>
      <c r="K10" s="20">
        <v>1233139414.3399999</v>
      </c>
      <c r="L10" s="13">
        <v>0</v>
      </c>
      <c r="M10" s="15">
        <v>0</v>
      </c>
      <c r="N10" s="19">
        <v>5.9299999999999999E-2</v>
      </c>
      <c r="O10" s="20">
        <v>1233139414.3399999</v>
      </c>
      <c r="P10" s="11">
        <f t="shared" ref="P10:P22" si="0">+((B10*C10)+(D10*E10)+(F10*G10)+(H10*I10)+(J10*K10)+(L10*M10)+(N10*O10))/Q10</f>
        <v>5.8625273592109076E-2</v>
      </c>
      <c r="Q10" s="12">
        <f t="shared" ref="Q10:Q22" si="1">+SUM(C10,E10,G10,I10,K10,M10,O10)</f>
        <v>3742033497.21</v>
      </c>
      <c r="R10" s="13">
        <v>0</v>
      </c>
      <c r="S10" s="15">
        <v>0</v>
      </c>
      <c r="T10" s="19">
        <v>5.9299999999999999E-2</v>
      </c>
      <c r="U10" s="18">
        <v>27160.6</v>
      </c>
      <c r="V10" s="13">
        <v>0</v>
      </c>
      <c r="W10" s="15">
        <v>0</v>
      </c>
      <c r="X10" s="11">
        <f>+(P10*Q10+R10*S10+T10*U10+V10*W10)/Y10</f>
        <v>5.8625278489403847E-2</v>
      </c>
      <c r="Y10" s="12">
        <f>+SUM(Q10+S10+U10+W10)</f>
        <v>3742060657.8099999</v>
      </c>
    </row>
    <row r="11" spans="1:27" x14ac:dyDescent="0.25">
      <c r="A11" s="2" t="s">
        <v>17</v>
      </c>
      <c r="B11" s="19">
        <v>5.8900000000000001E-2</v>
      </c>
      <c r="C11" s="20">
        <v>15317732738.92</v>
      </c>
      <c r="D11" s="19">
        <v>6.7699999999999996E-2</v>
      </c>
      <c r="E11" s="20">
        <v>181884891139.97</v>
      </c>
      <c r="F11" s="19">
        <v>5.5500000000000001E-2</v>
      </c>
      <c r="G11" s="20">
        <v>6710981378.4099998</v>
      </c>
      <c r="H11" s="19">
        <v>6.7100000000000007E-2</v>
      </c>
      <c r="I11" s="20">
        <v>216523957777.53</v>
      </c>
      <c r="J11" s="19">
        <v>6.6000000000000003E-2</v>
      </c>
      <c r="K11" s="20">
        <v>125009264838.60001</v>
      </c>
      <c r="L11" s="19">
        <v>8.2199999999999995E-2</v>
      </c>
      <c r="M11" s="20">
        <v>3790933138.3699999</v>
      </c>
      <c r="N11" s="19">
        <v>7.17E-2</v>
      </c>
      <c r="O11" s="20">
        <v>166771332033.69</v>
      </c>
      <c r="P11" s="11">
        <f>+((B11*C11)+(D11*E11)+(F11*G11)+(H11*I11)+(J11*K11)+(L11*M11)+(N11*O11))/Q11</f>
        <v>6.7927586094105014E-2</v>
      </c>
      <c r="Q11" s="12">
        <f t="shared" si="1"/>
        <v>716009093045.48999</v>
      </c>
      <c r="R11" s="19">
        <v>6.5600000000000006E-2</v>
      </c>
      <c r="S11" s="18">
        <v>14284844363.65</v>
      </c>
      <c r="T11" s="19">
        <v>6.9500000000000006E-2</v>
      </c>
      <c r="U11" s="18">
        <v>12667519524.51</v>
      </c>
      <c r="V11" s="19">
        <v>6.4699999999999994E-2</v>
      </c>
      <c r="W11" s="18">
        <v>55302789492</v>
      </c>
      <c r="X11" s="11">
        <f>+(P11*Q11+R11*S11+T11*U11+V11*W11)/Y11</f>
        <v>6.7687283291577804E-2</v>
      </c>
      <c r="Y11" s="12">
        <f t="shared" ref="Y11:Y22" si="2">+SUM(Q11+S11+U11+W11)</f>
        <v>798264246425.65002</v>
      </c>
    </row>
    <row r="12" spans="1:27" ht="17.25" x14ac:dyDescent="0.25">
      <c r="A12" s="2" t="s">
        <v>18</v>
      </c>
      <c r="B12" s="19">
        <v>0.1115</v>
      </c>
      <c r="C12" s="20">
        <v>1099917745.02</v>
      </c>
      <c r="D12" s="19">
        <v>0.1016</v>
      </c>
      <c r="E12" s="20">
        <v>15817449545.82</v>
      </c>
      <c r="F12" s="19">
        <v>9.98E-2</v>
      </c>
      <c r="G12" s="20">
        <v>686423817.49000001</v>
      </c>
      <c r="H12" s="19">
        <v>0.1016</v>
      </c>
      <c r="I12" s="20">
        <v>26274864225.540001</v>
      </c>
      <c r="J12" s="19">
        <v>0.1013</v>
      </c>
      <c r="K12" s="20">
        <v>9885710179.5499992</v>
      </c>
      <c r="L12" s="19">
        <v>0.1</v>
      </c>
      <c r="M12" s="20">
        <v>48183145.909999996</v>
      </c>
      <c r="N12" s="19">
        <v>0.1014</v>
      </c>
      <c r="O12" s="20">
        <v>20158405619.34</v>
      </c>
      <c r="P12" s="11">
        <f t="shared" si="0"/>
        <v>0.10163486686927561</v>
      </c>
      <c r="Q12" s="12">
        <f t="shared" si="1"/>
        <v>73970954278.669998</v>
      </c>
      <c r="R12" s="17">
        <v>0.1046</v>
      </c>
      <c r="S12" s="18">
        <v>668632104</v>
      </c>
      <c r="T12" s="17">
        <v>9.5299999999999996E-2</v>
      </c>
      <c r="U12" s="18">
        <v>360001843.51999998</v>
      </c>
      <c r="V12" s="17">
        <v>0.1027</v>
      </c>
      <c r="W12" s="18">
        <v>4066306536.7199998</v>
      </c>
      <c r="X12" s="11">
        <f t="shared" ref="X12:X22" si="3">+(P12*Q12+R12*S12+T12*U12+V12*W12)/Y12</f>
        <v>0.1016858771977678</v>
      </c>
      <c r="Y12" s="12">
        <f t="shared" si="2"/>
        <v>79065894762.910004</v>
      </c>
      <c r="Z12" s="24"/>
    </row>
    <row r="13" spans="1:27" x14ac:dyDescent="0.25">
      <c r="A13" s="2" t="s">
        <v>19</v>
      </c>
      <c r="B13" s="19">
        <v>0.1028</v>
      </c>
      <c r="C13" s="20">
        <v>1968780777.6700001</v>
      </c>
      <c r="D13" s="19">
        <v>0.14979999999999999</v>
      </c>
      <c r="E13" s="20">
        <v>4860331237.3400002</v>
      </c>
      <c r="F13" s="19">
        <v>0.10829999999999999</v>
      </c>
      <c r="G13" s="20">
        <v>1484359177.8299999</v>
      </c>
      <c r="H13" s="19">
        <v>0.1072</v>
      </c>
      <c r="I13" s="20">
        <v>7873453212.2700005</v>
      </c>
      <c r="J13" s="19">
        <v>0.14460000000000001</v>
      </c>
      <c r="K13" s="20">
        <v>3344217129.46</v>
      </c>
      <c r="L13" s="13">
        <v>0</v>
      </c>
      <c r="M13" s="15">
        <v>0</v>
      </c>
      <c r="N13" s="19">
        <v>6.3600000000000004E-2</v>
      </c>
      <c r="O13" s="20">
        <v>5227333530.6199999</v>
      </c>
      <c r="P13" s="11">
        <f t="shared" si="0"/>
        <v>0.11112521142095531</v>
      </c>
      <c r="Q13" s="12">
        <f t="shared" si="1"/>
        <v>24758475065.189999</v>
      </c>
      <c r="R13" s="17">
        <v>9.35E-2</v>
      </c>
      <c r="S13" s="18">
        <v>121818027.41</v>
      </c>
      <c r="T13" s="17">
        <v>8.4199999999999997E-2</v>
      </c>
      <c r="U13" s="18">
        <v>1020426504.9</v>
      </c>
      <c r="V13" s="17">
        <v>7.8E-2</v>
      </c>
      <c r="W13" s="18">
        <v>876938272.74000001</v>
      </c>
      <c r="X13" s="11">
        <f t="shared" si="3"/>
        <v>0.10893416716144935</v>
      </c>
      <c r="Y13" s="12">
        <f t="shared" si="2"/>
        <v>26777657870.240002</v>
      </c>
    </row>
    <row r="14" spans="1:27" s="6" customFormat="1" ht="30" x14ac:dyDescent="0.25">
      <c r="A14" s="2" t="s">
        <v>20</v>
      </c>
      <c r="B14" s="13">
        <v>0</v>
      </c>
      <c r="C14" s="15">
        <v>0</v>
      </c>
      <c r="D14" s="19">
        <v>8.5699999999999998E-2</v>
      </c>
      <c r="E14" s="20">
        <v>8163853504.8000002</v>
      </c>
      <c r="F14" s="13">
        <v>0</v>
      </c>
      <c r="G14" s="15">
        <v>0</v>
      </c>
      <c r="H14" s="19">
        <v>8.7300000000000003E-2</v>
      </c>
      <c r="I14" s="20">
        <v>690928795.20000005</v>
      </c>
      <c r="J14" s="19">
        <v>0.10290000000000001</v>
      </c>
      <c r="K14" s="20">
        <v>2137911714.79</v>
      </c>
      <c r="L14" s="13">
        <v>0</v>
      </c>
      <c r="M14" s="15">
        <v>0</v>
      </c>
      <c r="N14" s="13">
        <v>0</v>
      </c>
      <c r="O14" s="15">
        <v>0</v>
      </c>
      <c r="P14" s="11">
        <f t="shared" si="0"/>
        <v>8.9145703802520654E-2</v>
      </c>
      <c r="Q14" s="12">
        <f t="shared" si="1"/>
        <v>10992694014.790001</v>
      </c>
      <c r="R14" s="13">
        <v>0</v>
      </c>
      <c r="S14" s="15">
        <v>0</v>
      </c>
      <c r="T14" s="13">
        <v>0</v>
      </c>
      <c r="U14" s="15">
        <v>0</v>
      </c>
      <c r="V14" s="13">
        <v>0</v>
      </c>
      <c r="W14" s="15">
        <v>0</v>
      </c>
      <c r="X14" s="11">
        <f t="shared" si="3"/>
        <v>8.9145703802520654E-2</v>
      </c>
      <c r="Y14" s="12">
        <f t="shared" si="2"/>
        <v>10992694014.790001</v>
      </c>
      <c r="AA14" s="23"/>
    </row>
    <row r="15" spans="1:27" ht="17.25" x14ac:dyDescent="0.25">
      <c r="A15" s="2" t="s">
        <v>21</v>
      </c>
      <c r="B15" s="19">
        <v>0.15029999999999999</v>
      </c>
      <c r="C15" s="20">
        <v>52164173.530000001</v>
      </c>
      <c r="D15" s="19">
        <v>3.61E-2</v>
      </c>
      <c r="E15" s="20">
        <v>10337117547.030001</v>
      </c>
      <c r="F15" s="19">
        <v>7.17E-2</v>
      </c>
      <c r="G15" s="20">
        <v>852722608.03999996</v>
      </c>
      <c r="H15" s="19">
        <v>5.3199999999999997E-2</v>
      </c>
      <c r="I15" s="20">
        <v>8716504366.5100002</v>
      </c>
      <c r="J15" s="19">
        <v>3.5900000000000001E-2</v>
      </c>
      <c r="K15" s="20">
        <v>3157072148.3499999</v>
      </c>
      <c r="L15" s="19">
        <v>9.7199999999999995E-2</v>
      </c>
      <c r="M15" s="20">
        <v>2404833989.4400001</v>
      </c>
      <c r="N15" s="19">
        <v>4.6399999999999997E-2</v>
      </c>
      <c r="O15" s="20">
        <v>14721720986.790001</v>
      </c>
      <c r="P15" s="11">
        <f t="shared" si="0"/>
        <v>4.8109898500050464E-2</v>
      </c>
      <c r="Q15" s="12">
        <f t="shared" si="1"/>
        <v>40242135819.690002</v>
      </c>
      <c r="R15" s="17">
        <v>3.44E-2</v>
      </c>
      <c r="S15" s="18">
        <v>777544843.92999995</v>
      </c>
      <c r="T15" s="17">
        <v>8.6999999999999994E-2</v>
      </c>
      <c r="U15" s="18">
        <v>3694209850.3899999</v>
      </c>
      <c r="V15" s="17">
        <v>3.9199999999999999E-2</v>
      </c>
      <c r="W15" s="18">
        <v>2875110120.04</v>
      </c>
      <c r="X15" s="11">
        <f t="shared" si="3"/>
        <v>5.0366537521198546E-2</v>
      </c>
      <c r="Y15" s="12">
        <f t="shared" si="2"/>
        <v>47589000634.050003</v>
      </c>
    </row>
    <row r="16" spans="1:27" ht="18" customHeight="1" x14ac:dyDescent="0.25">
      <c r="A16" s="2" t="s">
        <v>22</v>
      </c>
      <c r="B16" s="13">
        <v>0</v>
      </c>
      <c r="C16" s="15">
        <v>0</v>
      </c>
      <c r="D16" s="13">
        <v>0</v>
      </c>
      <c r="E16" s="15">
        <v>0</v>
      </c>
      <c r="F16" s="13">
        <v>0</v>
      </c>
      <c r="G16" s="15">
        <v>0</v>
      </c>
      <c r="H16" s="13">
        <v>0</v>
      </c>
      <c r="I16" s="15">
        <v>0</v>
      </c>
      <c r="J16" s="13">
        <v>0</v>
      </c>
      <c r="K16" s="15">
        <v>0</v>
      </c>
      <c r="L16" s="13">
        <v>0</v>
      </c>
      <c r="M16" s="15">
        <v>0</v>
      </c>
      <c r="N16" s="13">
        <v>0</v>
      </c>
      <c r="O16" s="15">
        <v>0</v>
      </c>
      <c r="P16" s="16">
        <v>0</v>
      </c>
      <c r="Q16" s="12">
        <v>0</v>
      </c>
      <c r="R16" s="13">
        <v>0</v>
      </c>
      <c r="S16" s="15">
        <v>0</v>
      </c>
      <c r="T16" s="17">
        <v>0.14940000000000001</v>
      </c>
      <c r="U16" s="18">
        <v>5283443595.96</v>
      </c>
      <c r="V16" s="13">
        <v>0</v>
      </c>
      <c r="W16" s="15">
        <v>0</v>
      </c>
      <c r="X16" s="11">
        <f>+(P16*Q16+R16*S16+T16*U16+V16*W16)/Y16</f>
        <v>0.14940000000000001</v>
      </c>
      <c r="Y16" s="12">
        <f t="shared" si="2"/>
        <v>5283443595.96</v>
      </c>
    </row>
    <row r="17" spans="1:25" ht="19.5" customHeight="1" x14ac:dyDescent="0.25">
      <c r="A17" s="2" t="s">
        <v>23</v>
      </c>
      <c r="B17" s="19">
        <v>7.3599999999999999E-2</v>
      </c>
      <c r="C17" s="20">
        <v>1293984106.02</v>
      </c>
      <c r="D17" s="19">
        <v>9.2200000000000004E-2</v>
      </c>
      <c r="E17" s="20">
        <v>46541001337.050003</v>
      </c>
      <c r="F17" s="19">
        <v>4.3900000000000002E-2</v>
      </c>
      <c r="G17" s="20">
        <v>449923741.04000002</v>
      </c>
      <c r="H17" s="19">
        <v>7.6799999999999993E-2</v>
      </c>
      <c r="I17" s="20">
        <v>99556182665.880005</v>
      </c>
      <c r="J17" s="19">
        <v>0.1008</v>
      </c>
      <c r="K17" s="20">
        <v>59290210682.400002</v>
      </c>
      <c r="L17" s="13">
        <v>0</v>
      </c>
      <c r="M17" s="15">
        <v>0</v>
      </c>
      <c r="N17" s="19">
        <v>8.5699999999999998E-2</v>
      </c>
      <c r="O17" s="20">
        <v>25801494778.209999</v>
      </c>
      <c r="P17" s="11">
        <f t="shared" si="0"/>
        <v>8.6890406191879793E-2</v>
      </c>
      <c r="Q17" s="12">
        <f t="shared" si="1"/>
        <v>232932797310.59998</v>
      </c>
      <c r="R17" s="17">
        <v>7.3599999999999999E-2</v>
      </c>
      <c r="S17" s="18">
        <v>5970455071.7600002</v>
      </c>
      <c r="T17" s="13">
        <v>0</v>
      </c>
      <c r="U17" s="15">
        <v>0</v>
      </c>
      <c r="V17" s="17">
        <v>7.4300000000000005E-2</v>
      </c>
      <c r="W17" s="18">
        <v>27106065433.650002</v>
      </c>
      <c r="X17" s="11">
        <f>+(P17*Q17+R17*S17+T17*U17+V17*W17)/Y17</f>
        <v>8.5309160276959173E-2</v>
      </c>
      <c r="Y17" s="12">
        <f t="shared" si="2"/>
        <v>266009317816.00998</v>
      </c>
    </row>
    <row r="18" spans="1:25" ht="19.5" customHeight="1" x14ac:dyDescent="0.25">
      <c r="A18" s="2" t="s">
        <v>34</v>
      </c>
      <c r="B18" s="13">
        <v>0</v>
      </c>
      <c r="C18" s="15">
        <v>0</v>
      </c>
      <c r="D18" s="19">
        <v>8.3299999999999999E-2</v>
      </c>
      <c r="E18" s="20">
        <v>104969341.83</v>
      </c>
      <c r="F18" s="13">
        <v>0</v>
      </c>
      <c r="G18" s="15">
        <v>0</v>
      </c>
      <c r="H18" s="13">
        <v>0</v>
      </c>
      <c r="I18" s="15">
        <v>0</v>
      </c>
      <c r="J18" s="13">
        <v>0</v>
      </c>
      <c r="K18" s="15">
        <v>0</v>
      </c>
      <c r="L18" s="13">
        <v>0</v>
      </c>
      <c r="M18" s="15">
        <v>0</v>
      </c>
      <c r="N18" s="13">
        <v>0</v>
      </c>
      <c r="O18" s="15">
        <v>0</v>
      </c>
      <c r="P18" s="11">
        <f t="shared" si="0"/>
        <v>8.3299999999999999E-2</v>
      </c>
      <c r="Q18" s="12">
        <f t="shared" si="1"/>
        <v>104969341.83</v>
      </c>
      <c r="R18" s="13">
        <v>0</v>
      </c>
      <c r="S18" s="15">
        <v>0</v>
      </c>
      <c r="T18" s="13">
        <v>0</v>
      </c>
      <c r="U18" s="15">
        <v>0</v>
      </c>
      <c r="V18" s="13">
        <v>0</v>
      </c>
      <c r="W18" s="15">
        <v>0</v>
      </c>
      <c r="X18" s="11">
        <f>+(P18*Q18+R18*S18+T18*U18+V18*W18)/Y18</f>
        <v>8.3299999999999999E-2</v>
      </c>
      <c r="Y18" s="12">
        <f t="shared" si="2"/>
        <v>104969341.83</v>
      </c>
    </row>
    <row r="19" spans="1:25" s="6" customFormat="1" ht="17.25" x14ac:dyDescent="0.25">
      <c r="A19" s="2" t="s">
        <v>24</v>
      </c>
      <c r="B19" s="13">
        <v>0</v>
      </c>
      <c r="C19" s="15">
        <v>0</v>
      </c>
      <c r="D19" s="13">
        <v>0</v>
      </c>
      <c r="E19" s="15">
        <v>0</v>
      </c>
      <c r="F19" s="13">
        <v>0</v>
      </c>
      <c r="G19" s="15">
        <v>0</v>
      </c>
      <c r="H19" s="13">
        <v>0</v>
      </c>
      <c r="I19" s="15">
        <v>0</v>
      </c>
      <c r="J19" s="13">
        <v>0</v>
      </c>
      <c r="K19" s="15">
        <v>0</v>
      </c>
      <c r="L19" s="13">
        <v>0</v>
      </c>
      <c r="M19" s="15">
        <v>0</v>
      </c>
      <c r="N19" s="13">
        <v>0</v>
      </c>
      <c r="O19" s="15">
        <v>0</v>
      </c>
      <c r="P19" s="16">
        <v>0</v>
      </c>
      <c r="Q19" s="12">
        <v>0</v>
      </c>
      <c r="R19" s="13">
        <v>0</v>
      </c>
      <c r="S19" s="15">
        <v>0</v>
      </c>
      <c r="T19" s="13">
        <v>0</v>
      </c>
      <c r="U19" s="15">
        <v>0</v>
      </c>
      <c r="V19" s="13">
        <v>0</v>
      </c>
      <c r="W19" s="15">
        <v>0</v>
      </c>
      <c r="X19" s="16">
        <v>0</v>
      </c>
      <c r="Y19" s="12">
        <f t="shared" si="2"/>
        <v>0</v>
      </c>
    </row>
    <row r="20" spans="1:25" ht="17.25" x14ac:dyDescent="0.25">
      <c r="A20" s="2" t="s">
        <v>25</v>
      </c>
      <c r="B20" s="19">
        <v>9.0399999999999994E-2</v>
      </c>
      <c r="C20" s="20">
        <v>2143193094.05</v>
      </c>
      <c r="D20" s="19">
        <v>0</v>
      </c>
      <c r="E20" s="15">
        <v>0</v>
      </c>
      <c r="F20" s="19">
        <v>9.0399999999999994E-2</v>
      </c>
      <c r="G20" s="20">
        <v>3277388039.27</v>
      </c>
      <c r="H20" s="19">
        <v>0.111</v>
      </c>
      <c r="I20" s="20">
        <v>54252866376.050003</v>
      </c>
      <c r="J20" s="19">
        <v>8.5099999999999995E-2</v>
      </c>
      <c r="K20" s="20">
        <v>4226906567.3200002</v>
      </c>
      <c r="L20" s="19">
        <v>6.93E-2</v>
      </c>
      <c r="M20" s="20">
        <v>4746226501.3599997</v>
      </c>
      <c r="N20" s="19">
        <v>0.1014</v>
      </c>
      <c r="O20" s="20">
        <v>39955319530.260002</v>
      </c>
      <c r="P20" s="11">
        <f t="shared" si="0"/>
        <v>0.10360943350681051</v>
      </c>
      <c r="Q20" s="12">
        <f t="shared" si="1"/>
        <v>108601900108.31</v>
      </c>
      <c r="R20" s="17">
        <v>0.1235</v>
      </c>
      <c r="S20" s="18">
        <v>641245901.12</v>
      </c>
      <c r="T20" s="17">
        <v>9.4399999999999998E-2</v>
      </c>
      <c r="U20" s="18">
        <v>6302283585.2299995</v>
      </c>
      <c r="V20" s="17">
        <v>0</v>
      </c>
      <c r="W20" s="18">
        <v>0</v>
      </c>
      <c r="X20" s="11">
        <f t="shared" si="3"/>
        <v>0.10321750353135938</v>
      </c>
      <c r="Y20" s="12">
        <f t="shared" si="2"/>
        <v>115545429594.65999</v>
      </c>
    </row>
    <row r="21" spans="1:25" ht="32.25" x14ac:dyDescent="0.25">
      <c r="A21" s="2" t="s">
        <v>26</v>
      </c>
      <c r="B21" s="22">
        <v>-3.4799999999999998E-2</v>
      </c>
      <c r="C21" s="20">
        <v>93847018.159999996</v>
      </c>
      <c r="D21" s="22">
        <v>-3.4799999999999998E-2</v>
      </c>
      <c r="E21" s="20">
        <v>2029764876.3800001</v>
      </c>
      <c r="F21" s="22">
        <v>-3.4799999999999998E-2</v>
      </c>
      <c r="G21" s="20">
        <v>35331071.369999997</v>
      </c>
      <c r="H21" s="22">
        <v>-3.4799999999999998E-2</v>
      </c>
      <c r="I21" s="20">
        <v>3089549481.48</v>
      </c>
      <c r="J21" s="22">
        <v>-3.4799999999999998E-2</v>
      </c>
      <c r="K21" s="20">
        <v>2875575504.8099999</v>
      </c>
      <c r="L21" s="13">
        <v>0</v>
      </c>
      <c r="M21" s="15">
        <v>0</v>
      </c>
      <c r="N21" s="22">
        <v>-3.4799999999999998E-2</v>
      </c>
      <c r="O21" s="20">
        <v>1471967744.3199999</v>
      </c>
      <c r="P21" s="11">
        <f t="shared" si="0"/>
        <v>-3.4799999999999998E-2</v>
      </c>
      <c r="Q21" s="12">
        <f t="shared" si="1"/>
        <v>9596035696.5200005</v>
      </c>
      <c r="R21" s="13">
        <v>0</v>
      </c>
      <c r="S21" s="15">
        <v>0</v>
      </c>
      <c r="T21" s="13">
        <v>0</v>
      </c>
      <c r="U21" s="15">
        <v>0</v>
      </c>
      <c r="V21" s="13">
        <v>0</v>
      </c>
      <c r="W21" s="15">
        <v>0</v>
      </c>
      <c r="X21" s="11">
        <f t="shared" si="3"/>
        <v>-3.4799999999999998E-2</v>
      </c>
      <c r="Y21" s="12">
        <f t="shared" si="2"/>
        <v>9596035696.5200005</v>
      </c>
    </row>
    <row r="22" spans="1:25" ht="30" x14ac:dyDescent="0.25">
      <c r="A22" s="2" t="s">
        <v>27</v>
      </c>
      <c r="B22" s="19">
        <v>0.1179</v>
      </c>
      <c r="C22" s="20">
        <v>1850322482.51</v>
      </c>
      <c r="D22" s="19">
        <v>9.7199999999999995E-2</v>
      </c>
      <c r="E22" s="20">
        <v>30117541135.66</v>
      </c>
      <c r="F22" s="19">
        <v>9.2499999999999999E-2</v>
      </c>
      <c r="G22" s="20">
        <v>44937289.299999997</v>
      </c>
      <c r="H22" s="19">
        <v>0.11070000000000001</v>
      </c>
      <c r="I22" s="20">
        <v>14120755295.43</v>
      </c>
      <c r="J22" s="19">
        <v>0.1115</v>
      </c>
      <c r="K22" s="20">
        <v>12257357239.18</v>
      </c>
      <c r="L22" s="13">
        <v>0</v>
      </c>
      <c r="M22" s="15">
        <v>0</v>
      </c>
      <c r="N22" s="19">
        <v>0.115</v>
      </c>
      <c r="O22" s="20">
        <v>3616394874.9499998</v>
      </c>
      <c r="P22" s="11">
        <f t="shared" si="0"/>
        <v>0.10475350807224608</v>
      </c>
      <c r="Q22" s="12">
        <f t="shared" si="1"/>
        <v>62007308317.029991</v>
      </c>
      <c r="R22" s="17">
        <v>9.01E-2</v>
      </c>
      <c r="S22" s="18">
        <v>322939598.57999998</v>
      </c>
      <c r="T22" s="13">
        <v>0</v>
      </c>
      <c r="U22" s="15">
        <v>0</v>
      </c>
      <c r="V22" s="17">
        <v>0.1144</v>
      </c>
      <c r="W22" s="18">
        <v>4341587986.8800001</v>
      </c>
      <c r="X22" s="11">
        <f t="shared" si="3"/>
        <v>0.10531069830034724</v>
      </c>
      <c r="Y22" s="12">
        <f t="shared" si="2"/>
        <v>66671835902.48999</v>
      </c>
    </row>
    <row r="23" spans="1:25" ht="16.5" customHeight="1" x14ac:dyDescent="0.25">
      <c r="A23" s="1" t="s">
        <v>28</v>
      </c>
      <c r="B23" s="14">
        <f>+SUMPRODUCT(C10:C22,B10:B22)/C23</f>
        <v>7.3002611408480342E-2</v>
      </c>
      <c r="C23" s="5">
        <f>+SUM(C10:C22)</f>
        <v>23822662563.399998</v>
      </c>
      <c r="D23" s="14">
        <f>+SUMPRODUCT(E10:E22,D10:D22)/E23</f>
        <v>7.6217289365655097E-2</v>
      </c>
      <c r="E23" s="5">
        <f>+SUM(E10:E22)</f>
        <v>301119344075.77002</v>
      </c>
      <c r="F23" s="14">
        <f>+SUMPRODUCT(G10:G22,F10:F22)/G23</f>
        <v>7.2490825888521473E-2</v>
      </c>
      <c r="G23" s="5">
        <f>+SUM(G10:G22)</f>
        <v>13552676953.870001</v>
      </c>
      <c r="H23" s="14">
        <f>+SUMPRODUCT(I10:I22,H10:H22)/I23</f>
        <v>7.8149064363036994E-2</v>
      </c>
      <c r="I23" s="5">
        <f>+SUM(I10:I22)</f>
        <v>431099062195.89001</v>
      </c>
      <c r="J23" s="14">
        <f>+SUMPRODUCT(K10:K22,J10:J22)/K23</f>
        <v>7.9424672953720188E-2</v>
      </c>
      <c r="K23" s="5">
        <f>+SUM(K10:K22)</f>
        <v>223417365418.80002</v>
      </c>
      <c r="L23" s="14">
        <f>+SUMPRODUCT(M10:M22,L10:L22)/M23</f>
        <v>7.9989284692504964E-2</v>
      </c>
      <c r="M23" s="5">
        <f>+SUM(M10:M22)</f>
        <v>10990176775.079998</v>
      </c>
      <c r="N23" s="14">
        <f>+SUMPRODUCT(O10:O22,N10:N22)/O23</f>
        <v>7.7852673559758584E-2</v>
      </c>
      <c r="O23" s="5">
        <f>+SUM(O10:O22)</f>
        <v>278957108512.52002</v>
      </c>
      <c r="P23" s="14">
        <f>+SUMPRODUCT(P10:P22,Q10:Q22)/Q23</f>
        <v>7.7713785887867981E-2</v>
      </c>
      <c r="Q23" s="5">
        <f>+SUM(Q10:Q22)</f>
        <v>1282958396495.3303</v>
      </c>
      <c r="R23" s="14">
        <f>+SUMPRODUCT(S10:S22,R10:R22)/S23</f>
        <v>6.9901474962982213E-2</v>
      </c>
      <c r="S23" s="5">
        <f>+SUM(S10:S22)</f>
        <v>22787479910.450001</v>
      </c>
      <c r="T23" s="14">
        <f>+SUMPRODUCT(U10:U22,T10:T22)/U23</f>
        <v>9.2277302238050626E-2</v>
      </c>
      <c r="U23" s="5">
        <f>+SUM(U10:U22)</f>
        <v>29327912065.110001</v>
      </c>
      <c r="V23" s="14">
        <f>+SUMPRODUCT(W10:W22,V10:V22)/W23</f>
        <v>7.071533257748501E-2</v>
      </c>
      <c r="W23" s="5">
        <f>+SUM(W10:W22)</f>
        <v>94568797842.029999</v>
      </c>
      <c r="X23" s="14">
        <f>+SUMPRODUCT(X10:X22,Y10:Y22)/Y23</f>
        <v>7.7425083892246088E-2</v>
      </c>
      <c r="Y23" s="5">
        <f>SUM(Y10:Y22)</f>
        <v>1429642586312.9202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  <c r="Y24" s="21"/>
    </row>
    <row r="25" spans="1:25" ht="18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25" ht="18" customHeight="1" x14ac:dyDescent="0.25">
      <c r="A26" s="25" t="s">
        <v>29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25" x14ac:dyDescent="0.25">
      <c r="A27" s="25" t="s">
        <v>30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25" x14ac:dyDescent="0.25">
      <c r="A28" s="10" t="s">
        <v>31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25" t="s">
        <v>35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25" ht="15" customHeight="1" x14ac:dyDescent="0.25">
      <c r="A30" s="25" t="s">
        <v>32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25" ht="17.25" customHeight="1" x14ac:dyDescent="0.25">
      <c r="A31" s="25" t="s">
        <v>40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</row>
  </sheetData>
  <mergeCells count="24">
    <mergeCell ref="D7:E8"/>
    <mergeCell ref="F7:G8"/>
    <mergeCell ref="H7:I8"/>
    <mergeCell ref="A1:K1"/>
    <mergeCell ref="A2:W2"/>
    <mergeCell ref="A3:W3"/>
    <mergeCell ref="A4:W4"/>
    <mergeCell ref="A5:W5"/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FEB2-23CD-4FDB-89AD-0A71F156210E}">
  <dimension ref="A1:AA31"/>
  <sheetViews>
    <sheetView showGridLines="0" zoomScale="90" zoomScaleNormal="90" workbookViewId="0">
      <pane xSplit="1" ySplit="9" topLeftCell="H10" activePane="bottomRight" state="frozen"/>
      <selection pane="topRight" activeCell="B1" sqref="B1"/>
      <selection pane="bottomLeft" activeCell="A10" sqref="A10"/>
      <selection pane="bottomRight" activeCell="I33" sqref="I33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  <col min="26" max="26" width="19.85546875" bestFit="1" customWidth="1"/>
  </cols>
  <sheetData>
    <row r="1" spans="1:27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7" x14ac:dyDescent="0.25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7" x14ac:dyDescent="0.25">
      <c r="A3" s="36" t="s">
        <v>38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7" x14ac:dyDescent="0.25">
      <c r="A4" s="36" t="s">
        <v>37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7" x14ac:dyDescent="0.25">
      <c r="A5" s="37" t="s">
        <v>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7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7" ht="9" customHeight="1" x14ac:dyDescent="0.25">
      <c r="A7" s="32" t="s">
        <v>2</v>
      </c>
      <c r="B7" s="26" t="s">
        <v>3</v>
      </c>
      <c r="C7" s="27"/>
      <c r="D7" s="26" t="s">
        <v>4</v>
      </c>
      <c r="E7" s="27"/>
      <c r="F7" s="26" t="s">
        <v>5</v>
      </c>
      <c r="G7" s="27"/>
      <c r="H7" s="26" t="s">
        <v>6</v>
      </c>
      <c r="I7" s="27"/>
      <c r="J7" s="30" t="s">
        <v>7</v>
      </c>
      <c r="K7" s="31"/>
      <c r="L7" s="26" t="s">
        <v>8</v>
      </c>
      <c r="M7" s="27"/>
      <c r="N7" s="26" t="s">
        <v>9</v>
      </c>
      <c r="O7" s="27"/>
      <c r="P7" s="26" t="s">
        <v>10</v>
      </c>
      <c r="Q7" s="27"/>
      <c r="R7" s="26" t="s">
        <v>11</v>
      </c>
      <c r="S7" s="27"/>
      <c r="T7" s="26" t="s">
        <v>12</v>
      </c>
      <c r="U7" s="27"/>
      <c r="V7" s="26" t="s">
        <v>13</v>
      </c>
      <c r="W7" s="27"/>
      <c r="X7" s="26" t="s">
        <v>14</v>
      </c>
      <c r="Y7" s="27"/>
    </row>
    <row r="8" spans="1:27" ht="24" customHeight="1" x14ac:dyDescent="0.25">
      <c r="A8" s="33"/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  <c r="N8" s="28"/>
      <c r="O8" s="29"/>
      <c r="P8" s="28"/>
      <c r="Q8" s="29"/>
      <c r="R8" s="28"/>
      <c r="S8" s="29"/>
      <c r="T8" s="28"/>
      <c r="U8" s="29"/>
      <c r="V8" s="28"/>
      <c r="W8" s="29"/>
      <c r="X8" s="28"/>
      <c r="Y8" s="29"/>
    </row>
    <row r="9" spans="1:27" ht="17.25" customHeight="1" x14ac:dyDescent="0.25">
      <c r="A9" s="34"/>
      <c r="B9" s="9" t="s">
        <v>15</v>
      </c>
      <c r="C9" s="9" t="s">
        <v>16</v>
      </c>
      <c r="D9" s="9" t="s">
        <v>15</v>
      </c>
      <c r="E9" s="9" t="s">
        <v>16</v>
      </c>
      <c r="F9" s="9" t="s">
        <v>15</v>
      </c>
      <c r="G9" s="9" t="s">
        <v>16</v>
      </c>
      <c r="H9" s="9" t="s">
        <v>15</v>
      </c>
      <c r="I9" s="9" t="s">
        <v>16</v>
      </c>
      <c r="J9" s="9" t="s">
        <v>15</v>
      </c>
      <c r="K9" s="9" t="s">
        <v>16</v>
      </c>
      <c r="L9" s="9" t="s">
        <v>15</v>
      </c>
      <c r="M9" s="9" t="s">
        <v>16</v>
      </c>
      <c r="N9" s="9" t="s">
        <v>15</v>
      </c>
      <c r="O9" s="9" t="s">
        <v>16</v>
      </c>
      <c r="P9" s="9" t="s">
        <v>15</v>
      </c>
      <c r="Q9" s="9" t="s">
        <v>16</v>
      </c>
      <c r="R9" s="9" t="s">
        <v>15</v>
      </c>
      <c r="S9" s="9" t="s">
        <v>16</v>
      </c>
      <c r="T9" s="9" t="s">
        <v>15</v>
      </c>
      <c r="U9" s="9" t="s">
        <v>16</v>
      </c>
      <c r="V9" s="9" t="s">
        <v>15</v>
      </c>
      <c r="W9" s="9" t="s">
        <v>16</v>
      </c>
      <c r="X9" s="9" t="s">
        <v>15</v>
      </c>
      <c r="Y9" s="9" t="s">
        <v>16</v>
      </c>
    </row>
    <row r="10" spans="1:27" ht="17.25" x14ac:dyDescent="0.25">
      <c r="A10" s="2" t="s">
        <v>33</v>
      </c>
      <c r="B10" s="19">
        <v>5.9299999999999999E-2</v>
      </c>
      <c r="C10" s="20">
        <v>2720427.52</v>
      </c>
      <c r="D10" s="19">
        <v>5.7299999999999997E-2</v>
      </c>
      <c r="E10" s="20">
        <v>1262424409.8900001</v>
      </c>
      <c r="F10" s="19">
        <v>5.9299999999999999E-2</v>
      </c>
      <c r="G10" s="20">
        <v>10609831.119999999</v>
      </c>
      <c r="H10" s="13">
        <v>0</v>
      </c>
      <c r="I10" s="15">
        <v>0</v>
      </c>
      <c r="J10" s="19">
        <v>5.9299999999999999E-2</v>
      </c>
      <c r="K10" s="20">
        <v>1233139414.3399999</v>
      </c>
      <c r="L10" s="13">
        <v>0</v>
      </c>
      <c r="M10" s="15">
        <v>0</v>
      </c>
      <c r="N10" s="19">
        <v>5.9299999999999999E-2</v>
      </c>
      <c r="O10" s="20">
        <v>1233139414.3399999</v>
      </c>
      <c r="P10" s="11">
        <f t="shared" ref="P10:P22" si="0">+((B10*C10)+(D10*E10)+(F10*G10)+(H10*I10)+(J10*K10)+(L10*M10)+(N10*O10))/Q10</f>
        <v>5.8625273592109076E-2</v>
      </c>
      <c r="Q10" s="12">
        <f t="shared" ref="Q10:Q22" si="1">+SUM(C10,E10,G10,I10,K10,M10,O10)</f>
        <v>3742033497.21</v>
      </c>
      <c r="R10" s="13">
        <v>0</v>
      </c>
      <c r="S10" s="15">
        <v>0</v>
      </c>
      <c r="T10" s="19">
        <v>5.9299999999999999E-2</v>
      </c>
      <c r="U10" s="18">
        <v>27160.6</v>
      </c>
      <c r="V10" s="13">
        <v>0</v>
      </c>
      <c r="W10" s="15">
        <v>0</v>
      </c>
      <c r="X10" s="11">
        <f>+(P10*Q10+R10*S10+T10*U10+V10*W10)/Y10</f>
        <v>5.8625278489403847E-2</v>
      </c>
      <c r="Y10" s="12">
        <f>+SUM(Q10+S10+U10+W10)</f>
        <v>3742060657.8099999</v>
      </c>
    </row>
    <row r="11" spans="1:27" x14ac:dyDescent="0.25">
      <c r="A11" s="2" t="s">
        <v>17</v>
      </c>
      <c r="B11" s="19">
        <v>5.8799999999999998E-2</v>
      </c>
      <c r="C11" s="20">
        <v>15027596578.780001</v>
      </c>
      <c r="D11" s="19">
        <v>6.7699999999999996E-2</v>
      </c>
      <c r="E11" s="20">
        <v>183352799024.95001</v>
      </c>
      <c r="F11" s="19">
        <v>5.5100000000000003E-2</v>
      </c>
      <c r="G11" s="20">
        <v>6686479432.1700001</v>
      </c>
      <c r="H11" s="19">
        <v>6.7100000000000007E-2</v>
      </c>
      <c r="I11" s="20">
        <v>210924745887.84</v>
      </c>
      <c r="J11" s="19">
        <v>6.54E-2</v>
      </c>
      <c r="K11" s="20">
        <v>123814221218.32001</v>
      </c>
      <c r="L11" s="19">
        <v>8.1100000000000005E-2</v>
      </c>
      <c r="M11" s="20">
        <v>3771537471.6300001</v>
      </c>
      <c r="N11" s="19">
        <v>7.1400000000000005E-2</v>
      </c>
      <c r="O11" s="20">
        <v>167062844995.42001</v>
      </c>
      <c r="P11" s="11">
        <f>+((B11*C11)+(D11*E11)+(F11*G11)+(H11*I11)+(J11*K11)+(L11*M11)+(N11*O11))/Q11</f>
        <v>6.7755370242928797E-2</v>
      </c>
      <c r="Q11" s="12">
        <f t="shared" si="1"/>
        <v>710640224609.10999</v>
      </c>
      <c r="R11" s="19">
        <v>6.54E-2</v>
      </c>
      <c r="S11" s="18">
        <v>14259324448.26</v>
      </c>
      <c r="T11" s="19">
        <v>6.9099999999999995E-2</v>
      </c>
      <c r="U11" s="18">
        <v>13208105755.4</v>
      </c>
      <c r="V11" s="19">
        <v>6.4299999999999996E-2</v>
      </c>
      <c r="W11" s="18">
        <v>55239286596.010002</v>
      </c>
      <c r="X11" s="11">
        <f>+(P11*Q11+R11*S11+T11*U11+V11*W11)/Y11</f>
        <v>6.7494830808272538E-2</v>
      </c>
      <c r="Y11" s="12">
        <f t="shared" ref="Y11:Y22" si="2">+SUM(Q11+S11+U11+W11)</f>
        <v>793346941408.78003</v>
      </c>
    </row>
    <row r="12" spans="1:27" ht="17.25" x14ac:dyDescent="0.25">
      <c r="A12" s="2" t="s">
        <v>18</v>
      </c>
      <c r="B12" s="19">
        <v>0.1115</v>
      </c>
      <c r="C12" s="20">
        <v>1104377107.9200001</v>
      </c>
      <c r="D12" s="19">
        <v>0.1016</v>
      </c>
      <c r="E12" s="20">
        <v>15742703041.790001</v>
      </c>
      <c r="F12" s="19">
        <v>9.98E-2</v>
      </c>
      <c r="G12" s="20">
        <v>690065267.86000001</v>
      </c>
      <c r="H12" s="19">
        <v>0.1016</v>
      </c>
      <c r="I12" s="20">
        <v>26096946237.32</v>
      </c>
      <c r="J12" s="19">
        <v>0.1013</v>
      </c>
      <c r="K12" s="20">
        <v>9730844777.3899994</v>
      </c>
      <c r="L12" s="19">
        <v>0.1</v>
      </c>
      <c r="M12" s="20">
        <v>48482479.890000001</v>
      </c>
      <c r="N12" s="19">
        <v>0.1013</v>
      </c>
      <c r="O12" s="20">
        <v>20073829042.200001</v>
      </c>
      <c r="P12" s="11">
        <f t="shared" si="0"/>
        <v>0.1016091477336718</v>
      </c>
      <c r="Q12" s="12">
        <f t="shared" si="1"/>
        <v>73487247954.369995</v>
      </c>
      <c r="R12" s="17">
        <v>0.1046</v>
      </c>
      <c r="S12" s="18">
        <v>673443939</v>
      </c>
      <c r="T12" s="17">
        <v>9.5299999999999996E-2</v>
      </c>
      <c r="U12" s="18">
        <v>362267004.01999998</v>
      </c>
      <c r="V12" s="17">
        <v>0.1026</v>
      </c>
      <c r="W12" s="18">
        <v>4009370771.6300001</v>
      </c>
      <c r="X12" s="11">
        <f t="shared" ref="X12:X22" si="3">+(P12*Q12+R12*S12+T12*U12+V12*W12)/Y12</f>
        <v>0.10165627825195674</v>
      </c>
      <c r="Y12" s="12">
        <f t="shared" si="2"/>
        <v>78532329669.020004</v>
      </c>
      <c r="Z12" s="24"/>
    </row>
    <row r="13" spans="1:27" x14ac:dyDescent="0.25">
      <c r="A13" s="2" t="s">
        <v>19</v>
      </c>
      <c r="B13" s="19">
        <v>0.1027</v>
      </c>
      <c r="C13" s="20">
        <v>1968243617.99</v>
      </c>
      <c r="D13" s="19">
        <v>0.1497</v>
      </c>
      <c r="E13" s="20">
        <v>4861725134.8100004</v>
      </c>
      <c r="F13" s="19">
        <v>0.10829999999999999</v>
      </c>
      <c r="G13" s="20">
        <v>1472714115.72</v>
      </c>
      <c r="H13" s="19">
        <v>0.1074</v>
      </c>
      <c r="I13" s="20">
        <v>7839400279.3999996</v>
      </c>
      <c r="J13" s="19">
        <v>0.14460000000000001</v>
      </c>
      <c r="K13" s="20">
        <v>3337722153.7600002</v>
      </c>
      <c r="L13" s="13">
        <v>0</v>
      </c>
      <c r="M13" s="15">
        <v>0</v>
      </c>
      <c r="N13" s="19">
        <v>6.3600000000000004E-2</v>
      </c>
      <c r="O13" s="20">
        <v>5167350160.5</v>
      </c>
      <c r="P13" s="11">
        <f t="shared" si="0"/>
        <v>0.11127708018228154</v>
      </c>
      <c r="Q13" s="12">
        <f t="shared" si="1"/>
        <v>24647155462.18</v>
      </c>
      <c r="R13" s="17">
        <v>9.35E-2</v>
      </c>
      <c r="S13" s="18">
        <v>122218370.65000001</v>
      </c>
      <c r="T13" s="17">
        <v>8.4500000000000006E-2</v>
      </c>
      <c r="U13" s="18">
        <v>1015392823.17</v>
      </c>
      <c r="V13" s="17">
        <v>7.8100000000000003E-2</v>
      </c>
      <c r="W13" s="18">
        <v>874334131.33000004</v>
      </c>
      <c r="X13" s="11">
        <f t="shared" si="3"/>
        <v>0.10908759168961975</v>
      </c>
      <c r="Y13" s="12">
        <f t="shared" si="2"/>
        <v>26659100787.330002</v>
      </c>
    </row>
    <row r="14" spans="1:27" s="6" customFormat="1" ht="30" x14ac:dyDescent="0.25">
      <c r="A14" s="2" t="s">
        <v>20</v>
      </c>
      <c r="B14" s="13">
        <v>0</v>
      </c>
      <c r="C14" s="15">
        <v>0</v>
      </c>
      <c r="D14" s="19">
        <v>8.5699999999999998E-2</v>
      </c>
      <c r="E14" s="20">
        <v>8213650897.6000004</v>
      </c>
      <c r="F14" s="13">
        <v>0</v>
      </c>
      <c r="G14" s="15">
        <v>0</v>
      </c>
      <c r="H14" s="19">
        <v>8.7300000000000003E-2</v>
      </c>
      <c r="I14" s="20">
        <v>695221234.39999998</v>
      </c>
      <c r="J14" s="19">
        <v>8.6699999999999999E-2</v>
      </c>
      <c r="K14" s="20">
        <v>571819222.62</v>
      </c>
      <c r="L14" s="13">
        <v>0</v>
      </c>
      <c r="M14" s="15">
        <v>0</v>
      </c>
      <c r="N14" s="13">
        <v>0</v>
      </c>
      <c r="O14" s="15">
        <v>0</v>
      </c>
      <c r="P14" s="11">
        <f t="shared" si="0"/>
        <v>8.5877642445541608E-2</v>
      </c>
      <c r="Q14" s="12">
        <f t="shared" si="1"/>
        <v>9480691354.6200008</v>
      </c>
      <c r="R14" s="13">
        <v>0</v>
      </c>
      <c r="S14" s="15">
        <v>0</v>
      </c>
      <c r="T14" s="13">
        <v>0</v>
      </c>
      <c r="U14" s="15">
        <v>0</v>
      </c>
      <c r="V14" s="13">
        <v>0</v>
      </c>
      <c r="W14" s="15">
        <v>0</v>
      </c>
      <c r="X14" s="11">
        <f t="shared" si="3"/>
        <v>8.5877642445541608E-2</v>
      </c>
      <c r="Y14" s="12">
        <f t="shared" si="2"/>
        <v>9480691354.6200008</v>
      </c>
      <c r="AA14" s="23"/>
    </row>
    <row r="15" spans="1:27" ht="17.25" x14ac:dyDescent="0.25">
      <c r="A15" s="2" t="s">
        <v>21</v>
      </c>
      <c r="B15" s="19">
        <v>0.1004</v>
      </c>
      <c r="C15" s="20">
        <v>65340278.07</v>
      </c>
      <c r="D15" s="19">
        <v>5.7500000000000002E-2</v>
      </c>
      <c r="E15" s="20">
        <v>10536201369.030001</v>
      </c>
      <c r="F15" s="19">
        <v>8.2000000000000003E-2</v>
      </c>
      <c r="G15" s="20">
        <v>924997687.04999995</v>
      </c>
      <c r="H15" s="19">
        <v>6.1199999999999997E-2</v>
      </c>
      <c r="I15" s="20">
        <v>12255921562.200001</v>
      </c>
      <c r="J15" s="19">
        <v>4.9700000000000001E-2</v>
      </c>
      <c r="K15" s="20">
        <v>8940450272.2900009</v>
      </c>
      <c r="L15" s="19">
        <v>9.5500000000000002E-2</v>
      </c>
      <c r="M15" s="20">
        <v>2668830822.3699999</v>
      </c>
      <c r="N15" s="19">
        <v>6.4199999999999993E-2</v>
      </c>
      <c r="O15" s="20">
        <v>14013936469.02</v>
      </c>
      <c r="P15" s="11">
        <f t="shared" si="0"/>
        <v>6.1474965846680545E-2</v>
      </c>
      <c r="Q15" s="12">
        <f t="shared" si="1"/>
        <v>49405678460.029999</v>
      </c>
      <c r="R15" s="17">
        <v>3.3599999999999998E-2</v>
      </c>
      <c r="S15" s="18">
        <v>797740933.70000005</v>
      </c>
      <c r="T15" s="17">
        <v>8.2600000000000007E-2</v>
      </c>
      <c r="U15" s="18">
        <v>3142533402.6700001</v>
      </c>
      <c r="V15" s="17">
        <v>3.8600000000000002E-2</v>
      </c>
      <c r="W15" s="18">
        <v>3719118614.21</v>
      </c>
      <c r="X15" s="11">
        <f t="shared" si="3"/>
        <v>6.0757791819027726E-2</v>
      </c>
      <c r="Y15" s="12">
        <f t="shared" si="2"/>
        <v>57065071410.609993</v>
      </c>
    </row>
    <row r="16" spans="1:27" ht="18" customHeight="1" x14ac:dyDescent="0.25">
      <c r="A16" s="2" t="s">
        <v>22</v>
      </c>
      <c r="B16" s="13">
        <v>0</v>
      </c>
      <c r="C16" s="15">
        <v>0</v>
      </c>
      <c r="D16" s="13">
        <v>0</v>
      </c>
      <c r="E16" s="15">
        <v>0</v>
      </c>
      <c r="F16" s="13">
        <v>0</v>
      </c>
      <c r="G16" s="15">
        <v>0</v>
      </c>
      <c r="H16" s="13">
        <v>0</v>
      </c>
      <c r="I16" s="15">
        <v>0</v>
      </c>
      <c r="J16" s="13">
        <v>0</v>
      </c>
      <c r="K16" s="15">
        <v>0</v>
      </c>
      <c r="L16" s="13">
        <v>0</v>
      </c>
      <c r="M16" s="15">
        <v>0</v>
      </c>
      <c r="N16" s="13">
        <v>0</v>
      </c>
      <c r="O16" s="15">
        <v>0</v>
      </c>
      <c r="P16" s="16">
        <v>0</v>
      </c>
      <c r="Q16" s="12">
        <v>0</v>
      </c>
      <c r="R16" s="13">
        <v>0</v>
      </c>
      <c r="S16" s="15">
        <v>0</v>
      </c>
      <c r="T16" s="17">
        <v>0.14940000000000001</v>
      </c>
      <c r="U16" s="18">
        <v>5275397060.4799995</v>
      </c>
      <c r="V16" s="13">
        <v>0</v>
      </c>
      <c r="W16" s="15">
        <v>0</v>
      </c>
      <c r="X16" s="11">
        <f>+(P16*Q16+R16*S16+T16*U16+V16*W16)/Y16</f>
        <v>0.14940000000000001</v>
      </c>
      <c r="Y16" s="12">
        <f t="shared" si="2"/>
        <v>5275397060.4799995</v>
      </c>
    </row>
    <row r="17" spans="1:25" ht="19.5" customHeight="1" x14ac:dyDescent="0.25">
      <c r="A17" s="2" t="s">
        <v>23</v>
      </c>
      <c r="B17" s="19">
        <v>7.0499999999999993E-2</v>
      </c>
      <c r="C17" s="20">
        <v>1286612786.75</v>
      </c>
      <c r="D17" s="19">
        <v>7.5499999999999998E-2</v>
      </c>
      <c r="E17" s="20">
        <v>46660857270.57</v>
      </c>
      <c r="F17" s="19">
        <v>2.8899999999999999E-2</v>
      </c>
      <c r="G17" s="20">
        <v>538903591.88</v>
      </c>
      <c r="H17" s="19">
        <v>7.1800000000000003E-2</v>
      </c>
      <c r="I17" s="20">
        <v>105478873820.59</v>
      </c>
      <c r="J17" s="19">
        <v>9.8100000000000007E-2</v>
      </c>
      <c r="K17" s="20">
        <v>59001227109.389999</v>
      </c>
      <c r="L17" s="13">
        <v>0</v>
      </c>
      <c r="M17" s="15">
        <v>0</v>
      </c>
      <c r="N17" s="19">
        <v>8.5999999999999993E-2</v>
      </c>
      <c r="O17" s="20">
        <v>27451608812.630001</v>
      </c>
      <c r="P17" s="11">
        <f t="shared" si="0"/>
        <v>8.0490688736162538E-2</v>
      </c>
      <c r="Q17" s="12">
        <f t="shared" si="1"/>
        <v>240418083391.81</v>
      </c>
      <c r="R17" s="17">
        <v>7.17E-2</v>
      </c>
      <c r="S17" s="18">
        <v>5966638570.7799997</v>
      </c>
      <c r="T17" s="13">
        <v>0</v>
      </c>
      <c r="U17" s="15">
        <v>0</v>
      </c>
      <c r="V17" s="17">
        <v>7.2400000000000006E-2</v>
      </c>
      <c r="W17" s="18">
        <v>27116966624.91</v>
      </c>
      <c r="X17" s="11">
        <f>+(P17*Q17+R17*S17+T17*U17+V17*W17)/Y17</f>
        <v>7.9496743140024126E-2</v>
      </c>
      <c r="Y17" s="12">
        <f t="shared" si="2"/>
        <v>273501688587.5</v>
      </c>
    </row>
    <row r="18" spans="1:25" ht="19.5" customHeight="1" x14ac:dyDescent="0.25">
      <c r="A18" s="2" t="s">
        <v>34</v>
      </c>
      <c r="B18" s="13">
        <v>0</v>
      </c>
      <c r="C18" s="15">
        <v>0</v>
      </c>
      <c r="D18" s="19">
        <v>8.0699999999999994E-2</v>
      </c>
      <c r="E18" s="20">
        <v>105430256.27</v>
      </c>
      <c r="F18" s="13">
        <v>0</v>
      </c>
      <c r="G18" s="15">
        <v>0</v>
      </c>
      <c r="H18" s="13">
        <v>0</v>
      </c>
      <c r="I18" s="15">
        <v>0</v>
      </c>
      <c r="J18" s="13">
        <v>0</v>
      </c>
      <c r="K18" s="15">
        <v>0</v>
      </c>
      <c r="L18" s="13">
        <v>0</v>
      </c>
      <c r="M18" s="15">
        <v>0</v>
      </c>
      <c r="N18" s="13">
        <v>0</v>
      </c>
      <c r="O18" s="15">
        <v>0</v>
      </c>
      <c r="P18" s="11">
        <f t="shared" si="0"/>
        <v>8.0699999999999994E-2</v>
      </c>
      <c r="Q18" s="12">
        <f t="shared" si="1"/>
        <v>105430256.27</v>
      </c>
      <c r="R18" s="13">
        <v>0</v>
      </c>
      <c r="S18" s="15">
        <v>0</v>
      </c>
      <c r="T18" s="13">
        <v>0</v>
      </c>
      <c r="U18" s="15">
        <v>0</v>
      </c>
      <c r="V18" s="13">
        <v>0</v>
      </c>
      <c r="W18" s="15">
        <v>0</v>
      </c>
      <c r="X18" s="11">
        <f>+(P18*Q18+R18*S18+T18*U18+V18*W18)/Y18</f>
        <v>8.0699999999999994E-2</v>
      </c>
      <c r="Y18" s="12">
        <f t="shared" si="2"/>
        <v>105430256.27</v>
      </c>
    </row>
    <row r="19" spans="1:25" s="6" customFormat="1" ht="17.25" x14ac:dyDescent="0.25">
      <c r="A19" s="2" t="s">
        <v>24</v>
      </c>
      <c r="B19" s="13">
        <v>0</v>
      </c>
      <c r="C19" s="15">
        <v>0</v>
      </c>
      <c r="D19" s="13">
        <v>0</v>
      </c>
      <c r="E19" s="15">
        <v>0</v>
      </c>
      <c r="F19" s="13">
        <v>0</v>
      </c>
      <c r="G19" s="15">
        <v>0</v>
      </c>
      <c r="H19" s="13">
        <v>0</v>
      </c>
      <c r="I19" s="15">
        <v>0</v>
      </c>
      <c r="J19" s="13">
        <v>0</v>
      </c>
      <c r="K19" s="15">
        <v>0</v>
      </c>
      <c r="L19" s="13">
        <v>0</v>
      </c>
      <c r="M19" s="15">
        <v>0</v>
      </c>
      <c r="N19" s="13">
        <v>0</v>
      </c>
      <c r="O19" s="15">
        <v>0</v>
      </c>
      <c r="P19" s="16">
        <v>0</v>
      </c>
      <c r="Q19" s="12">
        <v>0</v>
      </c>
      <c r="R19" s="13">
        <v>0</v>
      </c>
      <c r="S19" s="15">
        <v>0</v>
      </c>
      <c r="T19" s="13">
        <v>0</v>
      </c>
      <c r="U19" s="15">
        <v>0</v>
      </c>
      <c r="V19" s="13">
        <v>0</v>
      </c>
      <c r="W19" s="15">
        <v>0</v>
      </c>
      <c r="X19" s="16">
        <v>0</v>
      </c>
      <c r="Y19" s="12">
        <f t="shared" si="2"/>
        <v>0</v>
      </c>
    </row>
    <row r="20" spans="1:25" ht="17.25" x14ac:dyDescent="0.25">
      <c r="A20" s="2" t="s">
        <v>25</v>
      </c>
      <c r="B20" s="19">
        <v>8.7900000000000006E-2</v>
      </c>
      <c r="C20" s="20">
        <v>2117510030.6700001</v>
      </c>
      <c r="D20" s="19">
        <v>0</v>
      </c>
      <c r="E20" s="15">
        <v>0</v>
      </c>
      <c r="F20" s="19">
        <v>8.3799999999999999E-2</v>
      </c>
      <c r="G20" s="20">
        <v>3492905368.98</v>
      </c>
      <c r="H20" s="19">
        <v>0.10979999999999999</v>
      </c>
      <c r="I20" s="20">
        <v>53597091689.25</v>
      </c>
      <c r="J20" s="19">
        <v>8.7599999999999997E-2</v>
      </c>
      <c r="K20" s="20">
        <v>2671330020.8200002</v>
      </c>
      <c r="L20" s="19">
        <v>6.93E-2</v>
      </c>
      <c r="M20" s="20">
        <v>4605605911.3599997</v>
      </c>
      <c r="N20" s="19">
        <v>9.5600000000000004E-2</v>
      </c>
      <c r="O20" s="20">
        <v>41024159990.620003</v>
      </c>
      <c r="P20" s="11">
        <f t="shared" si="0"/>
        <v>0.10081874064069865</v>
      </c>
      <c r="Q20" s="12">
        <f t="shared" si="1"/>
        <v>107508603011.70001</v>
      </c>
      <c r="R20" s="17">
        <v>0.122</v>
      </c>
      <c r="S20" s="18">
        <v>625948548.15999997</v>
      </c>
      <c r="T20" s="17">
        <v>9.1399999999999995E-2</v>
      </c>
      <c r="U20" s="18">
        <v>6328065273.8999996</v>
      </c>
      <c r="V20" s="13">
        <v>0</v>
      </c>
      <c r="W20" s="15">
        <v>0</v>
      </c>
      <c r="X20" s="11">
        <f t="shared" si="3"/>
        <v>0.10041385712230569</v>
      </c>
      <c r="Y20" s="12">
        <f t="shared" si="2"/>
        <v>114462616833.76001</v>
      </c>
    </row>
    <row r="21" spans="1:25" ht="32.25" x14ac:dyDescent="0.25">
      <c r="A21" s="2" t="s">
        <v>26</v>
      </c>
      <c r="B21" s="19">
        <v>7.7999999999999996E-3</v>
      </c>
      <c r="C21" s="20">
        <v>96598838.930000007</v>
      </c>
      <c r="D21" s="19">
        <v>7.7999999999999996E-3</v>
      </c>
      <c r="E21" s="20">
        <v>2089282474.79</v>
      </c>
      <c r="F21" s="19">
        <v>7.7999999999999996E-3</v>
      </c>
      <c r="G21" s="20">
        <v>36367063.539999999</v>
      </c>
      <c r="H21" s="19">
        <v>7.7999999999999996E-3</v>
      </c>
      <c r="I21" s="20">
        <v>3180142518.8499999</v>
      </c>
      <c r="J21" s="19">
        <v>7.7999999999999996E-3</v>
      </c>
      <c r="K21" s="20">
        <v>2959894309.4699998</v>
      </c>
      <c r="L21" s="13">
        <v>0</v>
      </c>
      <c r="M21" s="15">
        <v>0</v>
      </c>
      <c r="N21" s="19">
        <v>7.7999999999999996E-3</v>
      </c>
      <c r="O21" s="20">
        <v>1515129386.3800001</v>
      </c>
      <c r="P21" s="11">
        <f t="shared" si="0"/>
        <v>7.8000000000000005E-3</v>
      </c>
      <c r="Q21" s="12">
        <f t="shared" si="1"/>
        <v>9877414591.9599991</v>
      </c>
      <c r="R21" s="13">
        <v>0</v>
      </c>
      <c r="S21" s="15">
        <v>0</v>
      </c>
      <c r="T21" s="13">
        <v>0</v>
      </c>
      <c r="U21" s="15">
        <v>0</v>
      </c>
      <c r="V21" s="13">
        <v>0</v>
      </c>
      <c r="W21" s="15">
        <v>0</v>
      </c>
      <c r="X21" s="11">
        <f t="shared" si="3"/>
        <v>7.8000000000000005E-3</v>
      </c>
      <c r="Y21" s="12">
        <f t="shared" si="2"/>
        <v>9877414591.9599991</v>
      </c>
    </row>
    <row r="22" spans="1:25" ht="30" x14ac:dyDescent="0.25">
      <c r="A22" s="2" t="s">
        <v>27</v>
      </c>
      <c r="B22" s="19">
        <v>0.1179</v>
      </c>
      <c r="C22" s="20">
        <v>1858867621</v>
      </c>
      <c r="D22" s="19">
        <v>9.7199999999999995E-2</v>
      </c>
      <c r="E22" s="20">
        <v>30325793835.400002</v>
      </c>
      <c r="F22" s="19">
        <v>9.2499999999999999E-2</v>
      </c>
      <c r="G22" s="20">
        <v>45201132.68</v>
      </c>
      <c r="H22" s="19">
        <v>0.11070000000000001</v>
      </c>
      <c r="I22" s="20">
        <v>14216362791.549999</v>
      </c>
      <c r="J22" s="19">
        <v>0.1116</v>
      </c>
      <c r="K22" s="20">
        <v>12312979482.48</v>
      </c>
      <c r="L22" s="13">
        <v>0</v>
      </c>
      <c r="M22" s="15">
        <v>0</v>
      </c>
      <c r="N22" s="19">
        <v>0.115</v>
      </c>
      <c r="O22" s="20">
        <v>3642215615.46</v>
      </c>
      <c r="P22" s="11">
        <f t="shared" si="0"/>
        <v>0.10476914427584443</v>
      </c>
      <c r="Q22" s="12">
        <f t="shared" si="1"/>
        <v>62401420478.57</v>
      </c>
      <c r="R22" s="17">
        <v>9.06E-2</v>
      </c>
      <c r="S22" s="18">
        <v>321365917.99000001</v>
      </c>
      <c r="T22" s="13">
        <v>0</v>
      </c>
      <c r="U22" s="15">
        <v>0</v>
      </c>
      <c r="V22" s="17">
        <v>0.1144</v>
      </c>
      <c r="W22" s="18">
        <v>4278253363.7800002</v>
      </c>
      <c r="X22" s="11">
        <f t="shared" si="3"/>
        <v>0.10531614714284028</v>
      </c>
      <c r="Y22" s="12">
        <f t="shared" si="2"/>
        <v>67001039760.339996</v>
      </c>
    </row>
    <row r="23" spans="1:25" ht="16.5" customHeight="1" x14ac:dyDescent="0.25">
      <c r="A23" s="1" t="s">
        <v>28</v>
      </c>
      <c r="B23" s="14">
        <f>+SUMPRODUCT(C10:C22,B10:B22)/C23</f>
        <v>7.2780507765134214E-2</v>
      </c>
      <c r="C23" s="5">
        <f>+SUM(C10:C22)</f>
        <v>23527867287.630005</v>
      </c>
      <c r="D23" s="14">
        <f>+SUMPRODUCT(E10:E22,D10:D22)/E23</f>
        <v>7.4608687203282412E-2</v>
      </c>
      <c r="E23" s="5">
        <f>+SUM(E10:E22)</f>
        <v>303150867715.10004</v>
      </c>
      <c r="F23" s="14">
        <f>+SUMPRODUCT(G10:G22,F10:F22)/G23</f>
        <v>7.0945079839323646E-2</v>
      </c>
      <c r="G23" s="5">
        <f>+SUM(G10:G22)</f>
        <v>13898243490.999998</v>
      </c>
      <c r="H23" s="14">
        <f>+SUMPRODUCT(I10:I22,H10:H22)/I23</f>
        <v>7.7170820906093035E-2</v>
      </c>
      <c r="I23" s="5">
        <f>+SUM(I10:I22)</f>
        <v>434284706021.39996</v>
      </c>
      <c r="J23" s="14">
        <f>+SUMPRODUCT(K10:K22,J10:J22)/K23</f>
        <v>7.8157467875407699E-2</v>
      </c>
      <c r="K23" s="5">
        <f>+SUM(K10:K22)</f>
        <v>224573627980.88</v>
      </c>
      <c r="L23" s="14">
        <f>+SUMPRODUCT(M10:M22,L10:L22)/M23</f>
        <v>7.9748093595972167E-2</v>
      </c>
      <c r="M23" s="5">
        <f>+SUM(M10:M22)</f>
        <v>11094456685.25</v>
      </c>
      <c r="N23" s="14">
        <f>+SUMPRODUCT(O10:O22,N10:N22)/O23</f>
        <v>7.8157482341037865E-2</v>
      </c>
      <c r="O23" s="5">
        <f>+SUM(O10:O22)</f>
        <v>281184213886.57007</v>
      </c>
      <c r="P23" s="14">
        <f>+SUMPRODUCT(P10:P22,Q10:Q22)/Q23</f>
        <v>7.6831014508131998E-2</v>
      </c>
      <c r="Q23" s="5">
        <f>+SUM(Q10:Q22)</f>
        <v>1291713983067.8301</v>
      </c>
      <c r="R23" s="14">
        <f>+SUMPRODUCT(S10:S22,R10:R22)/S23</f>
        <v>6.9159094701066307E-2</v>
      </c>
      <c r="S23" s="5">
        <f>+SUM(S10:S22)</f>
        <v>22766680728.540001</v>
      </c>
      <c r="T23" s="14">
        <f>+SUMPRODUCT(U10:U22,T10:T22)/U23</f>
        <v>9.0656224562807419E-2</v>
      </c>
      <c r="U23" s="5">
        <f>+SUM(U10:U22)</f>
        <v>29331788480.239998</v>
      </c>
      <c r="V23" s="14">
        <f>+SUMPRODUCT(W10:W22,V10:V22)/W23</f>
        <v>6.9592371025401514E-2</v>
      </c>
      <c r="W23" s="5">
        <f>+SUM(W10:W22)</f>
        <v>95237330101.869995</v>
      </c>
      <c r="X23" s="14">
        <f>+SUMPRODUCT(X10:X22,Y10:Y22)/Y23</f>
        <v>7.6512377101509071E-2</v>
      </c>
      <c r="Y23" s="5">
        <f>SUM(Y10:Y22)</f>
        <v>1439049782378.48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  <c r="Y24" s="21"/>
    </row>
    <row r="25" spans="1:25" ht="18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25" ht="18" customHeight="1" x14ac:dyDescent="0.25">
      <c r="A26" s="25" t="s">
        <v>29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25" x14ac:dyDescent="0.25">
      <c r="A27" s="25" t="s">
        <v>30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25" x14ac:dyDescent="0.25">
      <c r="A28" s="10" t="s">
        <v>31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25" t="s">
        <v>39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25" ht="15" customHeight="1" x14ac:dyDescent="0.25">
      <c r="A30" s="25" t="s">
        <v>32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25" ht="17.25" customHeight="1" x14ac:dyDescent="0.25">
      <c r="A31" s="25" t="s">
        <v>40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</row>
  </sheetData>
  <mergeCells count="24">
    <mergeCell ref="D7:E8"/>
    <mergeCell ref="F7:G8"/>
    <mergeCell ref="H7:I8"/>
    <mergeCell ref="A1:K1"/>
    <mergeCell ref="A2:W2"/>
    <mergeCell ref="A3:W3"/>
    <mergeCell ref="A4:W4"/>
    <mergeCell ref="A5:W5"/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7:A9"/>
    <mergeCell ref="B7:C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D5E5-E7AD-44D9-818D-56750FE4B0BD}">
  <dimension ref="A1:AA31"/>
  <sheetViews>
    <sheetView showGridLines="0" tabSelected="1" zoomScale="90" zoomScaleNormal="9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T27" sqref="T27"/>
    </sheetView>
  </sheetViews>
  <sheetFormatPr baseColWidth="10" defaultColWidth="11.42578125" defaultRowHeight="15" x14ac:dyDescent="0.25"/>
  <cols>
    <col min="1" max="1" width="58.5703125" customWidth="1"/>
    <col min="2" max="2" width="9.42578125" customWidth="1"/>
    <col min="3" max="3" width="20" customWidth="1"/>
    <col min="4" max="4" width="9.42578125" customWidth="1"/>
    <col min="5" max="5" width="20.85546875" bestFit="1" customWidth="1"/>
    <col min="6" max="6" width="9.42578125" customWidth="1"/>
    <col min="7" max="7" width="20" customWidth="1"/>
    <col min="8" max="8" width="9.42578125" customWidth="1"/>
    <col min="9" max="9" width="20.85546875" bestFit="1" customWidth="1"/>
    <col min="10" max="10" width="9.42578125" customWidth="1"/>
    <col min="11" max="11" width="20" customWidth="1"/>
    <col min="12" max="12" width="9.42578125" customWidth="1"/>
    <col min="13" max="13" width="20" customWidth="1"/>
    <col min="14" max="14" width="9.42578125" customWidth="1"/>
    <col min="15" max="15" width="20.85546875" bestFit="1" customWidth="1"/>
    <col min="16" max="16" width="9.42578125" customWidth="1"/>
    <col min="17" max="17" width="22" bestFit="1" customWidth="1"/>
    <col min="18" max="18" width="9.42578125" customWidth="1"/>
    <col min="19" max="19" width="20" customWidth="1"/>
    <col min="20" max="20" width="9.42578125" customWidth="1"/>
    <col min="21" max="21" width="20" customWidth="1"/>
    <col min="22" max="22" width="9.42578125" customWidth="1"/>
    <col min="23" max="23" width="20" customWidth="1"/>
    <col min="24" max="24" width="9.42578125" customWidth="1"/>
    <col min="25" max="25" width="22" bestFit="1" customWidth="1"/>
    <col min="26" max="26" width="19.85546875" bestFit="1" customWidth="1"/>
  </cols>
  <sheetData>
    <row r="1" spans="1:27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7" x14ac:dyDescent="0.25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7" x14ac:dyDescent="0.25">
      <c r="A3" s="36" t="s">
        <v>38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7" x14ac:dyDescent="0.25">
      <c r="A4" s="36" t="s">
        <v>41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7" x14ac:dyDescent="0.25">
      <c r="A5" s="37" t="s">
        <v>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7" x14ac:dyDescent="0.25">
      <c r="A6" s="4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7" ht="9" customHeight="1" x14ac:dyDescent="0.25">
      <c r="A7" s="32" t="s">
        <v>2</v>
      </c>
      <c r="B7" s="26" t="s">
        <v>3</v>
      </c>
      <c r="C7" s="27"/>
      <c r="D7" s="26" t="s">
        <v>4</v>
      </c>
      <c r="E7" s="27"/>
      <c r="F7" s="26" t="s">
        <v>5</v>
      </c>
      <c r="G7" s="27"/>
      <c r="H7" s="26" t="s">
        <v>6</v>
      </c>
      <c r="I7" s="27"/>
      <c r="J7" s="30" t="s">
        <v>7</v>
      </c>
      <c r="K7" s="31"/>
      <c r="L7" s="26" t="s">
        <v>8</v>
      </c>
      <c r="M7" s="27"/>
      <c r="N7" s="26" t="s">
        <v>9</v>
      </c>
      <c r="O7" s="27"/>
      <c r="P7" s="26" t="s">
        <v>10</v>
      </c>
      <c r="Q7" s="27"/>
      <c r="R7" s="26" t="s">
        <v>11</v>
      </c>
      <c r="S7" s="27"/>
      <c r="T7" s="26" t="s">
        <v>12</v>
      </c>
      <c r="U7" s="27"/>
      <c r="V7" s="26" t="s">
        <v>13</v>
      </c>
      <c r="W7" s="27"/>
      <c r="X7" s="26" t="s">
        <v>14</v>
      </c>
      <c r="Y7" s="27"/>
    </row>
    <row r="8" spans="1:27" ht="24" customHeight="1" x14ac:dyDescent="0.25">
      <c r="A8" s="33"/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  <c r="N8" s="28"/>
      <c r="O8" s="29"/>
      <c r="P8" s="28"/>
      <c r="Q8" s="29"/>
      <c r="R8" s="28"/>
      <c r="S8" s="29"/>
      <c r="T8" s="28"/>
      <c r="U8" s="29"/>
      <c r="V8" s="28"/>
      <c r="W8" s="29"/>
      <c r="X8" s="28"/>
      <c r="Y8" s="29"/>
    </row>
    <row r="9" spans="1:27" ht="17.25" customHeight="1" x14ac:dyDescent="0.25">
      <c r="A9" s="34"/>
      <c r="B9" s="9" t="s">
        <v>15</v>
      </c>
      <c r="C9" s="9" t="s">
        <v>16</v>
      </c>
      <c r="D9" s="9" t="s">
        <v>15</v>
      </c>
      <c r="E9" s="9" t="s">
        <v>16</v>
      </c>
      <c r="F9" s="9" t="s">
        <v>15</v>
      </c>
      <c r="G9" s="9" t="s">
        <v>16</v>
      </c>
      <c r="H9" s="9" t="s">
        <v>15</v>
      </c>
      <c r="I9" s="9" t="s">
        <v>16</v>
      </c>
      <c r="J9" s="9" t="s">
        <v>15</v>
      </c>
      <c r="K9" s="9" t="s">
        <v>16</v>
      </c>
      <c r="L9" s="9" t="s">
        <v>15</v>
      </c>
      <c r="M9" s="9" t="s">
        <v>16</v>
      </c>
      <c r="N9" s="9" t="s">
        <v>15</v>
      </c>
      <c r="O9" s="9" t="s">
        <v>16</v>
      </c>
      <c r="P9" s="9" t="s">
        <v>15</v>
      </c>
      <c r="Q9" s="9" t="s">
        <v>16</v>
      </c>
      <c r="R9" s="9" t="s">
        <v>15</v>
      </c>
      <c r="S9" s="9" t="s">
        <v>16</v>
      </c>
      <c r="T9" s="9" t="s">
        <v>15</v>
      </c>
      <c r="U9" s="9" t="s">
        <v>16</v>
      </c>
      <c r="V9" s="9" t="s">
        <v>15</v>
      </c>
      <c r="W9" s="9" t="s">
        <v>16</v>
      </c>
      <c r="X9" s="9" t="s">
        <v>15</v>
      </c>
      <c r="Y9" s="9" t="s">
        <v>16</v>
      </c>
    </row>
    <row r="10" spans="1:27" ht="17.25" x14ac:dyDescent="0.25">
      <c r="A10" s="2" t="s">
        <v>33</v>
      </c>
      <c r="B10" s="38">
        <v>5.9299999999999999E-2</v>
      </c>
      <c r="C10" s="39">
        <v>2720427.52</v>
      </c>
      <c r="D10" s="38">
        <v>5.7299999999999997E-2</v>
      </c>
      <c r="E10" s="39">
        <v>1262424409.8900001</v>
      </c>
      <c r="F10" s="38">
        <v>5.9299999999999999E-2</v>
      </c>
      <c r="G10" s="39">
        <v>10609831.119999999</v>
      </c>
      <c r="H10" s="13">
        <v>0</v>
      </c>
      <c r="I10" s="15">
        <v>0</v>
      </c>
      <c r="J10" s="38">
        <v>5.9299999999999999E-2</v>
      </c>
      <c r="K10" s="39">
        <v>1233139414.3399999</v>
      </c>
      <c r="L10" s="13">
        <v>0</v>
      </c>
      <c r="M10" s="15">
        <v>0</v>
      </c>
      <c r="N10" s="38">
        <v>5.9299999999999999E-2</v>
      </c>
      <c r="O10" s="39">
        <v>1233139414.3399999</v>
      </c>
      <c r="P10" s="11">
        <f t="shared" ref="P10:P22" si="0">+((B10*C10)+(D10*E10)+(F10*G10)+(H10*I10)+(J10*K10)+(L10*M10)+(N10*O10))/Q10</f>
        <v>5.8625273592109076E-2</v>
      </c>
      <c r="Q10" s="12">
        <f t="shared" ref="Q10:Q22" si="1">+SUM(C10,E10,G10,I10,K10,M10,O10)</f>
        <v>3742033497.21</v>
      </c>
      <c r="R10" s="13">
        <v>0</v>
      </c>
      <c r="S10" s="15">
        <v>0</v>
      </c>
      <c r="T10" s="38">
        <v>5.9299999999999999E-2</v>
      </c>
      <c r="U10" s="39">
        <v>27160.6</v>
      </c>
      <c r="V10" s="13">
        <v>0</v>
      </c>
      <c r="W10" s="15">
        <v>0</v>
      </c>
      <c r="X10" s="11">
        <f>+(P10*Q10+R10*S10+T10*U10+V10*W10)/Y10</f>
        <v>5.8625278489403847E-2</v>
      </c>
      <c r="Y10" s="12">
        <f>+SUM(Q10+S10+U10+W10)</f>
        <v>3742060657.8099999</v>
      </c>
    </row>
    <row r="11" spans="1:27" x14ac:dyDescent="0.25">
      <c r="A11" s="2" t="s">
        <v>17</v>
      </c>
      <c r="B11" s="38">
        <v>5.9200000000000003E-2</v>
      </c>
      <c r="C11" s="39">
        <v>15323726597.950001</v>
      </c>
      <c r="D11" s="38">
        <v>6.8400000000000002E-2</v>
      </c>
      <c r="E11" s="39">
        <v>189088900309.79999</v>
      </c>
      <c r="F11" s="38">
        <v>5.7500000000000002E-2</v>
      </c>
      <c r="G11" s="39">
        <v>6949917676.5799999</v>
      </c>
      <c r="H11" s="38">
        <v>6.6799999999999998E-2</v>
      </c>
      <c r="I11" s="39">
        <v>205597004933.72</v>
      </c>
      <c r="J11" s="38">
        <v>6.5799999999999997E-2</v>
      </c>
      <c r="K11" s="39">
        <v>125499175278.27</v>
      </c>
      <c r="L11" s="38">
        <v>8.1100000000000005E-2</v>
      </c>
      <c r="M11" s="39">
        <v>3794168251.6799998</v>
      </c>
      <c r="N11" s="38">
        <v>7.2400000000000006E-2</v>
      </c>
      <c r="O11" s="39">
        <v>172833456952.54001</v>
      </c>
      <c r="P11" s="11">
        <f>+((B11*C11)+(D11*E11)+(F11*G11)+(H11*I11)+(J11*K11)+(L11*M11)+(N11*O11))/Q11</f>
        <v>6.8215786120280661E-2</v>
      </c>
      <c r="Q11" s="12">
        <f t="shared" si="1"/>
        <v>719086350000.54004</v>
      </c>
      <c r="R11" s="38">
        <v>6.6699999999999995E-2</v>
      </c>
      <c r="S11" s="39">
        <v>13470883103.549999</v>
      </c>
      <c r="T11" s="38">
        <v>6.9099999999999995E-2</v>
      </c>
      <c r="U11" s="39">
        <v>13714452628.129999</v>
      </c>
      <c r="V11" s="38">
        <v>6.4399999999999999E-2</v>
      </c>
      <c r="W11" s="39">
        <v>54748601126.910004</v>
      </c>
      <c r="X11" s="11">
        <f>+(P11*Q11+R11*S11+T11*U11+V11*W11)/Y11</f>
        <v>6.794463016565902E-2</v>
      </c>
      <c r="Y11" s="12">
        <f t="shared" ref="Y11:Y22" si="2">+SUM(Q11+S11+U11+W11)</f>
        <v>801020286859.13013</v>
      </c>
    </row>
    <row r="12" spans="1:27" ht="17.25" x14ac:dyDescent="0.25">
      <c r="A12" s="2" t="s">
        <v>18</v>
      </c>
      <c r="B12" s="19">
        <v>0.1115</v>
      </c>
      <c r="C12" s="20">
        <v>1094421885.3099999</v>
      </c>
      <c r="D12" s="19">
        <v>0.1016</v>
      </c>
      <c r="E12" s="20">
        <v>15820086124.84</v>
      </c>
      <c r="F12" s="19">
        <v>9.98E-2</v>
      </c>
      <c r="G12" s="20">
        <v>686574474.27999997</v>
      </c>
      <c r="H12" s="19">
        <v>0.10100000000000001</v>
      </c>
      <c r="I12" s="20">
        <v>26198908577.080002</v>
      </c>
      <c r="J12" s="19">
        <v>0.1013</v>
      </c>
      <c r="K12" s="20">
        <v>9780493567.7000008</v>
      </c>
      <c r="L12" s="19">
        <v>0.1</v>
      </c>
      <c r="M12" s="20">
        <v>48850859.100000001</v>
      </c>
      <c r="N12" s="19">
        <v>0.10059999999999999</v>
      </c>
      <c r="O12" s="20">
        <v>20115052212.810001</v>
      </c>
      <c r="P12" s="11">
        <f t="shared" si="0"/>
        <v>0.10120338996492043</v>
      </c>
      <c r="Q12" s="12">
        <f t="shared" si="1"/>
        <v>73744387701.12001</v>
      </c>
      <c r="R12" s="19">
        <v>0.1046</v>
      </c>
      <c r="S12" s="20">
        <v>678507699.5</v>
      </c>
      <c r="T12" s="19">
        <v>9.5299999999999996E-2</v>
      </c>
      <c r="U12" s="20">
        <v>362142010.67000002</v>
      </c>
      <c r="V12" s="19">
        <v>0.1026</v>
      </c>
      <c r="W12" s="20">
        <v>4026569458.9699998</v>
      </c>
      <c r="X12" s="11">
        <f t="shared" ref="X12:X22" si="3">+(P12*Q12+R12*S12+T12*U12+V12*W12)/Y12</f>
        <v>0.10127686020734562</v>
      </c>
      <c r="Y12" s="12">
        <f t="shared" si="2"/>
        <v>78811606870.26001</v>
      </c>
      <c r="Z12" s="24"/>
    </row>
    <row r="13" spans="1:27" x14ac:dyDescent="0.25">
      <c r="A13" s="2" t="s">
        <v>19</v>
      </c>
      <c r="B13" s="19">
        <v>0.1026</v>
      </c>
      <c r="C13" s="20">
        <v>1961168809.52</v>
      </c>
      <c r="D13" s="19">
        <v>0.14979999999999999</v>
      </c>
      <c r="E13" s="20">
        <v>4846446046.54</v>
      </c>
      <c r="F13" s="19">
        <v>0.10829999999999999</v>
      </c>
      <c r="G13" s="20">
        <v>1470478430.3900001</v>
      </c>
      <c r="H13" s="19">
        <v>0.10879999999999999</v>
      </c>
      <c r="I13" s="20">
        <v>7677832030.9899998</v>
      </c>
      <c r="J13" s="19">
        <v>0.1447</v>
      </c>
      <c r="K13" s="20">
        <v>3335080864.5300002</v>
      </c>
      <c r="L13" s="13">
        <v>0</v>
      </c>
      <c r="M13" s="15">
        <v>0</v>
      </c>
      <c r="N13" s="19">
        <v>6.4399999999999999E-2</v>
      </c>
      <c r="O13" s="20">
        <v>5070987982.8400002</v>
      </c>
      <c r="P13" s="11">
        <f t="shared" si="0"/>
        <v>0.11209970273076283</v>
      </c>
      <c r="Q13" s="12">
        <f t="shared" si="1"/>
        <v>24361994164.809998</v>
      </c>
      <c r="R13" s="19">
        <v>9.3700000000000006E-2</v>
      </c>
      <c r="S13" s="20">
        <v>122328920.54000001</v>
      </c>
      <c r="T13" s="19">
        <v>8.4400000000000003E-2</v>
      </c>
      <c r="U13" s="20">
        <v>998256816.04999995</v>
      </c>
      <c r="V13" s="19">
        <v>7.8200000000000006E-2</v>
      </c>
      <c r="W13" s="20">
        <v>858615933.12</v>
      </c>
      <c r="X13" s="11">
        <f t="shared" si="3"/>
        <v>0.10985952130201437</v>
      </c>
      <c r="Y13" s="12">
        <f t="shared" si="2"/>
        <v>26341195834.519997</v>
      </c>
    </row>
    <row r="14" spans="1:27" s="6" customFormat="1" ht="30" x14ac:dyDescent="0.25">
      <c r="A14" s="2" t="s">
        <v>20</v>
      </c>
      <c r="B14" s="13">
        <v>0</v>
      </c>
      <c r="C14" s="15">
        <v>0</v>
      </c>
      <c r="D14" s="19">
        <v>8.5699999999999998E-2</v>
      </c>
      <c r="E14" s="20">
        <v>7913878557.3999996</v>
      </c>
      <c r="F14" s="13">
        <v>0</v>
      </c>
      <c r="G14" s="15">
        <v>0</v>
      </c>
      <c r="H14" s="19">
        <v>8.7300000000000003E-2</v>
      </c>
      <c r="I14" s="20">
        <v>669584417.60000002</v>
      </c>
      <c r="J14" s="19">
        <v>8.6699999999999999E-2</v>
      </c>
      <c r="K14" s="20">
        <v>550810987.38999999</v>
      </c>
      <c r="L14" s="13">
        <v>0</v>
      </c>
      <c r="M14" s="15">
        <v>0</v>
      </c>
      <c r="N14" s="13">
        <v>0</v>
      </c>
      <c r="O14" s="15">
        <v>0</v>
      </c>
      <c r="P14" s="11">
        <f t="shared" si="0"/>
        <v>8.5877588942725944E-2</v>
      </c>
      <c r="Q14" s="12">
        <f t="shared" si="1"/>
        <v>9134273962.3899994</v>
      </c>
      <c r="R14" s="13">
        <v>0</v>
      </c>
      <c r="S14" s="15">
        <v>0</v>
      </c>
      <c r="T14" s="13">
        <v>0</v>
      </c>
      <c r="U14" s="15">
        <v>0</v>
      </c>
      <c r="V14" s="13">
        <v>0</v>
      </c>
      <c r="W14" s="15">
        <v>0</v>
      </c>
      <c r="X14" s="11">
        <f t="shared" si="3"/>
        <v>8.5877588942725944E-2</v>
      </c>
      <c r="Y14" s="12">
        <f t="shared" si="2"/>
        <v>9134273962.3899994</v>
      </c>
      <c r="AA14" s="23"/>
    </row>
    <row r="15" spans="1:27" ht="17.25" x14ac:dyDescent="0.25">
      <c r="A15" s="2" t="s">
        <v>21</v>
      </c>
      <c r="B15" s="19">
        <v>9.6100000000000005E-2</v>
      </c>
      <c r="C15" s="20">
        <v>155766563.27000001</v>
      </c>
      <c r="D15" s="19">
        <v>4.0899999999999999E-2</v>
      </c>
      <c r="E15" s="20">
        <v>2451717332.9200001</v>
      </c>
      <c r="F15" s="19">
        <v>8.5999999999999993E-2</v>
      </c>
      <c r="G15" s="20">
        <v>526483099.12</v>
      </c>
      <c r="H15" s="19">
        <v>7.6499999999999999E-2</v>
      </c>
      <c r="I15" s="20">
        <v>12485957243.15</v>
      </c>
      <c r="J15" s="19">
        <v>5.5100000000000003E-2</v>
      </c>
      <c r="K15" s="20">
        <v>3598098880.71</v>
      </c>
      <c r="L15" s="19">
        <v>9.3799999999999994E-2</v>
      </c>
      <c r="M15" s="20">
        <v>2734198012.1999998</v>
      </c>
      <c r="N15" s="19">
        <v>7.1900000000000006E-2</v>
      </c>
      <c r="O15" s="20">
        <v>12695336496.82</v>
      </c>
      <c r="P15" s="11">
        <f t="shared" si="0"/>
        <v>7.1670719879095054E-2</v>
      </c>
      <c r="Q15" s="12">
        <f t="shared" si="1"/>
        <v>34647557628.190002</v>
      </c>
      <c r="R15" s="19">
        <v>5.5399999999999998E-2</v>
      </c>
      <c r="S15" s="20">
        <v>1324278173.5599999</v>
      </c>
      <c r="T15" s="19">
        <v>9.0899999999999995E-2</v>
      </c>
      <c r="U15" s="20">
        <v>2742717030.54</v>
      </c>
      <c r="V15" s="19">
        <v>4.7300000000000002E-2</v>
      </c>
      <c r="W15" s="20">
        <v>1947342423.23</v>
      </c>
      <c r="X15" s="11">
        <f t="shared" si="3"/>
        <v>7.1270723230282371E-2</v>
      </c>
      <c r="Y15" s="12">
        <f t="shared" si="2"/>
        <v>40661895255.520004</v>
      </c>
    </row>
    <row r="16" spans="1:27" ht="18" customHeight="1" x14ac:dyDescent="0.25">
      <c r="A16" s="2" t="s">
        <v>22</v>
      </c>
      <c r="B16" s="13">
        <v>0</v>
      </c>
      <c r="C16" s="15">
        <v>0</v>
      </c>
      <c r="D16" s="13">
        <v>0</v>
      </c>
      <c r="E16" s="15">
        <v>0</v>
      </c>
      <c r="F16" s="13">
        <v>0</v>
      </c>
      <c r="G16" s="15">
        <v>0</v>
      </c>
      <c r="H16" s="13">
        <v>0</v>
      </c>
      <c r="I16" s="15">
        <v>0</v>
      </c>
      <c r="J16" s="13">
        <v>0</v>
      </c>
      <c r="K16" s="15">
        <v>0</v>
      </c>
      <c r="L16" s="13">
        <v>0</v>
      </c>
      <c r="M16" s="15">
        <v>0</v>
      </c>
      <c r="N16" s="13">
        <v>0</v>
      </c>
      <c r="O16" s="15">
        <v>0</v>
      </c>
      <c r="P16" s="16">
        <v>0</v>
      </c>
      <c r="Q16" s="12">
        <v>0</v>
      </c>
      <c r="R16" s="13">
        <v>0</v>
      </c>
      <c r="S16" s="15">
        <v>0</v>
      </c>
      <c r="T16" s="38">
        <v>0.14940000000000001</v>
      </c>
      <c r="U16" s="39">
        <v>5223314959.2200003</v>
      </c>
      <c r="V16" s="13">
        <v>0</v>
      </c>
      <c r="W16" s="15">
        <v>0</v>
      </c>
      <c r="X16" s="11">
        <f>+(P16*Q16+R16*S16+T16*U16+V16*W16)/Y16</f>
        <v>0.14940000000000001</v>
      </c>
      <c r="Y16" s="12">
        <f t="shared" si="2"/>
        <v>5223314959.2200003</v>
      </c>
    </row>
    <row r="17" spans="1:25" ht="19.5" customHeight="1" x14ac:dyDescent="0.25">
      <c r="A17" s="2" t="s">
        <v>23</v>
      </c>
      <c r="B17" s="38">
        <v>6.5799999999999997E-2</v>
      </c>
      <c r="C17" s="39">
        <v>1269312476.5699999</v>
      </c>
      <c r="D17" s="38">
        <v>6.5199999999999994E-2</v>
      </c>
      <c r="E17" s="39">
        <v>48253098426.769997</v>
      </c>
      <c r="F17" s="38">
        <v>5.6399999999999999E-2</v>
      </c>
      <c r="G17" s="39">
        <v>656761101.60000002</v>
      </c>
      <c r="H17" s="38">
        <v>7.4399999999999994E-2</v>
      </c>
      <c r="I17" s="39">
        <v>108844586106</v>
      </c>
      <c r="J17" s="38">
        <v>8.9099999999999999E-2</v>
      </c>
      <c r="K17" s="39">
        <v>60376203401.660004</v>
      </c>
      <c r="L17" s="13">
        <v>0</v>
      </c>
      <c r="M17" s="15">
        <v>0</v>
      </c>
      <c r="N17" s="38">
        <v>6.93E-2</v>
      </c>
      <c r="O17" s="20">
        <v>28670467693.25</v>
      </c>
      <c r="P17" s="11">
        <f t="shared" si="0"/>
        <v>7.5507123138354143E-2</v>
      </c>
      <c r="Q17" s="12">
        <f t="shared" si="1"/>
        <v>248070429205.85001</v>
      </c>
      <c r="R17" s="38">
        <v>7.3200000000000001E-2</v>
      </c>
      <c r="S17" s="39">
        <v>5929867085.6400003</v>
      </c>
      <c r="T17" s="13">
        <v>0</v>
      </c>
      <c r="U17" s="15">
        <v>0</v>
      </c>
      <c r="V17" s="38">
        <v>7.1900000000000006E-2</v>
      </c>
      <c r="W17" s="39">
        <v>29742851319.330002</v>
      </c>
      <c r="X17" s="11">
        <f>+(P17*Q17+R17*S17+T17*U17+V17*W17)/Y17</f>
        <v>7.5080797210225841E-2</v>
      </c>
      <c r="Y17" s="12">
        <f t="shared" si="2"/>
        <v>283743147610.82001</v>
      </c>
    </row>
    <row r="18" spans="1:25" ht="19.5" customHeight="1" x14ac:dyDescent="0.25">
      <c r="A18" s="2" t="s">
        <v>34</v>
      </c>
      <c r="B18" s="13">
        <v>0</v>
      </c>
      <c r="C18" s="15">
        <v>0</v>
      </c>
      <c r="D18" s="38">
        <v>7.9500000000000001E-2</v>
      </c>
      <c r="E18" s="39">
        <v>206436835.72999999</v>
      </c>
      <c r="F18" s="13">
        <v>0</v>
      </c>
      <c r="G18" s="15">
        <v>0</v>
      </c>
      <c r="H18" s="13">
        <v>0</v>
      </c>
      <c r="I18" s="15">
        <v>0</v>
      </c>
      <c r="J18" s="13">
        <v>0</v>
      </c>
      <c r="K18" s="15">
        <v>0</v>
      </c>
      <c r="L18" s="13">
        <v>0</v>
      </c>
      <c r="M18" s="15">
        <v>0</v>
      </c>
      <c r="N18" s="13">
        <v>0</v>
      </c>
      <c r="O18" s="15">
        <v>0</v>
      </c>
      <c r="P18" s="11">
        <f t="shared" si="0"/>
        <v>7.9500000000000001E-2</v>
      </c>
      <c r="Q18" s="12">
        <f t="shared" si="1"/>
        <v>206436835.72999999</v>
      </c>
      <c r="R18" s="13">
        <v>0</v>
      </c>
      <c r="S18" s="15">
        <v>0</v>
      </c>
      <c r="T18" s="13">
        <v>0</v>
      </c>
      <c r="U18" s="15">
        <v>0</v>
      </c>
      <c r="V18" s="13">
        <v>0</v>
      </c>
      <c r="W18" s="15">
        <v>0</v>
      </c>
      <c r="X18" s="11">
        <f>+(P18*Q18+R18*S18+T18*U18+V18*W18)/Y18</f>
        <v>7.9500000000000001E-2</v>
      </c>
      <c r="Y18" s="12">
        <f t="shared" si="2"/>
        <v>206436835.72999999</v>
      </c>
    </row>
    <row r="19" spans="1:25" s="6" customFormat="1" ht="17.25" x14ac:dyDescent="0.25">
      <c r="A19" s="2" t="s">
        <v>24</v>
      </c>
      <c r="B19" s="13">
        <v>0</v>
      </c>
      <c r="C19" s="15">
        <v>0</v>
      </c>
      <c r="D19" s="13">
        <v>0</v>
      </c>
      <c r="E19" s="15">
        <v>0</v>
      </c>
      <c r="F19" s="13">
        <v>0</v>
      </c>
      <c r="G19" s="15">
        <v>0</v>
      </c>
      <c r="H19" s="13">
        <v>0</v>
      </c>
      <c r="I19" s="15">
        <v>0</v>
      </c>
      <c r="J19" s="13">
        <v>0</v>
      </c>
      <c r="K19" s="15">
        <v>0</v>
      </c>
      <c r="L19" s="13">
        <v>0</v>
      </c>
      <c r="M19" s="15">
        <v>0</v>
      </c>
      <c r="N19" s="13">
        <v>0</v>
      </c>
      <c r="O19" s="15">
        <v>0</v>
      </c>
      <c r="P19" s="16">
        <v>0</v>
      </c>
      <c r="Q19" s="12">
        <v>0</v>
      </c>
      <c r="R19" s="13">
        <v>0</v>
      </c>
      <c r="S19" s="15">
        <v>0</v>
      </c>
      <c r="T19" s="13">
        <v>0</v>
      </c>
      <c r="U19" s="15">
        <v>0</v>
      </c>
      <c r="V19" s="13">
        <v>0</v>
      </c>
      <c r="W19" s="15">
        <v>0</v>
      </c>
      <c r="X19" s="16">
        <v>0</v>
      </c>
      <c r="Y19" s="12">
        <f t="shared" si="2"/>
        <v>0</v>
      </c>
    </row>
    <row r="20" spans="1:25" ht="17.25" x14ac:dyDescent="0.25">
      <c r="A20" s="2" t="s">
        <v>25</v>
      </c>
      <c r="B20" s="19">
        <v>8.1100000000000005E-2</v>
      </c>
      <c r="C20" s="20">
        <v>2171052412.4400001</v>
      </c>
      <c r="D20" s="19">
        <v>6.4799999999999996E-2</v>
      </c>
      <c r="E20" s="15">
        <v>2605737020.3499999</v>
      </c>
      <c r="F20" s="19">
        <v>8.7099999999999997E-2</v>
      </c>
      <c r="G20" s="20">
        <v>3610963359.1500001</v>
      </c>
      <c r="H20" s="19">
        <v>0.1066</v>
      </c>
      <c r="I20" s="20">
        <v>57046719136.230003</v>
      </c>
      <c r="J20" s="19">
        <v>9.2299999999999993E-2</v>
      </c>
      <c r="K20" s="20">
        <v>5918605286.6700001</v>
      </c>
      <c r="L20" s="19">
        <v>6.8900000000000003E-2</v>
      </c>
      <c r="M20" s="20">
        <v>4582942335.1199999</v>
      </c>
      <c r="N20" s="19">
        <v>8.8599999999999998E-2</v>
      </c>
      <c r="O20" s="20">
        <v>36960459625.160004</v>
      </c>
      <c r="P20" s="11">
        <f t="shared" si="0"/>
        <v>9.6348159616543416E-2</v>
      </c>
      <c r="Q20" s="12">
        <f t="shared" si="1"/>
        <v>112896479175.12001</v>
      </c>
      <c r="R20" s="19">
        <v>0.115</v>
      </c>
      <c r="S20" s="20">
        <v>878997786.46000004</v>
      </c>
      <c r="T20" s="19">
        <v>9.1200000000000003E-2</v>
      </c>
      <c r="U20" s="20">
        <v>6225296865.7299995</v>
      </c>
      <c r="V20" s="13">
        <v>0</v>
      </c>
      <c r="W20" s="15">
        <v>0</v>
      </c>
      <c r="X20" s="11">
        <f t="shared" si="3"/>
        <v>9.6217711328458119E-2</v>
      </c>
      <c r="Y20" s="12">
        <f t="shared" si="2"/>
        <v>120000773827.31001</v>
      </c>
    </row>
    <row r="21" spans="1:25" ht="32.25" x14ac:dyDescent="0.25">
      <c r="A21" s="2" t="s">
        <v>26</v>
      </c>
      <c r="B21" s="38">
        <v>0.1191</v>
      </c>
      <c r="C21" s="20">
        <v>106739745.95999999</v>
      </c>
      <c r="D21" s="38">
        <v>0.1191</v>
      </c>
      <c r="E21" s="20">
        <v>2308614503.77</v>
      </c>
      <c r="F21" s="38">
        <v>0.1191</v>
      </c>
      <c r="G21" s="20">
        <v>40184863.159999996</v>
      </c>
      <c r="H21" s="38">
        <v>0.1191</v>
      </c>
      <c r="I21" s="20">
        <v>3513992593.9400001</v>
      </c>
      <c r="J21" s="38">
        <v>0.1191</v>
      </c>
      <c r="K21" s="20">
        <v>3270622816.6399999</v>
      </c>
      <c r="L21" s="13">
        <v>0</v>
      </c>
      <c r="M21" s="15">
        <v>0</v>
      </c>
      <c r="N21" s="38">
        <v>0.1191</v>
      </c>
      <c r="O21" s="20">
        <v>1674187056.4200001</v>
      </c>
      <c r="P21" s="11">
        <f t="shared" si="0"/>
        <v>0.1191</v>
      </c>
      <c r="Q21" s="12">
        <f t="shared" si="1"/>
        <v>10914341579.889999</v>
      </c>
      <c r="R21" s="13">
        <v>0</v>
      </c>
      <c r="S21" s="15">
        <v>0</v>
      </c>
      <c r="T21" s="13">
        <v>0</v>
      </c>
      <c r="U21" s="15">
        <v>0</v>
      </c>
      <c r="V21" s="13">
        <v>0</v>
      </c>
      <c r="W21" s="15">
        <v>0</v>
      </c>
      <c r="X21" s="11">
        <f t="shared" si="3"/>
        <v>0.1191</v>
      </c>
      <c r="Y21" s="12">
        <f t="shared" si="2"/>
        <v>10914341579.889999</v>
      </c>
    </row>
    <row r="22" spans="1:25" ht="30" x14ac:dyDescent="0.25">
      <c r="A22" s="2" t="s">
        <v>27</v>
      </c>
      <c r="B22" s="19">
        <v>0.1179</v>
      </c>
      <c r="C22" s="20">
        <v>1901193751.54</v>
      </c>
      <c r="D22" s="19">
        <v>9.7199999999999995E-2</v>
      </c>
      <c r="E22" s="20">
        <v>30370740065.259998</v>
      </c>
      <c r="F22" s="19">
        <v>9.2499999999999999E-2</v>
      </c>
      <c r="G22" s="20">
        <v>45525712.490000002</v>
      </c>
      <c r="H22" s="19">
        <v>0.1108</v>
      </c>
      <c r="I22" s="20">
        <v>14308228721.15</v>
      </c>
      <c r="J22" s="19">
        <v>0.1116</v>
      </c>
      <c r="K22" s="20">
        <v>12415693065.01</v>
      </c>
      <c r="L22" s="13">
        <v>0</v>
      </c>
      <c r="M22" s="15">
        <v>0</v>
      </c>
      <c r="N22" s="19">
        <v>0.115</v>
      </c>
      <c r="O22" s="20">
        <v>3674044942.6399999</v>
      </c>
      <c r="P22" s="11">
        <f t="shared" si="0"/>
        <v>0.1048203999405856</v>
      </c>
      <c r="Q22" s="12">
        <f t="shared" si="1"/>
        <v>62715426258.090004</v>
      </c>
      <c r="R22" s="19">
        <v>9.0800000000000006E-2</v>
      </c>
      <c r="S22" s="20">
        <v>321884734.54000002</v>
      </c>
      <c r="T22" s="13">
        <v>0</v>
      </c>
      <c r="U22" s="15">
        <v>0</v>
      </c>
      <c r="V22" s="19">
        <v>0.1145</v>
      </c>
      <c r="W22" s="20">
        <v>4313252085.8199997</v>
      </c>
      <c r="X22" s="11">
        <f t="shared" si="3"/>
        <v>0.10537329216198808</v>
      </c>
      <c r="Y22" s="12">
        <f t="shared" si="2"/>
        <v>67350563078.450005</v>
      </c>
    </row>
    <row r="23" spans="1:25" ht="16.5" customHeight="1" x14ac:dyDescent="0.25">
      <c r="A23" s="1" t="s">
        <v>28</v>
      </c>
      <c r="B23" s="14">
        <f>+SUMPRODUCT(C10:C22,B10:B22)/C23</f>
        <v>7.2625204910015589E-2</v>
      </c>
      <c r="C23" s="5">
        <f>+SUM(C10:C22)</f>
        <v>23986102670.079998</v>
      </c>
      <c r="D23" s="14">
        <f>+SUMPRODUCT(E10:E22,D10:D22)/E23</f>
        <v>7.4316949633082635E-2</v>
      </c>
      <c r="E23" s="5">
        <f>+SUM(E10:E22)</f>
        <v>305128079633.27002</v>
      </c>
      <c r="F23" s="14">
        <f>+SUMPRODUCT(G10:G22,F10:F22)/G23</f>
        <v>7.3859861405965094E-2</v>
      </c>
      <c r="G23" s="5">
        <f>+SUM(G10:G22)</f>
        <v>13997498547.889999</v>
      </c>
      <c r="H23" s="14">
        <f>+SUMPRODUCT(I10:I22,H10:H22)/I23</f>
        <v>7.88646745422866E-2</v>
      </c>
      <c r="I23" s="5">
        <f>+SUM(I10:I22)</f>
        <v>436342813759.85999</v>
      </c>
      <c r="J23" s="14">
        <f>+SUMPRODUCT(K10:K22,J10:J22)/K23</f>
        <v>7.8553076759472873E-2</v>
      </c>
      <c r="K23" s="5">
        <f>+SUM(K10:K22)</f>
        <v>225977923562.92004</v>
      </c>
      <c r="L23" s="14">
        <f>+SUMPRODUCT(M10:M22,L10:L22)/M23</f>
        <v>7.9284228408866841E-2</v>
      </c>
      <c r="M23" s="5">
        <f>+SUM(M10:M22)</f>
        <v>11160159458.099998</v>
      </c>
      <c r="N23" s="14">
        <f>+SUMPRODUCT(O10:O22,N10:N22)/O23</f>
        <v>7.68136969460705E-2</v>
      </c>
      <c r="O23" s="5">
        <f>+SUM(O10:O22)</f>
        <v>282927132376.82001</v>
      </c>
      <c r="P23" s="14">
        <f>+SUMPRODUCT(P10:P22,Q10:Q22)/Q23</f>
        <v>7.71306776536929E-2</v>
      </c>
      <c r="Q23" s="5">
        <f>+SUM(Q10:Q22)</f>
        <v>1299519710008.9402</v>
      </c>
      <c r="R23" s="14">
        <f>+SUMPRODUCT(S10:S22,R10:R22)/S23</f>
        <v>7.1223794288309342E-2</v>
      </c>
      <c r="S23" s="5">
        <f>+SUM(S10:S22)</f>
        <v>22726747503.790001</v>
      </c>
      <c r="T23" s="14">
        <f>+SUMPRODUCT(U10:U22,T10:T22)/U23</f>
        <v>9.10216537589318E-2</v>
      </c>
      <c r="U23" s="5">
        <f>+SUM(U10:U22)</f>
        <v>29266207470.939999</v>
      </c>
      <c r="V23" s="14">
        <f>+SUMPRODUCT(W10:W22,V10:V22)/W23</f>
        <v>7.0376015806177736E-2</v>
      </c>
      <c r="W23" s="5">
        <f>+SUM(W10:W22)</f>
        <v>95637232347.380005</v>
      </c>
      <c r="X23" s="14">
        <f>+SUMPRODUCT(X10:X22,Y10:Y22)/Y23</f>
        <v>7.6872442329669027E-2</v>
      </c>
      <c r="Y23" s="5">
        <f>SUM(Y10:Y22)</f>
        <v>1447149897331.05</v>
      </c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7"/>
      <c r="T24" s="7"/>
      <c r="V24" s="7"/>
      <c r="Y24" s="21"/>
    </row>
    <row r="25" spans="1:25" ht="18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25" ht="18" customHeight="1" x14ac:dyDescent="0.25">
      <c r="A26" s="25" t="s">
        <v>29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25" x14ac:dyDescent="0.25">
      <c r="A27" s="25" t="s">
        <v>30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25" x14ac:dyDescent="0.25">
      <c r="A28" s="10" t="s">
        <v>31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25" ht="22.5" customHeight="1" x14ac:dyDescent="0.25">
      <c r="A29" s="25" t="s">
        <v>39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25" ht="15" customHeight="1" x14ac:dyDescent="0.25">
      <c r="A30" s="25" t="s">
        <v>32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25" ht="17.25" customHeight="1" x14ac:dyDescent="0.25">
      <c r="A31" s="25" t="s">
        <v>40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</row>
  </sheetData>
  <mergeCells count="24">
    <mergeCell ref="A30:K30"/>
    <mergeCell ref="A31:K31"/>
    <mergeCell ref="V7:W8"/>
    <mergeCell ref="X7:Y8"/>
    <mergeCell ref="A25:K25"/>
    <mergeCell ref="A26:K26"/>
    <mergeCell ref="A27:K27"/>
    <mergeCell ref="A29:K29"/>
    <mergeCell ref="J7:K8"/>
    <mergeCell ref="L7:M8"/>
    <mergeCell ref="N7:O8"/>
    <mergeCell ref="P7:Q8"/>
    <mergeCell ref="R7:S8"/>
    <mergeCell ref="T7:U8"/>
    <mergeCell ref="A1:K1"/>
    <mergeCell ref="A2:W2"/>
    <mergeCell ref="A3:W3"/>
    <mergeCell ref="A4:W4"/>
    <mergeCell ref="A5:W5"/>
    <mergeCell ref="A7:A9"/>
    <mergeCell ref="B7:C8"/>
    <mergeCell ref="D7:E8"/>
    <mergeCell ref="F7:G8"/>
    <mergeCell ref="H7:I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21E2F5-3BF4-4319-BFA2-E402435A0E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A86830-3206-4B3B-A522-6E995A426856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D1CB620A-2FBA-4F16-970F-F433924A4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Enero</vt:lpstr>
      <vt:lpstr>Febrero</vt:lpstr>
      <vt:lpstr>Marzo</vt:lpstr>
      <vt:lpstr>Enero!Área_de_impresión</vt:lpstr>
      <vt:lpstr>Febrero!Área_de_impresión</vt:lpstr>
      <vt:lpstr>Marzo!Área_de_impresión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2018-02-13T20:54:40Z</dcterms:created>
  <dcterms:modified xsi:type="dcterms:W3CDTF">2026-04-15T15:27:22Z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